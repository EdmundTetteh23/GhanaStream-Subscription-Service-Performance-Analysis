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Edmun\OneDrive\Desktop\Data Analysis\Datasets\GhanaStream\"/>
    </mc:Choice>
  </mc:AlternateContent>
  <xr:revisionPtr revIDLastSave="0" documentId="13_ncr:1_{DE2EC1E1-155D-45A2-B8FE-83FBA905658A}" xr6:coauthVersionLast="47" xr6:coauthVersionMax="47" xr10:uidLastSave="{00000000-0000-0000-0000-000000000000}"/>
  <bookViews>
    <workbookView xWindow="-120" yWindow="-120" windowWidth="20730" windowHeight="11040" activeTab="3" xr2:uid="{06A086C3-140B-492B-8407-6105D690772C}"/>
  </bookViews>
  <sheets>
    <sheet name="GhanaStream_Dataset" sheetId="1" r:id="rId1"/>
    <sheet name="GhanaStream_Dataset - Clean" sheetId="2" r:id="rId2"/>
    <sheet name="Q&amp;A" sheetId="3" r:id="rId3"/>
    <sheet name="Dashboard" sheetId="5" r:id="rId4"/>
    <sheet name="Calcs" sheetId="4" state="hidden" r:id="rId5"/>
  </sheets>
  <definedNames>
    <definedName name="Slicer_Device">#N/A</definedName>
    <definedName name="Slicer_Plan_Type">#N/A</definedName>
    <definedName name="Slicer_Regions">#N/A</definedName>
    <definedName name="Slicer_Years__Subscription_Dat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 i="2" l="1"/>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B7" i="3"/>
  <c r="B12" i="3" a="1"/>
  <c r="B12" i="3" s="1"/>
  <c r="B10" i="3"/>
  <c r="B9" i="3"/>
  <c r="B8" i="3"/>
  <c r="B3" i="3"/>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B2" i="3" l="1"/>
  <c r="C12" i="3"/>
  <c r="B4" i="3"/>
  <c r="B5" i="3" s="1"/>
  <c r="B27" i="3" a="1"/>
  <c r="C29" i="3" s="1"/>
  <c r="C22" i="3"/>
  <c r="C18" i="3"/>
  <c r="C14" i="3"/>
  <c r="C21" i="3"/>
  <c r="C17" i="3"/>
  <c r="C13" i="3"/>
  <c r="C24" i="3"/>
  <c r="C20" i="3"/>
  <c r="C16" i="3"/>
  <c r="C23" i="3"/>
  <c r="C19" i="3"/>
  <c r="C15" i="3"/>
  <c r="B27" i="3" l="1"/>
  <c r="C27" i="3" s="1"/>
  <c r="C30" i="3"/>
  <c r="B6" i="3"/>
  <c r="C28"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<sst xmlns="http://schemas.openxmlformats.org/spreadsheetml/2006/main" count="32110" uniqueCount="2078">
  <si>
    <t>Order ID</t>
  </si>
  <si>
    <t>Subscription Date</t>
  </si>
  <si>
    <t>Tier</t>
  </si>
  <si>
    <t>Plan Type</t>
  </si>
  <si>
    <t>Subscription Fee</t>
  </si>
  <si>
    <t>Region</t>
  </si>
  <si>
    <t>Device</t>
  </si>
  <si>
    <t>Status</t>
  </si>
  <si>
    <t>Churn Flag</t>
  </si>
  <si>
    <t>State</t>
  </si>
  <si>
    <t>Discount</t>
  </si>
  <si>
    <t>ORD0001</t>
  </si>
  <si>
    <t>Premium</t>
  </si>
  <si>
    <t>Monthly</t>
  </si>
  <si>
    <t>Northern Ghana</t>
  </si>
  <si>
    <t>Smart TV</t>
  </si>
  <si>
    <t>Cancelled</t>
  </si>
  <si>
    <t>Yes</t>
  </si>
  <si>
    <t>Greater Accra</t>
  </si>
  <si>
    <t>ORD0002</t>
  </si>
  <si>
    <t>Basic</t>
  </si>
  <si>
    <t>Southern Ghana</t>
  </si>
  <si>
    <t>Ashanti</t>
  </si>
  <si>
    <t>ORD0003</t>
  </si>
  <si>
    <t>Mobile</t>
  </si>
  <si>
    <t>Western</t>
  </si>
  <si>
    <t>ORD0004</t>
  </si>
  <si>
    <t>Annual</t>
  </si>
  <si>
    <t>Desktop</t>
  </si>
  <si>
    <t>Central</t>
  </si>
  <si>
    <t>ORD0005</t>
  </si>
  <si>
    <t>Standard</t>
  </si>
  <si>
    <t>Eastern Ghana</t>
  </si>
  <si>
    <t>Active</t>
  </si>
  <si>
    <t>No</t>
  </si>
  <si>
    <t>Eastern</t>
  </si>
  <si>
    <t>ORD0006</t>
  </si>
  <si>
    <t>Volta</t>
  </si>
  <si>
    <t>ORD0007</t>
  </si>
  <si>
    <t>Northern</t>
  </si>
  <si>
    <t>ORD0008</t>
  </si>
  <si>
    <t>Upper East</t>
  </si>
  <si>
    <t>ORD0009</t>
  </si>
  <si>
    <t>ORD0010</t>
  </si>
  <si>
    <t>Bono</t>
  </si>
  <si>
    <t>ORD0011</t>
  </si>
  <si>
    <t>ORD0012</t>
  </si>
  <si>
    <t>ORD0013</t>
  </si>
  <si>
    <t>ORD0014</t>
  </si>
  <si>
    <t>Western Ghana</t>
  </si>
  <si>
    <t>Ahafo</t>
  </si>
  <si>
    <t>ORD0015</t>
  </si>
  <si>
    <t>ORD0016</t>
  </si>
  <si>
    <t>ORD0017</t>
  </si>
  <si>
    <t>ORD0018</t>
  </si>
  <si>
    <t>Savannah</t>
  </si>
  <si>
    <t>ORD0019</t>
  </si>
  <si>
    <t>ORD0020</t>
  </si>
  <si>
    <t>Oti</t>
  </si>
  <si>
    <t>ORD0021</t>
  </si>
  <si>
    <t>ORD0022</t>
  </si>
  <si>
    <t>ORD0023</t>
  </si>
  <si>
    <t>ORD0024</t>
  </si>
  <si>
    <t>ORD0025</t>
  </si>
  <si>
    <t>ORD0026</t>
  </si>
  <si>
    <t>ORD0027</t>
  </si>
  <si>
    <t>Western North</t>
  </si>
  <si>
    <t>ORD0028</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</si>
  <si>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</si>
  <si>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</si>
  <si>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</si>
  <si>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</si>
  <si>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</si>
  <si>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</si>
  <si>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</si>
  <si>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</si>
  <si>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</si>
  <si>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</si>
  <si>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</si>
  <si>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</si>
  <si>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</si>
  <si>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</si>
  <si>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</si>
  <si>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</si>
  <si>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</si>
  <si>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</si>
  <si>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</si>
  <si>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</si>
  <si>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</si>
  <si>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</si>
  <si>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</si>
  <si>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</si>
  <si>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</si>
  <si>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</si>
  <si>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</si>
  <si>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</si>
  <si>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</si>
  <si>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</si>
  <si>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</si>
  <si>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</si>
  <si>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</si>
  <si>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</si>
  <si>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</si>
  <si>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</si>
  <si>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</si>
  <si>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</si>
  <si>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</si>
  <si>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</si>
  <si>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</si>
  <si>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</si>
  <si>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</si>
  <si>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</si>
  <si>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</si>
  <si>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</si>
  <si>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</si>
  <si>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</si>
  <si>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</si>
  <si>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</si>
  <si>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</si>
  <si>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</si>
  <si>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</si>
  <si>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</si>
  <si>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</si>
  <si>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</si>
  <si>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</si>
  <si>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</si>
  <si>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</si>
  <si>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</si>
  <si>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</si>
  <si>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</si>
  <si>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</si>
  <si>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</si>
  <si>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</si>
  <si>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</si>
  <si>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</si>
  <si>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</si>
  <si>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</si>
  <si>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</si>
  <si>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</si>
  <si>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</si>
  <si>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</si>
  <si>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</si>
  <si>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</si>
  <si>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</si>
  <si>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</si>
  <si>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</si>
  <si>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</si>
  <si>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</si>
  <si>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</si>
  <si>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</si>
  <si>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</si>
  <si>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</si>
  <si>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</si>
  <si>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</si>
  <si>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</si>
  <si>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</si>
  <si>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</si>
  <si>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</si>
  <si>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</si>
  <si>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</si>
  <si>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</si>
  <si>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</si>
  <si>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</si>
  <si>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</si>
  <si>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</si>
  <si>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</si>
  <si>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</si>
  <si>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</si>
  <si>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</si>
  <si>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</si>
  <si>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</si>
  <si>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</si>
  <si>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</si>
  <si>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</si>
  <si>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</si>
  <si>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</si>
  <si>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</si>
  <si>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</si>
  <si>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</si>
  <si>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</si>
  <si>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</si>
  <si>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</si>
  <si>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</si>
  <si>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</si>
  <si>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</si>
  <si>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</si>
  <si>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</si>
  <si>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</si>
  <si>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</si>
  <si>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</si>
  <si>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</si>
  <si>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</si>
  <si>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</si>
  <si>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</si>
  <si>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</si>
  <si>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</si>
  <si>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</si>
  <si>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</si>
  <si>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</si>
  <si>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</si>
  <si>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</si>
  <si>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</si>
  <si>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</si>
  <si>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</si>
  <si>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</si>
  <si>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</si>
  <si>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</si>
  <si>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</si>
  <si>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</si>
  <si>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</si>
  <si>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</si>
  <si>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</si>
  <si>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</si>
  <si>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</si>
  <si>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</si>
  <si>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</si>
  <si>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</si>
  <si>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</si>
  <si>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</si>
  <si>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</si>
  <si>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</si>
  <si>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</si>
  <si>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</si>
  <si>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</si>
  <si>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</si>
  <si>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</si>
  <si>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</si>
  <si>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</si>
  <si>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</si>
  <si>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</si>
  <si>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</si>
  <si>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</si>
  <si>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</si>
  <si>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</si>
  <si>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</si>
  <si>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</si>
  <si>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</si>
  <si>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</si>
  <si>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</si>
  <si>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</si>
  <si>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</si>
  <si>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</si>
  <si>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</si>
  <si>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</si>
  <si>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</si>
  <si>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</si>
  <si>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</si>
  <si>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</si>
  <si>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</si>
  <si>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</si>
  <si>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</si>
  <si>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</si>
  <si>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</si>
  <si>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</si>
  <si>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</si>
  <si>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</si>
  <si>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</si>
  <si>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</si>
  <si>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</si>
  <si>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</si>
  <si>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</si>
  <si>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</si>
  <si>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</si>
  <si>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</si>
  <si>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</si>
  <si>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</si>
  <si>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</si>
  <si>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</si>
  <si>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</si>
  <si>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</si>
  <si>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</si>
  <si>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</si>
  <si>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</si>
  <si>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</si>
  <si>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</si>
  <si>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</si>
  <si>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</si>
  <si>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</si>
  <si>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</si>
  <si>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</si>
  <si>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</si>
  <si>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</si>
  <si>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</si>
  <si>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</si>
  <si>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</si>
  <si>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</si>
  <si>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</si>
  <si>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</si>
  <si>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</si>
  <si>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</si>
  <si>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ORD0251</t>
  </si>
  <si>
    <t>ORD0252</t>
  </si>
  <si>
    <t>ORD0253</t>
  </si>
  <si>
    <t>ORD0254</t>
  </si>
  <si>
    <t>ORD0255</t>
  </si>
  <si>
    <t>ORD0256</t>
  </si>
  <si>
    <t>ORD0257</t>
  </si>
  <si>
    <t>ORD0258</t>
  </si>
  <si>
    <t>ORD0259</t>
  </si>
  <si>
    <t>ORD0260</t>
  </si>
  <si>
    <t>ORD0261</t>
  </si>
  <si>
    <t>ORD0262</t>
  </si>
  <si>
    <t>ORD0263</t>
  </si>
  <si>
    <t>ORD0264</t>
  </si>
  <si>
    <t>ORD0265</t>
  </si>
  <si>
    <t>ORD0266</t>
  </si>
  <si>
    <t>ORD0267</t>
  </si>
  <si>
    <t>ORD0268</t>
  </si>
  <si>
    <t>ORD0269</t>
  </si>
  <si>
    <t>ORD0270</t>
  </si>
  <si>
    <t>ORD0271</t>
  </si>
  <si>
    <t>ORD0272</t>
  </si>
  <si>
    <t>ORD0273</t>
  </si>
  <si>
    <t>ORD0274</t>
  </si>
  <si>
    <t>ORD0275</t>
  </si>
  <si>
    <t>ORD0276</t>
  </si>
  <si>
    <t>ORD0277</t>
  </si>
  <si>
    <t>ORD0278</t>
  </si>
  <si>
    <t>ORD0279</t>
  </si>
  <si>
    <t>ORD0280</t>
  </si>
  <si>
    <t>ORD0281</t>
  </si>
  <si>
    <t>ORD0282</t>
  </si>
  <si>
    <t>ORD0283</t>
  </si>
  <si>
    <t>ORD0284</t>
  </si>
  <si>
    <t>ORD0285</t>
  </si>
  <si>
    <t>ORD0286</t>
  </si>
  <si>
    <t>ORD0287</t>
  </si>
  <si>
    <t>ORD0288</t>
  </si>
  <si>
    <t>ORD0289</t>
  </si>
  <si>
    <t>ORD0290</t>
  </si>
  <si>
    <t>ORD0291</t>
  </si>
  <si>
    <t>ORD0292</t>
  </si>
  <si>
    <t>ORD0293</t>
  </si>
  <si>
    <t>ORD0294</t>
  </si>
  <si>
    <t>ORD0295</t>
  </si>
  <si>
    <t>ORD0296</t>
  </si>
  <si>
    <t>ORD0297</t>
  </si>
  <si>
    <t>ORD0298</t>
  </si>
  <si>
    <t>ORD0299</t>
  </si>
  <si>
    <t>ORD0300</t>
  </si>
  <si>
    <t>ORD0301</t>
  </si>
  <si>
    <t>ORD0302</t>
  </si>
  <si>
    <t>ORD0303</t>
  </si>
  <si>
    <t>ORD0304</t>
  </si>
  <si>
    <t>ORD0305</t>
  </si>
  <si>
    <t>ORD0306</t>
  </si>
  <si>
    <t>ORD0307</t>
  </si>
  <si>
    <t>ORD0308</t>
  </si>
  <si>
    <t>ORD0309</t>
  </si>
  <si>
    <t>ORD0310</t>
  </si>
  <si>
    <t>ORD0311</t>
  </si>
  <si>
    <t>ORD0312</t>
  </si>
  <si>
    <t>ORD0313</t>
  </si>
  <si>
    <t>ORD0314</t>
  </si>
  <si>
    <t>ORD0315</t>
  </si>
  <si>
    <t>ORD0316</t>
  </si>
  <si>
    <t>ORD0317</t>
  </si>
  <si>
    <t>ORD0318</t>
  </si>
  <si>
    <t>ORD0319</t>
  </si>
  <si>
    <t>ORD0320</t>
  </si>
  <si>
    <t>ORD0321</t>
  </si>
  <si>
    <t>ORD0322</t>
  </si>
  <si>
    <t>ORD0323</t>
  </si>
  <si>
    <t>ORD0324</t>
  </si>
  <si>
    <t>ORD0325</t>
  </si>
  <si>
    <t>ORD0326</t>
  </si>
  <si>
    <t>ORD0327</t>
  </si>
  <si>
    <t>ORD0328</t>
  </si>
  <si>
    <t>ORD0329</t>
  </si>
  <si>
    <t>ORD0330</t>
  </si>
  <si>
    <t>ORD0331</t>
  </si>
  <si>
    <t>ORD0332</t>
  </si>
  <si>
    <t>ORD0333</t>
  </si>
  <si>
    <t>ORD0334</t>
  </si>
  <si>
    <t>ORD0335</t>
  </si>
  <si>
    <t>ORD0336</t>
  </si>
  <si>
    <t>ORD0337</t>
  </si>
  <si>
    <t>ORD0338</t>
  </si>
  <si>
    <t>ORD0339</t>
  </si>
  <si>
    <t>ORD0340</t>
  </si>
  <si>
    <t>ORD0341</t>
  </si>
  <si>
    <t>ORD0342</t>
  </si>
  <si>
    <t>ORD0343</t>
  </si>
  <si>
    <t>ORD0344</t>
  </si>
  <si>
    <t>ORD0345</t>
  </si>
  <si>
    <t>ORD0346</t>
  </si>
  <si>
    <t>ORD0347</t>
  </si>
  <si>
    <t>ORD0348</t>
  </si>
  <si>
    <t>ORD0349</t>
  </si>
  <si>
    <t>ORD0350</t>
  </si>
  <si>
    <t>ORD0351</t>
  </si>
  <si>
    <t>ORD0352</t>
  </si>
  <si>
    <t>ORD0353</t>
  </si>
  <si>
    <t>ORD0354</t>
  </si>
  <si>
    <t>ORD0355</t>
  </si>
  <si>
    <t>ORD0356</t>
  </si>
  <si>
    <t>ORD0357</t>
  </si>
  <si>
    <t>ORD0358</t>
  </si>
  <si>
    <t>ORD0359</t>
  </si>
  <si>
    <t>ORD0360</t>
  </si>
  <si>
    <t>ORD0361</t>
  </si>
  <si>
    <t>ORD0362</t>
  </si>
  <si>
    <t>ORD0363</t>
  </si>
  <si>
    <t>ORD0364</t>
  </si>
  <si>
    <t>ORD0365</t>
  </si>
  <si>
    <t>ORD0366</t>
  </si>
  <si>
    <t>ORD0367</t>
  </si>
  <si>
    <t>ORD0368</t>
  </si>
  <si>
    <t>ORD0369</t>
  </si>
  <si>
    <t>ORD0370</t>
  </si>
  <si>
    <t>ORD0371</t>
  </si>
  <si>
    <t>ORD0372</t>
  </si>
  <si>
    <t>ORD0373</t>
  </si>
  <si>
    <t>ORD0374</t>
  </si>
  <si>
    <t>ORD0375</t>
  </si>
  <si>
    <t>ORD0376</t>
  </si>
  <si>
    <t>ORD0377</t>
  </si>
  <si>
    <t>ORD0378</t>
  </si>
  <si>
    <t>ORD0379</t>
  </si>
  <si>
    <t>ORD0380</t>
  </si>
  <si>
    <t>ORD0381</t>
  </si>
  <si>
    <t>ORD0382</t>
  </si>
  <si>
    <t>ORD0383</t>
  </si>
  <si>
    <t>ORD0384</t>
  </si>
  <si>
    <t>ORD0385</t>
  </si>
  <si>
    <t>ORD0386</t>
  </si>
  <si>
    <t>ORD0387</t>
  </si>
  <si>
    <t>ORD0388</t>
  </si>
  <si>
    <t>ORD0389</t>
  </si>
  <si>
    <t>ORD0390</t>
  </si>
  <si>
    <t>ORD0391</t>
  </si>
  <si>
    <t>ORD0392</t>
  </si>
  <si>
    <t>ORD0393</t>
  </si>
  <si>
    <t>ORD0394</t>
  </si>
  <si>
    <t>ORD0395</t>
  </si>
  <si>
    <t>ORD0396</t>
  </si>
  <si>
    <t>ORD0397</t>
  </si>
  <si>
    <t>ORD0398</t>
  </si>
  <si>
    <t>ORD0399</t>
  </si>
  <si>
    <t>ORD0400</t>
  </si>
  <si>
    <t>ORD0401</t>
  </si>
  <si>
    <t>ORD0402</t>
  </si>
  <si>
    <t>ORD0403</t>
  </si>
  <si>
    <t>ORD0404</t>
  </si>
  <si>
    <t>ORD0405</t>
  </si>
  <si>
    <t>ORD0406</t>
  </si>
  <si>
    <t>ORD0407</t>
  </si>
  <si>
    <t>ORD0408</t>
  </si>
  <si>
    <t>ORD0409</t>
  </si>
  <si>
    <t>ORD0410</t>
  </si>
  <si>
    <t>ORD0411</t>
  </si>
  <si>
    <t>ORD0412</t>
  </si>
  <si>
    <t>ORD0413</t>
  </si>
  <si>
    <t>ORD0414</t>
  </si>
  <si>
    <t>ORD0415</t>
  </si>
  <si>
    <t>ORD0416</t>
  </si>
  <si>
    <t>ORD0417</t>
  </si>
  <si>
    <t>ORD0418</t>
  </si>
  <si>
    <t>ORD0419</t>
  </si>
  <si>
    <t>ORD0420</t>
  </si>
  <si>
    <t>ORD0421</t>
  </si>
  <si>
    <t>ORD0422</t>
  </si>
  <si>
    <t>ORD0423</t>
  </si>
  <si>
    <t>ORD0424</t>
  </si>
  <si>
    <t>ORD0425</t>
  </si>
  <si>
    <t>ORD0426</t>
  </si>
  <si>
    <t>ORD0427</t>
  </si>
  <si>
    <t>ORD0428</t>
  </si>
  <si>
    <t>ORD0429</t>
  </si>
  <si>
    <t>ORD0430</t>
  </si>
  <si>
    <t>ORD0431</t>
  </si>
  <si>
    <t>ORD0432</t>
  </si>
  <si>
    <t>ORD0433</t>
  </si>
  <si>
    <t>ORD0434</t>
  </si>
  <si>
    <t>ORD0435</t>
  </si>
  <si>
    <t>ORD0436</t>
  </si>
  <si>
    <t>ORD0437</t>
  </si>
  <si>
    <t>ORD0438</t>
  </si>
  <si>
    <t>ORD0439</t>
  </si>
  <si>
    <t>ORD0440</t>
  </si>
  <si>
    <t>ORD0441</t>
  </si>
  <si>
    <t>ORD0442</t>
  </si>
  <si>
    <t>ORD0443</t>
  </si>
  <si>
    <t>ORD0444</t>
  </si>
  <si>
    <t>ORD0445</t>
  </si>
  <si>
    <t>ORD0446</t>
  </si>
  <si>
    <t>ORD0447</t>
  </si>
  <si>
    <t>ORD0448</t>
  </si>
  <si>
    <t>ORD0449</t>
  </si>
  <si>
    <t>ORD0450</t>
  </si>
  <si>
    <t>ORD0451</t>
  </si>
  <si>
    <t>ORD0452</t>
  </si>
  <si>
    <t>ORD0453</t>
  </si>
  <si>
    <t>ORD0454</t>
  </si>
  <si>
    <t>ORD0455</t>
  </si>
  <si>
    <t>ORD0456</t>
  </si>
  <si>
    <t>ORD0457</t>
  </si>
  <si>
    <t>ORD0458</t>
  </si>
  <si>
    <t>ORD0459</t>
  </si>
  <si>
    <t>ORD0460</t>
  </si>
  <si>
    <t>ORD0461</t>
  </si>
  <si>
    <t>ORD0462</t>
  </si>
  <si>
    <t>ORD0463</t>
  </si>
  <si>
    <t>ORD0464</t>
  </si>
  <si>
    <t>ORD0465</t>
  </si>
  <si>
    <t>ORD0466</t>
  </si>
  <si>
    <t>ORD0467</t>
  </si>
  <si>
    <t>ORD0468</t>
  </si>
  <si>
    <t>ORD0469</t>
  </si>
  <si>
    <t>ORD0470</t>
  </si>
  <si>
    <t>ORD0471</t>
  </si>
  <si>
    <t>ORD0472</t>
  </si>
  <si>
    <t>ORD0473</t>
  </si>
  <si>
    <t>ORD0474</t>
  </si>
  <si>
    <t>ORD0475</t>
  </si>
  <si>
    <t>ORD0476</t>
  </si>
  <si>
    <t>ORD0477</t>
  </si>
  <si>
    <t>ORD0478</t>
  </si>
  <si>
    <t>ORD0479</t>
  </si>
  <si>
    <t>ORD0480</t>
  </si>
  <si>
    <t>ORD0481</t>
  </si>
  <si>
    <t>ORD0482</t>
  </si>
  <si>
    <t>ORD0483</t>
  </si>
  <si>
    <t>ORD0484</t>
  </si>
  <si>
    <t>ORD0485</t>
  </si>
  <si>
    <t>ORD0486</t>
  </si>
  <si>
    <t>ORD0487</t>
  </si>
  <si>
    <t>ORD0488</t>
  </si>
  <si>
    <t>ORD0489</t>
  </si>
  <si>
    <t>ORD0490</t>
  </si>
  <si>
    <t>ORD0491</t>
  </si>
  <si>
    <t>ORD0492</t>
  </si>
  <si>
    <t>ORD0493</t>
  </si>
  <si>
    <t>ORD0494</t>
  </si>
  <si>
    <t>ORD0495</t>
  </si>
  <si>
    <t>ORD0496</t>
  </si>
  <si>
    <t>ORD0497</t>
  </si>
  <si>
    <t>ORD0498</t>
  </si>
  <si>
    <t>ORD0499</t>
  </si>
  <si>
    <t>ORD0500</t>
  </si>
  <si>
    <t>ORD0501</t>
  </si>
  <si>
    <t>ORD0502</t>
  </si>
  <si>
    <t>ORD0503</t>
  </si>
  <si>
    <t>ORD0504</t>
  </si>
  <si>
    <t>ORD0505</t>
  </si>
  <si>
    <t>ORD0506</t>
  </si>
  <si>
    <t>ORD0507</t>
  </si>
  <si>
    <t>ORD0508</t>
  </si>
  <si>
    <t>ORD0509</t>
  </si>
  <si>
    <t>ORD0510</t>
  </si>
  <si>
    <t>ORD0511</t>
  </si>
  <si>
    <t>ORD0512</t>
  </si>
  <si>
    <t>ORD0513</t>
  </si>
  <si>
    <t>ORD0514</t>
  </si>
  <si>
    <t>ORD0515</t>
  </si>
  <si>
    <t>ORD0516</t>
  </si>
  <si>
    <t>ORD0517</t>
  </si>
  <si>
    <t>ORD0518</t>
  </si>
  <si>
    <t>ORD0519</t>
  </si>
  <si>
    <t>ORD0520</t>
  </si>
  <si>
    <t>ORD0521</t>
  </si>
  <si>
    <t>ORD0522</t>
  </si>
  <si>
    <t>ORD0523</t>
  </si>
  <si>
    <t>ORD0524</t>
  </si>
  <si>
    <t>ORD0525</t>
  </si>
  <si>
    <t>ORD0526</t>
  </si>
  <si>
    <t>ORD0527</t>
  </si>
  <si>
    <t>ORD0528</t>
  </si>
  <si>
    <t>ORD0529</t>
  </si>
  <si>
    <t>ORD0530</t>
  </si>
  <si>
    <t>ORD0531</t>
  </si>
  <si>
    <t>ORD0532</t>
  </si>
  <si>
    <t>ORD0533</t>
  </si>
  <si>
    <t>ORD0534</t>
  </si>
  <si>
    <t>ORD0535</t>
  </si>
  <si>
    <t>ORD0536</t>
  </si>
  <si>
    <t>ORD0537</t>
  </si>
  <si>
    <t>ORD0538</t>
  </si>
  <si>
    <t>ORD0539</t>
  </si>
  <si>
    <t>ORD0540</t>
  </si>
  <si>
    <t>ORD0541</t>
  </si>
  <si>
    <t>ORD0542</t>
  </si>
  <si>
    <t>ORD0543</t>
  </si>
  <si>
    <t>ORD0544</t>
  </si>
  <si>
    <t>ORD0545</t>
  </si>
  <si>
    <t>ORD0546</t>
  </si>
  <si>
    <t>ORD0547</t>
  </si>
  <si>
    <t>ORD0548</t>
  </si>
  <si>
    <t>ORD0549</t>
  </si>
  <si>
    <t>ORD0550</t>
  </si>
  <si>
    <t>ORD0551</t>
  </si>
  <si>
    <t>ORD0552</t>
  </si>
  <si>
    <t>ORD0553</t>
  </si>
  <si>
    <t>ORD0554</t>
  </si>
  <si>
    <t>ORD0555</t>
  </si>
  <si>
    <t>ORD0556</t>
  </si>
  <si>
    <t>ORD0557</t>
  </si>
  <si>
    <t>ORD0558</t>
  </si>
  <si>
    <t>ORD0559</t>
  </si>
  <si>
    <t>ORD0560</t>
  </si>
  <si>
    <t>ORD0561</t>
  </si>
  <si>
    <t>ORD0562</t>
  </si>
  <si>
    <t>ORD0563</t>
  </si>
  <si>
    <t>ORD0564</t>
  </si>
  <si>
    <t>ORD0565</t>
  </si>
  <si>
    <t>ORD0566</t>
  </si>
  <si>
    <t>ORD0567</t>
  </si>
  <si>
    <t>ORD0568</t>
  </si>
  <si>
    <t>ORD0569</t>
  </si>
  <si>
    <t>ORD0570</t>
  </si>
  <si>
    <t>ORD0571</t>
  </si>
  <si>
    <t>ORD0572</t>
  </si>
  <si>
    <t>ORD0573</t>
  </si>
  <si>
    <t>ORD0574</t>
  </si>
  <si>
    <t>ORD0575</t>
  </si>
  <si>
    <t>ORD0576</t>
  </si>
  <si>
    <t>ORD0577</t>
  </si>
  <si>
    <t>ORD0578</t>
  </si>
  <si>
    <t>ORD0579</t>
  </si>
  <si>
    <t>ORD0580</t>
  </si>
  <si>
    <t>ORD0581</t>
  </si>
  <si>
    <t>ORD0582</t>
  </si>
  <si>
    <t>ORD0583</t>
  </si>
  <si>
    <t>ORD0584</t>
  </si>
  <si>
    <t>ORD0585</t>
  </si>
  <si>
    <t>ORD0586</t>
  </si>
  <si>
    <t>ORD0587</t>
  </si>
  <si>
    <t>ORD0588</t>
  </si>
  <si>
    <t>ORD0589</t>
  </si>
  <si>
    <t>ORD0590</t>
  </si>
  <si>
    <t>ORD0591</t>
  </si>
  <si>
    <t>ORD0592</t>
  </si>
  <si>
    <t>ORD0593</t>
  </si>
  <si>
    <t>ORD0594</t>
  </si>
  <si>
    <t>ORD0595</t>
  </si>
  <si>
    <t>ORD0596</t>
  </si>
  <si>
    <t>ORD0597</t>
  </si>
  <si>
    <t>ORD0598</t>
  </si>
  <si>
    <t>ORD0599</t>
  </si>
  <si>
    <t>ORD0600</t>
  </si>
  <si>
    <t>ORD0601</t>
  </si>
  <si>
    <t>ORD0602</t>
  </si>
  <si>
    <t>ORD0603</t>
  </si>
  <si>
    <t>ORD0604</t>
  </si>
  <si>
    <t>ORD0605</t>
  </si>
  <si>
    <t>ORD0606</t>
  </si>
  <si>
    <t>ORD0607</t>
  </si>
  <si>
    <t>ORD0608</t>
  </si>
  <si>
    <t>ORD0609</t>
  </si>
  <si>
    <t>ORD0610</t>
  </si>
  <si>
    <t>ORD0611</t>
  </si>
  <si>
    <t>ORD0612</t>
  </si>
  <si>
    <t>ORD0613</t>
  </si>
  <si>
    <t>ORD0614</t>
  </si>
  <si>
    <t>ORD0615</t>
  </si>
  <si>
    <t>ORD0616</t>
  </si>
  <si>
    <t>ORD0617</t>
  </si>
  <si>
    <t>ORD0618</t>
  </si>
  <si>
    <t>ORD0619</t>
  </si>
  <si>
    <t>ORD0620</t>
  </si>
  <si>
    <t>ORD0621</t>
  </si>
  <si>
    <t>ORD0622</t>
  </si>
  <si>
    <t>ORD0623</t>
  </si>
  <si>
    <t>ORD0624</t>
  </si>
  <si>
    <t>ORD0625</t>
  </si>
  <si>
    <t>ORD0626</t>
  </si>
  <si>
    <t>ORD0627</t>
  </si>
  <si>
    <t>ORD0628</t>
  </si>
  <si>
    <t>ORD0629</t>
  </si>
  <si>
    <t>ORD0630</t>
  </si>
  <si>
    <t>ORD0631</t>
  </si>
  <si>
    <t>ORD0632</t>
  </si>
  <si>
    <t>ORD0633</t>
  </si>
  <si>
    <t>ORD0634</t>
  </si>
  <si>
    <t>ORD0635</t>
  </si>
  <si>
    <t>ORD0636</t>
  </si>
  <si>
    <t>ORD0637</t>
  </si>
  <si>
    <t>ORD0638</t>
  </si>
  <si>
    <t>ORD0639</t>
  </si>
  <si>
    <t>ORD0640</t>
  </si>
  <si>
    <t>ORD0641</t>
  </si>
  <si>
    <t>ORD0642</t>
  </si>
  <si>
    <t>ORD0643</t>
  </si>
  <si>
    <t>ORD0644</t>
  </si>
  <si>
    <t>ORD0645</t>
  </si>
  <si>
    <t>ORD0646</t>
  </si>
  <si>
    <t>ORD0647</t>
  </si>
  <si>
    <t>ORD0648</t>
  </si>
  <si>
    <t>ORD0649</t>
  </si>
  <si>
    <t>ORD0650</t>
  </si>
  <si>
    <t>ORD0651</t>
  </si>
  <si>
    <t>ORD0652</t>
  </si>
  <si>
    <t>ORD0653</t>
  </si>
  <si>
    <t>ORD0654</t>
  </si>
  <si>
    <t>ORD0655</t>
  </si>
  <si>
    <t>ORD0656</t>
  </si>
  <si>
    <t>ORD0657</t>
  </si>
  <si>
    <t>ORD0658</t>
  </si>
  <si>
    <t>ORD0659</t>
  </si>
  <si>
    <t>ORD0660</t>
  </si>
  <si>
    <t>ORD0661</t>
  </si>
  <si>
    <t>ORD0662</t>
  </si>
  <si>
    <t>ORD0663</t>
  </si>
  <si>
    <t>ORD0664</t>
  </si>
  <si>
    <t>ORD0665</t>
  </si>
  <si>
    <t>ORD0666</t>
  </si>
  <si>
    <t>ORD0667</t>
  </si>
  <si>
    <t>ORD0668</t>
  </si>
  <si>
    <t>ORD0669</t>
  </si>
  <si>
    <t>ORD0670</t>
  </si>
  <si>
    <t>ORD0671</t>
  </si>
  <si>
    <t>ORD0672</t>
  </si>
  <si>
    <t>ORD0673</t>
  </si>
  <si>
    <t>ORD0674</t>
  </si>
  <si>
    <t>ORD0675</t>
  </si>
  <si>
    <t>ORD0676</t>
  </si>
  <si>
    <t>ORD0677</t>
  </si>
  <si>
    <t>ORD0678</t>
  </si>
  <si>
    <t>ORD0679</t>
  </si>
  <si>
    <t>ORD0680</t>
  </si>
  <si>
    <t>ORD0681</t>
  </si>
  <si>
    <t>ORD0682</t>
  </si>
  <si>
    <t>ORD0683</t>
  </si>
  <si>
    <t>ORD0684</t>
  </si>
  <si>
    <t>ORD0685</t>
  </si>
  <si>
    <t>ORD0686</t>
  </si>
  <si>
    <t>ORD0687</t>
  </si>
  <si>
    <t>ORD0688</t>
  </si>
  <si>
    <t>ORD0689</t>
  </si>
  <si>
    <t>ORD0690</t>
  </si>
  <si>
    <t>ORD0691</t>
  </si>
  <si>
    <t>ORD0692</t>
  </si>
  <si>
    <t>ORD0693</t>
  </si>
  <si>
    <t>ORD0694</t>
  </si>
  <si>
    <t>ORD0695</t>
  </si>
  <si>
    <t>ORD0696</t>
  </si>
  <si>
    <t>ORD0697</t>
  </si>
  <si>
    <t>ORD0698</t>
  </si>
  <si>
    <t>ORD0699</t>
  </si>
  <si>
    <t>ORD0700</t>
  </si>
  <si>
    <t>ORD0701</t>
  </si>
  <si>
    <t>ORD0702</t>
  </si>
  <si>
    <t>ORD0703</t>
  </si>
  <si>
    <t>ORD0704</t>
  </si>
  <si>
    <t>ORD0705</t>
  </si>
  <si>
    <t>ORD0706</t>
  </si>
  <si>
    <t>ORD0707</t>
  </si>
  <si>
    <t>ORD0708</t>
  </si>
  <si>
    <t>ORD0709</t>
  </si>
  <si>
    <t>ORD0710</t>
  </si>
  <si>
    <t>ORD0711</t>
  </si>
  <si>
    <t>ORD0712</t>
  </si>
  <si>
    <t>ORD0713</t>
  </si>
  <si>
    <t>ORD0714</t>
  </si>
  <si>
    <t>ORD0715</t>
  </si>
  <si>
    <t>ORD0716</t>
  </si>
  <si>
    <t>ORD0717</t>
  </si>
  <si>
    <t>ORD0718</t>
  </si>
  <si>
    <t>ORD0719</t>
  </si>
  <si>
    <t>ORD0720</t>
  </si>
  <si>
    <t>ORD0721</t>
  </si>
  <si>
    <t>ORD0722</t>
  </si>
  <si>
    <t>ORD0723</t>
  </si>
  <si>
    <t>ORD0724</t>
  </si>
  <si>
    <t>ORD0725</t>
  </si>
  <si>
    <t>ORD0726</t>
  </si>
  <si>
    <t>ORD0727</t>
  </si>
  <si>
    <t>ORD0728</t>
  </si>
  <si>
    <t>ORD0729</t>
  </si>
  <si>
    <t>ORD0730</t>
  </si>
  <si>
    <t>ORD0731</t>
  </si>
  <si>
    <t>ORD0732</t>
  </si>
  <si>
    <t>ORD0733</t>
  </si>
  <si>
    <t>ORD0734</t>
  </si>
  <si>
    <t>ORD0735</t>
  </si>
  <si>
    <t>ORD0736</t>
  </si>
  <si>
    <t>ORD0737</t>
  </si>
  <si>
    <t>ORD0738</t>
  </si>
  <si>
    <t>ORD0739</t>
  </si>
  <si>
    <t>ORD0740</t>
  </si>
  <si>
    <t>ORD0741</t>
  </si>
  <si>
    <t>ORD0742</t>
  </si>
  <si>
    <t>ORD0743</t>
  </si>
  <si>
    <t>ORD0744</t>
  </si>
  <si>
    <t>ORD0745</t>
  </si>
  <si>
    <t>ORD0746</t>
  </si>
  <si>
    <t>ORD0747</t>
  </si>
  <si>
    <t>ORD0748</t>
  </si>
  <si>
    <t>ORD0749</t>
  </si>
  <si>
    <t>ORD0750</t>
  </si>
  <si>
    <t>ORD0751</t>
  </si>
  <si>
    <t>ORD0752</t>
  </si>
  <si>
    <t>ORD0753</t>
  </si>
  <si>
    <t>ORD0754</t>
  </si>
  <si>
    <t>ORD0755</t>
  </si>
  <si>
    <t>ORD0756</t>
  </si>
  <si>
    <t>ORD0757</t>
  </si>
  <si>
    <t>ORD0758</t>
  </si>
  <si>
    <t>ORD0759</t>
  </si>
  <si>
    <t>ORD0760</t>
  </si>
  <si>
    <t>ORD0761</t>
  </si>
  <si>
    <t>ORD0762</t>
  </si>
  <si>
    <t>ORD0763</t>
  </si>
  <si>
    <t>ORD0764</t>
  </si>
  <si>
    <t>ORD0765</t>
  </si>
  <si>
    <t>ORD0766</t>
  </si>
  <si>
    <t>ORD0767</t>
  </si>
  <si>
    <t>ORD0768</t>
  </si>
  <si>
    <t>ORD0769</t>
  </si>
  <si>
    <t>ORD0770</t>
  </si>
  <si>
    <t>ORD0771</t>
  </si>
  <si>
    <t>ORD0772</t>
  </si>
  <si>
    <t>ORD0773</t>
  </si>
  <si>
    <t>ORD0774</t>
  </si>
  <si>
    <t>ORD0775</t>
  </si>
  <si>
    <t>ORD0776</t>
  </si>
  <si>
    <t>ORD0777</t>
  </si>
  <si>
    <t>ORD0778</t>
  </si>
  <si>
    <t>ORD0779</t>
  </si>
  <si>
    <t>ORD0780</t>
  </si>
  <si>
    <t>ORD0781</t>
  </si>
  <si>
    <t>ORD0782</t>
  </si>
  <si>
    <t>ORD0783</t>
  </si>
  <si>
    <t>ORD0784</t>
  </si>
  <si>
    <t>ORD0785</t>
  </si>
  <si>
    <t>ORD0786</t>
  </si>
  <si>
    <t>ORD0787</t>
  </si>
  <si>
    <t>ORD0788</t>
  </si>
  <si>
    <t>ORD0789</t>
  </si>
  <si>
    <t>ORD0790</t>
  </si>
  <si>
    <t>ORD0791</t>
  </si>
  <si>
    <t>ORD0792</t>
  </si>
  <si>
    <t>ORD0793</t>
  </si>
  <si>
    <t>ORD0794</t>
  </si>
  <si>
    <t>ORD0795</t>
  </si>
  <si>
    <t>ORD0796</t>
  </si>
  <si>
    <t>ORD0797</t>
  </si>
  <si>
    <t>ORD0798</t>
  </si>
  <si>
    <t>ORD0799</t>
  </si>
  <si>
    <t>ORD0800</t>
  </si>
  <si>
    <t>ORD0801</t>
  </si>
  <si>
    <t>ORD0802</t>
  </si>
  <si>
    <t>ORD0803</t>
  </si>
  <si>
    <t>ORD0804</t>
  </si>
  <si>
    <t>ORD0805</t>
  </si>
  <si>
    <t>ORD0806</t>
  </si>
  <si>
    <t>ORD0807</t>
  </si>
  <si>
    <t>ORD0808</t>
  </si>
  <si>
    <t>ORD0809</t>
  </si>
  <si>
    <t>ORD0810</t>
  </si>
  <si>
    <t>ORD0811</t>
  </si>
  <si>
    <t>ORD0812</t>
  </si>
  <si>
    <t>ORD0813</t>
  </si>
  <si>
    <t>ORD0814</t>
  </si>
  <si>
    <t>ORD0815</t>
  </si>
  <si>
    <t>ORD0816</t>
  </si>
  <si>
    <t>ORD0817</t>
  </si>
  <si>
    <t>ORD0818</t>
  </si>
  <si>
    <t>ORD0819</t>
  </si>
  <si>
    <t>ORD0820</t>
  </si>
  <si>
    <t>ORD0821</t>
  </si>
  <si>
    <t>ORD0822</t>
  </si>
  <si>
    <t>ORD0823</t>
  </si>
  <si>
    <t>ORD0824</t>
  </si>
  <si>
    <t>ORD0825</t>
  </si>
  <si>
    <t>ORD0826</t>
  </si>
  <si>
    <t>ORD0827</t>
  </si>
  <si>
    <t>ORD0828</t>
  </si>
  <si>
    <t>ORD0829</t>
  </si>
  <si>
    <t>ORD0830</t>
  </si>
  <si>
    <t>ORD0831</t>
  </si>
  <si>
    <t>ORD0832</t>
  </si>
  <si>
    <t>ORD0833</t>
  </si>
  <si>
    <t>ORD0834</t>
  </si>
  <si>
    <t>ORD0835</t>
  </si>
  <si>
    <t>ORD0836</t>
  </si>
  <si>
    <t>ORD0837</t>
  </si>
  <si>
    <t>ORD0838</t>
  </si>
  <si>
    <t>ORD0839</t>
  </si>
  <si>
    <t>ORD0840</t>
  </si>
  <si>
    <t>ORD0841</t>
  </si>
  <si>
    <t>ORD0842</t>
  </si>
  <si>
    <t>ORD0843</t>
  </si>
  <si>
    <t>ORD0844</t>
  </si>
  <si>
    <t>ORD0845</t>
  </si>
  <si>
    <t>ORD0846</t>
  </si>
  <si>
    <t>ORD0847</t>
  </si>
  <si>
    <t>ORD0848</t>
  </si>
  <si>
    <t>ORD0849</t>
  </si>
  <si>
    <t>ORD0850</t>
  </si>
  <si>
    <t>ORD0851</t>
  </si>
  <si>
    <t>ORD0852</t>
  </si>
  <si>
    <t>ORD0853</t>
  </si>
  <si>
    <t>ORD0854</t>
  </si>
  <si>
    <t>ORD0855</t>
  </si>
  <si>
    <t>ORD0856</t>
  </si>
  <si>
    <t>ORD0857</t>
  </si>
  <si>
    <t>ORD0858</t>
  </si>
  <si>
    <t>ORD0859</t>
  </si>
  <si>
    <t>ORD0860</t>
  </si>
  <si>
    <t>ORD0861</t>
  </si>
  <si>
    <t>ORD0862</t>
  </si>
  <si>
    <t>ORD0863</t>
  </si>
  <si>
    <t>ORD0864</t>
  </si>
  <si>
    <t>ORD0865</t>
  </si>
  <si>
    <t>ORD0866</t>
  </si>
  <si>
    <t>ORD0867</t>
  </si>
  <si>
    <t>ORD0868</t>
  </si>
  <si>
    <t>ORD0869</t>
  </si>
  <si>
    <t>ORD0870</t>
  </si>
  <si>
    <t>ORD0871</t>
  </si>
  <si>
    <t>ORD0872</t>
  </si>
  <si>
    <t>ORD0873</t>
  </si>
  <si>
    <t>ORD0874</t>
  </si>
  <si>
    <t>ORD0875</t>
  </si>
  <si>
    <t>ORD0876</t>
  </si>
  <si>
    <t>ORD0877</t>
  </si>
  <si>
    <t>ORD0878</t>
  </si>
  <si>
    <t>ORD0879</t>
  </si>
  <si>
    <t>ORD0880</t>
  </si>
  <si>
    <t>ORD0881</t>
  </si>
  <si>
    <t>ORD0882</t>
  </si>
  <si>
    <t>ORD0883</t>
  </si>
  <si>
    <t>ORD0884</t>
  </si>
  <si>
    <t>ORD0885</t>
  </si>
  <si>
    <t>ORD0886</t>
  </si>
  <si>
    <t>ORD0887</t>
  </si>
  <si>
    <t>ORD0888</t>
  </si>
  <si>
    <t>ORD0889</t>
  </si>
  <si>
    <t>ORD0890</t>
  </si>
  <si>
    <t>ORD0891</t>
  </si>
  <si>
    <t>ORD0892</t>
  </si>
  <si>
    <t>ORD0893</t>
  </si>
  <si>
    <t>ORD0894</t>
  </si>
  <si>
    <t>ORD0895</t>
  </si>
  <si>
    <t>ORD0896</t>
  </si>
  <si>
    <t>ORD0897</t>
  </si>
  <si>
    <t>ORD0898</t>
  </si>
  <si>
    <t>ORD0899</t>
  </si>
  <si>
    <t>ORD0900</t>
  </si>
  <si>
    <t>ORD0901</t>
  </si>
  <si>
    <t>ORD0902</t>
  </si>
  <si>
    <t>ORD0903</t>
  </si>
  <si>
    <t>ORD0904</t>
  </si>
  <si>
    <t>ORD0905</t>
  </si>
  <si>
    <t>ORD0906</t>
  </si>
  <si>
    <t>ORD0907</t>
  </si>
  <si>
    <t>ORD0908</t>
  </si>
  <si>
    <t>ORD0909</t>
  </si>
  <si>
    <t>ORD0910</t>
  </si>
  <si>
    <t>ORD0911</t>
  </si>
  <si>
    <t>ORD0912</t>
  </si>
  <si>
    <t>ORD0913</t>
  </si>
  <si>
    <t>ORD0914</t>
  </si>
  <si>
    <t>ORD0915</t>
  </si>
  <si>
    <t>ORD0916</t>
  </si>
  <si>
    <t>ORD0917</t>
  </si>
  <si>
    <t>ORD0918</t>
  </si>
  <si>
    <t>ORD0919</t>
  </si>
  <si>
    <t>ORD0920</t>
  </si>
  <si>
    <t>ORD0921</t>
  </si>
  <si>
    <t>ORD0922</t>
  </si>
  <si>
    <t>ORD0923</t>
  </si>
  <si>
    <t>ORD0924</t>
  </si>
  <si>
    <t>ORD0925</t>
  </si>
  <si>
    <t>ORD0926</t>
  </si>
  <si>
    <t>ORD0927</t>
  </si>
  <si>
    <t>ORD0928</t>
  </si>
  <si>
    <t>ORD0929</t>
  </si>
  <si>
    <t>ORD0930</t>
  </si>
  <si>
    <t>ORD0931</t>
  </si>
  <si>
    <t>ORD0932</t>
  </si>
  <si>
    <t>ORD0933</t>
  </si>
  <si>
    <t>ORD0934</t>
  </si>
  <si>
    <t>ORD0935</t>
  </si>
  <si>
    <t>ORD0936</t>
  </si>
  <si>
    <t>ORD0937</t>
  </si>
  <si>
    <t>ORD0938</t>
  </si>
  <si>
    <t>ORD0939</t>
  </si>
  <si>
    <t>ORD0940</t>
  </si>
  <si>
    <t>ORD0941</t>
  </si>
  <si>
    <t>ORD0942</t>
  </si>
  <si>
    <t>ORD0943</t>
  </si>
  <si>
    <t>ORD0944</t>
  </si>
  <si>
    <t>ORD0945</t>
  </si>
  <si>
    <t>ORD0946</t>
  </si>
  <si>
    <t>ORD0947</t>
  </si>
  <si>
    <t>ORD0948</t>
  </si>
  <si>
    <t>ORD0949</t>
  </si>
  <si>
    <t>ORD0950</t>
  </si>
  <si>
    <t>ORD0951</t>
  </si>
  <si>
    <t>ORD0952</t>
  </si>
  <si>
    <t>ORD0953</t>
  </si>
  <si>
    <t>ORD0954</t>
  </si>
  <si>
    <t>ORD0955</t>
  </si>
  <si>
    <t>ORD0956</t>
  </si>
  <si>
    <t>ORD0957</t>
  </si>
  <si>
    <t>ORD0958</t>
  </si>
  <si>
    <t>ORD0959</t>
  </si>
  <si>
    <t>ORD0960</t>
  </si>
  <si>
    <t>ORD0961</t>
  </si>
  <si>
    <t>ORD0962</t>
  </si>
  <si>
    <t>ORD0963</t>
  </si>
  <si>
    <t>ORD0964</t>
  </si>
  <si>
    <t>ORD0965</t>
  </si>
  <si>
    <t>ORD0966</t>
  </si>
  <si>
    <t>ORD0967</t>
  </si>
  <si>
    <t>ORD0968</t>
  </si>
  <si>
    <t>ORD0969</t>
  </si>
  <si>
    <t>ORD0970</t>
  </si>
  <si>
    <t>ORD0971</t>
  </si>
  <si>
    <t>ORD0972</t>
  </si>
  <si>
    <t>ORD0973</t>
  </si>
  <si>
    <t>ORD0974</t>
  </si>
  <si>
    <t>ORD0975</t>
  </si>
  <si>
    <t>ORD0976</t>
  </si>
  <si>
    <t>ORD0977</t>
  </si>
  <si>
    <t>ORD0978</t>
  </si>
  <si>
    <t>ORD0979</t>
  </si>
  <si>
    <t>ORD0980</t>
  </si>
  <si>
    <t>ORD0981</t>
  </si>
  <si>
    <t>ORD0982</t>
  </si>
  <si>
    <t>ORD0983</t>
  </si>
  <si>
    <t>ORD0984</t>
  </si>
  <si>
    <t>ORD0985</t>
  </si>
  <si>
    <t>ORD0986</t>
  </si>
  <si>
    <t>ORD0987</t>
  </si>
  <si>
    <t>ORD0988</t>
  </si>
  <si>
    <t>ORD0989</t>
  </si>
  <si>
    <t>ORD0990</t>
  </si>
  <si>
    <t>ORD0991</t>
  </si>
  <si>
    <t>ORD0992</t>
  </si>
  <si>
    <t>ORD0993</t>
  </si>
  <si>
    <t>ORD0994</t>
  </si>
  <si>
    <t>ORD0995</t>
  </si>
  <si>
    <t>ORD0996</t>
  </si>
  <si>
    <t>ORD0997</t>
  </si>
  <si>
    <t>ORD0998</t>
  </si>
  <si>
    <t>ORD0999</t>
  </si>
  <si>
    <t>ORD1000</t>
  </si>
  <si>
    <t>ORD1001</t>
  </si>
  <si>
    <t>ORD1002</t>
  </si>
  <si>
    <t>ORD1003</t>
  </si>
  <si>
    <t>ORD1004</t>
  </si>
  <si>
    <t>ORD1005</t>
  </si>
  <si>
    <t>ORD1006</t>
  </si>
  <si>
    <t>ORD1007</t>
  </si>
  <si>
    <t>ORD1008</t>
  </si>
  <si>
    <t>ORD1009</t>
  </si>
  <si>
    <t>ORD1010</t>
  </si>
  <si>
    <t>ORD1011</t>
  </si>
  <si>
    <t>ORD1012</t>
  </si>
  <si>
    <t>ORD1013</t>
  </si>
  <si>
    <t>ORD1014</t>
  </si>
  <si>
    <t>ORD1015</t>
  </si>
  <si>
    <t>ORD1016</t>
  </si>
  <si>
    <t>ORD1017</t>
  </si>
  <si>
    <t>ORD1018</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</si>
  <si>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</si>
  <si>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</si>
  <si>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</si>
  <si>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</si>
  <si>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</si>
  <si>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</si>
  <si>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</si>
  <si>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</si>
  <si>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</si>
  <si>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</si>
  <si>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</si>
  <si>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</si>
  <si>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</si>
  <si>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</si>
  <si>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</si>
  <si>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</si>
  <si>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</si>
  <si>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</si>
  <si>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</si>
  <si>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</si>
  <si>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</si>
  <si>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</si>
  <si>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</si>
  <si>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</si>
  <si>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</si>
  <si>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</si>
  <si>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</si>
  <si>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</si>
  <si>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</si>
  <si>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</si>
  <si>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</si>
  <si>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</si>
  <si>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</si>
  <si>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</si>
  <si>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</si>
  <si>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</si>
  <si>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</si>
  <si>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</si>
  <si>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</si>
  <si>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</si>
  <si>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</si>
  <si>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</si>
  <si>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</si>
  <si>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</si>
  <si>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</si>
  <si>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</si>
  <si>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</si>
  <si>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</si>
  <si>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</si>
  <si>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</si>
  <si>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</si>
  <si>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</si>
  <si>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</si>
  <si>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</si>
  <si>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</si>
  <si>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</si>
  <si>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</si>
  <si>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</si>
  <si>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</si>
  <si>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</si>
  <si>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</si>
  <si>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</si>
  <si>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</si>
  <si>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</si>
  <si>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</si>
  <si>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</si>
  <si>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</si>
  <si>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</si>
  <si>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</si>
  <si>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</si>
  <si>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</si>
  <si>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</si>
  <si>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</si>
  <si>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</si>
  <si>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</si>
  <si>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</si>
  <si>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</si>
  <si>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</si>
  <si>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</si>
  <si>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</si>
  <si>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</si>
  <si>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</si>
  <si>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</si>
  <si>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</si>
  <si>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</si>
  <si>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</si>
  <si>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</si>
  <si>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</si>
  <si>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</si>
  <si>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</si>
  <si>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</si>
  <si>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</si>
  <si>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</si>
  <si>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</si>
  <si>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</si>
  <si>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</si>
  <si>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</si>
  <si>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</si>
  <si>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</si>
  <si>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</si>
  <si>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</si>
  <si>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</si>
  <si>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</si>
  <si>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</si>
  <si>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</si>
  <si>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</si>
  <si>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</si>
  <si>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</si>
  <si>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</si>
  <si>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</si>
  <si>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</si>
  <si>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</si>
  <si>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</si>
  <si>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</si>
  <si>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</si>
  <si>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</si>
  <si>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</si>
  <si>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</si>
  <si>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</si>
  <si>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</si>
  <si>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</si>
  <si>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</si>
  <si>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</si>
  <si>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</si>
  <si>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</si>
  <si>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</si>
  <si>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</si>
  <si>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</si>
  <si>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</si>
  <si>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</si>
  <si>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</si>
  <si>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</si>
  <si>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</si>
  <si>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</si>
  <si>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</si>
  <si>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</si>
  <si>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</si>
  <si>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</si>
  <si>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</si>
  <si>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</si>
  <si>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</si>
  <si>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</si>
  <si>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</si>
  <si>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</si>
  <si>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</si>
  <si>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</si>
  <si>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</si>
  <si>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</si>
  <si>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</si>
  <si>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</si>
  <si>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</si>
  <si>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</si>
  <si>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</si>
  <si>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</si>
  <si>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</si>
  <si>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</si>
  <si>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</si>
  <si>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</si>
  <si>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</si>
  <si>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</si>
  <si>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</si>
  <si>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</si>
  <si>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</si>
  <si>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</si>
  <si>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</si>
  <si>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</si>
  <si>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</si>
  <si>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</si>
  <si>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</si>
  <si>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</si>
  <si>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</si>
  <si>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</si>
  <si>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</si>
  <si>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</si>
  <si>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</si>
  <si>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</si>
  <si>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</si>
  <si>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</si>
  <si>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</si>
  <si>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</si>
  <si>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</si>
  <si>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</si>
  <si>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</si>
  <si>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</si>
  <si>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</si>
  <si>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</si>
  <si>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</si>
  <si>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</si>
  <si>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</si>
  <si>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</si>
  <si>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</si>
  <si>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</si>
  <si>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</si>
  <si>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</si>
  <si>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</si>
  <si>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</si>
  <si>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</si>
  <si>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</si>
  <si>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</si>
  <si>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</si>
  <si>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</si>
  <si>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</si>
  <si>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</si>
  <si>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</si>
  <si>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</si>
  <si>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</si>
  <si>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</si>
  <si>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</si>
  <si>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</si>
  <si>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</si>
  <si>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</si>
  <si>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</si>
  <si>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</si>
  <si>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</si>
  <si>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</si>
  <si>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</si>
  <si>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</si>
  <si>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</si>
  <si>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</si>
  <si>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</si>
  <si>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</si>
  <si>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</si>
  <si>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</si>
  <si>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</si>
  <si>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</si>
  <si>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</si>
  <si>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</si>
  <si>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</si>
  <si>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</si>
  <si>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</si>
  <si>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</si>
  <si>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</si>
  <si>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</si>
  <si>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</si>
  <si>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</si>
  <si>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</si>
  <si>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</si>
  <si>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</si>
  <si>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</si>
  <si>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</si>
  <si>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</si>
  <si>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</si>
  <si>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</si>
  <si>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</si>
  <si>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</si>
  <si>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</si>
  <si>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</si>
  <si>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</si>
  <si>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</si>
  <si>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</si>
  <si>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</si>
  <si>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</si>
  <si>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</si>
  <si>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</si>
  <si>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</si>
  <si>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</si>
  <si>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</si>
  <si>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</si>
  <si>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</si>
  <si>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</si>
  <si>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</si>
  <si>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</si>
  <si>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</si>
  <si>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</si>
  <si>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</si>
  <si>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</si>
  <si>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</si>
  <si>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</si>
  <si>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</si>
  <si>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</si>
  <si>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</si>
  <si>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</si>
  <si>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</si>
  <si>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</si>
  <si>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</si>
  <si>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</si>
  <si>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</si>
  <si>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</si>
  <si>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</si>
  <si>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</si>
  <si>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</si>
  <si>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</si>
  <si>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</si>
  <si>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</si>
  <si>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</si>
  <si>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</si>
  <si>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</si>
  <si>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</si>
  <si>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</si>
  <si>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</si>
  <si>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</si>
  <si>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</si>
  <si>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</si>
  <si>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</si>
  <si>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</si>
  <si>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</si>
  <si>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</si>
  <si>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</si>
  <si>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</si>
  <si>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</si>
  <si>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</si>
  <si>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</si>
  <si>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</si>
  <si>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</si>
  <si>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</si>
  <si>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</si>
  <si>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</si>
  <si>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</si>
  <si>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</si>
  <si>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</si>
  <si>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</si>
  <si>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</si>
  <si>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</si>
  <si>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</si>
  <si>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</si>
  <si>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</si>
  <si>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</si>
  <si>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</si>
  <si>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</si>
  <si>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</si>
  <si>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</si>
  <si>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</si>
  <si>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</si>
  <si>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</si>
  <si>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</si>
  <si>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</si>
  <si>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</si>
  <si>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</si>
  <si>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</si>
  <si>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</si>
  <si>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</si>
  <si>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</si>
  <si>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</si>
  <si>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</si>
  <si>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</si>
  <si>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</si>
  <si>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</si>
  <si>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</si>
  <si>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</si>
  <si>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</si>
  <si>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</si>
  <si>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</si>
  <si>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</si>
  <si>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</si>
  <si>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</si>
  <si>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</si>
  <si>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</si>
  <si>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</si>
  <si>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</si>
  <si>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</si>
  <si>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</si>
  <si>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</si>
  <si>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</si>
  <si>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</si>
  <si>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</si>
  <si>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</si>
  <si>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</si>
  <si>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</si>
  <si>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</si>
  <si>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</si>
  <si>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</si>
  <si>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</si>
  <si>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</si>
  <si>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</si>
  <si>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</si>
  <si>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</si>
  <si>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</si>
  <si>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</si>
  <si>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</si>
  <si>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</si>
  <si>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</si>
  <si>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</si>
  <si>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</si>
  <si>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</si>
  <si>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</si>
  <si>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</si>
  <si>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</si>
  <si>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</si>
  <si>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</si>
  <si>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</si>
  <si>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</si>
  <si>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</si>
  <si>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</si>
  <si>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</si>
  <si>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</si>
  <si>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</si>
  <si>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</si>
  <si>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</si>
  <si>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</si>
  <si>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</si>
  <si>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</si>
  <si>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</si>
  <si>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</si>
  <si>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</si>
  <si>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</si>
  <si>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</si>
  <si>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</si>
  <si>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</si>
  <si>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</si>
  <si>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</si>
  <si>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</si>
  <si>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</si>
  <si>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</si>
  <si>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</si>
  <si>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</si>
  <si>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</si>
  <si>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</si>
  <si>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</si>
  <si>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</si>
  <si>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</si>
  <si>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</si>
  <si>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</si>
  <si>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</si>
  <si>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</si>
  <si>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</si>
  <si>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</si>
  <si>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</si>
  <si>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</si>
  <si>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</si>
  <si>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</si>
  <si>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</si>
  <si>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</si>
  <si>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</si>
  <si>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</si>
  <si>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</si>
  <si>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</si>
  <si>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</si>
  <si>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</si>
  <si>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</si>
  <si>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</si>
  <si>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</si>
  <si>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</si>
  <si>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</si>
  <si>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</si>
  <si>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</si>
  <si>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</si>
  <si>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</si>
  <si>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</si>
  <si>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</si>
  <si>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</si>
  <si>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</si>
  <si>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</si>
  <si>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</si>
  <si>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</si>
  <si>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</si>
  <si>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</si>
  <si>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</si>
  <si>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</si>
  <si>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</si>
  <si>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</si>
  <si>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</si>
  <si>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</si>
  <si>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</si>
  <si>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</si>
  <si>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</si>
  <si>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</si>
  <si>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</si>
  <si>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</si>
  <si>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</si>
  <si>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</si>
  <si>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</si>
  <si>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</si>
  <si>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</si>
  <si>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</si>
  <si>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</si>
  <si>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</si>
  <si>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</si>
  <si>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</si>
  <si>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</si>
  <si>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</si>
  <si>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</si>
  <si>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</si>
  <si>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</si>
  <si>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</si>
  <si>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</si>
  <si>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</si>
  <si>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</si>
  <si>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</si>
  <si>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</si>
  <si>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</si>
  <si>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</si>
  <si>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</si>
  <si>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</si>
  <si>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</si>
  <si>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</si>
  <si>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</si>
  <si>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</si>
  <si>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</si>
  <si>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</si>
  <si>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</si>
  <si>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</si>
  <si>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</si>
  <si>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</si>
  <si>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</si>
  <si>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</si>
  <si>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</si>
  <si>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</si>
  <si>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</si>
  <si>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</si>
  <si>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</si>
  <si>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</si>
  <si>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</si>
  <si>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</si>
  <si>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</si>
  <si>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</si>
  <si>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</si>
  <si>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</si>
  <si>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</si>
  <si>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</si>
  <si>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</si>
  <si>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</si>
  <si>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</si>
  <si>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</si>
  <si>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</si>
  <si>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</si>
  <si>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</si>
  <si>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</si>
  <si>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</si>
  <si>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</si>
  <si>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</si>
  <si>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</si>
  <si>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</si>
  <si>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</si>
  <si>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</si>
  <si>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</si>
  <si>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</si>
  <si>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</si>
  <si>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</si>
  <si>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</si>
  <si>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</si>
  <si>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</si>
  <si>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</si>
  <si>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</si>
  <si>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</si>
  <si>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</si>
  <si>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</si>
  <si>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</si>
  <si>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</si>
  <si>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</si>
  <si>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</si>
  <si>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</si>
  <si>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</si>
  <si>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</si>
  <si>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</si>
  <si>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</si>
  <si>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</si>
  <si>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</si>
  <si>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</si>
  <si>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</si>
  <si>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</si>
  <si>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</si>
  <si>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</si>
  <si>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</si>
  <si>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</si>
  <si>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</si>
  <si>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</si>
  <si>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</si>
  <si>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</si>
  <si>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</si>
  <si>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</si>
  <si>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</si>
  <si>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</si>
  <si>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</si>
  <si>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</si>
  <si>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</si>
  <si>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</si>
  <si>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</si>
  <si>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</si>
  <si>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</si>
  <si>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</si>
  <si>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</si>
  <si>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</si>
  <si>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</si>
  <si>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</si>
  <si>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</si>
  <si>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</si>
  <si>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</si>
  <si>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</si>
  <si>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</si>
  <si>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</si>
  <si>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</si>
  <si>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</si>
  <si>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</si>
  <si>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</si>
  <si>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</si>
  <si>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</si>
  <si>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</si>
  <si>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</si>
  <si>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</si>
  <si>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</si>
  <si>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</si>
  <si>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</si>
  <si>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</si>
  <si>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</si>
  <si>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</si>
  <si>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</si>
  <si>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</si>
  <si>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</si>
  <si>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</si>
  <si>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</si>
  <si>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</si>
  <si>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</si>
  <si>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</si>
  <si>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</si>
  <si>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</si>
  <si>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</si>
  <si>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</si>
  <si>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</si>
  <si>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</si>
  <si>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</si>
  <si>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</si>
  <si>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</si>
  <si>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</si>
  <si>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</si>
  <si>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</si>
  <si>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</si>
  <si>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</si>
  <si>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</si>
  <si>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</si>
  <si>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</si>
  <si>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</si>
  <si>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</si>
  <si>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</si>
  <si>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</si>
  <si>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</si>
  <si>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</si>
  <si>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</si>
  <si>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</si>
  <si>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</si>
  <si>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</si>
  <si>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</si>
  <si>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</si>
  <si>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</si>
  <si>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</si>
  <si>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</si>
  <si>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</si>
  <si>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</si>
  <si>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</si>
  <si>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</si>
  <si>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</si>
  <si>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</si>
  <si>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</si>
  <si>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</si>
  <si>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</si>
  <si>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</si>
  <si>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</si>
  <si>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</si>
  <si>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</si>
  <si>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</si>
  <si>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</si>
  <si>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</si>
  <si>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</si>
  <si>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</si>
  <si>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</si>
  <si>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</si>
  <si>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</si>
  <si>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</si>
  <si>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</si>
  <si>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</si>
  <si>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</si>
  <si>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</si>
  <si>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</si>
  <si>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</si>
  <si>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</si>
  <si>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</si>
  <si>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</si>
  <si>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</si>
  <si>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</si>
  <si>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</si>
  <si>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</si>
  <si>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</si>
  <si>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</si>
  <si>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</si>
  <si>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</si>
  <si>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</si>
  <si>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</si>
  <si>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</si>
  <si>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</si>
  <si>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</si>
  <si>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</si>
  <si>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</si>
  <si>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</si>
  <si>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</si>
  <si>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</si>
  <si>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</si>
  <si>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</si>
  <si>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</si>
  <si>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</si>
  <si>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</si>
  <si>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</si>
  <si>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</si>
  <si>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</si>
  <si>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</si>
  <si>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</si>
  <si>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</si>
  <si>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</si>
  <si>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</si>
  <si>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</si>
  <si>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</si>
  <si>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</si>
  <si>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</si>
  <si>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</si>
  <si>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</si>
  <si>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</si>
  <si>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</si>
  <si>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</si>
  <si>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</si>
  <si>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</si>
  <si>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</si>
  <si>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</si>
  <si>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</si>
  <si>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</si>
  <si>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</si>
  <si>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</si>
  <si>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</si>
  <si>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</si>
  <si>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</si>
  <si>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</si>
  <si>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</si>
  <si>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</si>
  <si>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</si>
  <si>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</si>
  <si>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</si>
  <si>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</si>
  <si>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</si>
  <si>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</si>
  <si>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</si>
  <si>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</si>
  <si>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</si>
  <si>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</si>
  <si>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</si>
  <si>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</si>
  <si>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</si>
  <si>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</si>
  <si>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</si>
  <si>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</si>
  <si>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</si>
  <si>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</si>
  <si>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</si>
  <si>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</si>
  <si>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</si>
  <si>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</si>
  <si>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</si>
  <si>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</si>
  <si>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</si>
  <si>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</si>
  <si>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</si>
  <si>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</si>
  <si>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</si>
  <si>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</si>
  <si>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</si>
  <si>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</si>
  <si>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</si>
  <si>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</si>
  <si>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</si>
  <si>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</si>
  <si>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</si>
  <si>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</si>
  <si>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</si>
  <si>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</si>
  <si>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</si>
  <si>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</si>
  <si>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</si>
  <si>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</si>
  <si>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</si>
  <si>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</si>
  <si>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</si>
  <si>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</si>
  <si>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</si>
  <si>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</si>
  <si>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</si>
  <si>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</si>
  <si>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</si>
  <si>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</si>
  <si>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</si>
  <si>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</si>
  <si>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</si>
  <si>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</si>
  <si>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</si>
  <si>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</si>
  <si>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</si>
  <si>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</si>
  <si>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</si>
  <si>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</si>
  <si>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</si>
  <si>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</si>
  <si>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</si>
  <si>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</si>
  <si>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</si>
  <si>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</si>
  <si>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</si>
  <si>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</si>
  <si>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</si>
  <si>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</si>
  <si>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</si>
  <si>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</si>
  <si>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</si>
  <si>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</si>
  <si>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</si>
  <si>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</si>
  <si>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</si>
  <si>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</si>
  <si>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</si>
  <si>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</si>
  <si>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</si>
  <si>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</si>
  <si>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</si>
  <si>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</si>
  <si>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</si>
  <si>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</si>
  <si>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</si>
  <si>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</si>
  <si>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</si>
  <si>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</si>
  <si>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</si>
  <si>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</si>
  <si>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</si>
  <si>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</si>
  <si>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</si>
  <si>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</si>
  <si>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</si>
  <si>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</si>
  <si>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</si>
  <si>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</si>
  <si>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</si>
  <si>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</si>
  <si>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</si>
  <si>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</si>
  <si>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</si>
  <si>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</si>
  <si>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</si>
  <si>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</si>
  <si>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</si>
  <si>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</si>
  <si>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</si>
  <si>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</si>
  <si>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</si>
  <si>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</si>
  <si>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</si>
  <si>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</si>
  <si>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</si>
  <si>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</si>
  <si>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</si>
  <si>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</si>
  <si>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</si>
  <si>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</si>
  <si>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</si>
  <si>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</si>
  <si>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</si>
  <si>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</si>
  <si>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</si>
  <si>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</si>
  <si>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</si>
  <si>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</si>
  <si>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</si>
  <si>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</si>
  <si>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</si>
  <si>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</si>
  <si>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</si>
  <si>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</si>
  <si>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</si>
  <si>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</si>
  <si>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</si>
  <si>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</si>
  <si>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</si>
  <si>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</si>
  <si>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</si>
  <si>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</si>
  <si>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</si>
  <si>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</si>
  <si>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</si>
  <si>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</si>
  <si>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</si>
  <si>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</si>
  <si>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</si>
  <si>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</si>
  <si>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</si>
  <si>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</si>
  <si>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</si>
  <si>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</si>
  <si>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</si>
  <si>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</si>
  <si>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</si>
  <si>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</si>
  <si>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</si>
  <si>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</si>
  <si>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</si>
  <si>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</si>
  <si>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</si>
  <si>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</si>
  <si>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</si>
  <si>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</si>
  <si>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</si>
  <si>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</si>
  <si>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</si>
  <si>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</si>
  <si>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</si>
  <si>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</si>
  <si>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</si>
  <si>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</si>
  <si>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</si>
  <si>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</si>
  <si>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</si>
  <si>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</si>
  <si>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</si>
  <si>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</si>
  <si>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</si>
  <si>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</si>
  <si>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</si>
  <si>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</si>
  <si>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</si>
  <si>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</si>
  <si>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</si>
  <si>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</si>
  <si>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</si>
  <si>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</si>
  <si>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</si>
  <si>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</si>
  <si>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</si>
  <si>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</si>
  <si>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</si>
  <si>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</si>
  <si>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</si>
  <si>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</si>
  <si>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</si>
  <si>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</si>
  <si>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</si>
  <si>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</si>
  <si>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</si>
  <si>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</si>
  <si>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</si>
  <si>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</si>
  <si>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</si>
  <si>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</si>
  <si>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</si>
  <si>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</si>
  <si>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</si>
  <si>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</si>
  <si>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</si>
  <si>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</si>
  <si>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</si>
  <si>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</si>
  <si>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</si>
  <si>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</si>
  <si>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</si>
  <si>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</si>
  <si>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</si>
  <si>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</si>
  <si>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</si>
  <si>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</si>
  <si>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</si>
  <si>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</si>
  <si>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</si>
  <si>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</si>
  <si>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</si>
  <si>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</si>
  <si>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</si>
  <si>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</si>
  <si>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</si>
  <si>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</si>
  <si>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</si>
  <si>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</si>
  <si>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</si>
  <si>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</si>
  <si>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</si>
  <si>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</si>
  <si>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</si>
  <si>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</si>
  <si>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</si>
  <si>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</si>
  <si>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</si>
  <si>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</si>
  <si>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</si>
  <si>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</si>
  <si>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</si>
  <si>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</si>
  <si>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</si>
  <si>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</si>
  <si>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</si>
  <si>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</si>
  <si>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</si>
  <si>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</si>
  <si>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Regions</t>
  </si>
  <si>
    <t>What is the total revenue generated?</t>
  </si>
  <si>
    <t>What is the total number of orders?</t>
  </si>
  <si>
    <t>What is the monthly recurring revenue?</t>
  </si>
  <si>
    <t>What is the yearly recurring revenue?</t>
  </si>
  <si>
    <t>What is the average revenue per user?</t>
  </si>
  <si>
    <t>What is the overall churn rate?</t>
  </si>
  <si>
    <t>What percentage of users stream on Mobile?</t>
  </si>
  <si>
    <t>What percentage of users stream on Desktop?</t>
  </si>
  <si>
    <t>What percentage of users stream on Smart TV?</t>
  </si>
  <si>
    <t>Revenue</t>
  </si>
  <si>
    <t>Row Labels</t>
  </si>
  <si>
    <t>Grand Total</t>
  </si>
  <si>
    <t>Average of Revenue</t>
  </si>
  <si>
    <t>Count of Order ID</t>
  </si>
  <si>
    <t>Column Labels</t>
  </si>
  <si>
    <t>What state generated highest revenue?</t>
  </si>
  <si>
    <t>What region generated the highest revenue?</t>
  </si>
  <si>
    <t>Total Revenue</t>
  </si>
  <si>
    <t>Sum of Revenue</t>
  </si>
  <si>
    <t>2023</t>
  </si>
  <si>
    <t>2024</t>
  </si>
  <si>
    <t>Jan</t>
  </si>
  <si>
    <t>Feb</t>
  </si>
  <si>
    <t>Mar</t>
  </si>
  <si>
    <t>Apr</t>
  </si>
  <si>
    <t>May</t>
  </si>
  <si>
    <t>Jun</t>
  </si>
  <si>
    <t>Jul</t>
  </si>
  <si>
    <t>Aug</t>
  </si>
  <si>
    <t>Sep</t>
  </si>
  <si>
    <t>Oct</t>
  </si>
  <si>
    <t>Nov</t>
  </si>
  <si>
    <t>Dec</t>
  </si>
  <si>
    <t>Churn</t>
  </si>
  <si>
    <t>Churned</t>
  </si>
  <si>
    <t>Retained</t>
  </si>
  <si>
    <t>Count of Churn Flag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</si>
</sst>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quot;£&quot;* #,##0.00_-;_-&quot;£&quot;* &quot;-&quot;??_-;_-@_-"/>
    <numFmt numFmtId="164" formatCode="[$GHC]\ #,##0.00"/>
    <numFmt numFmtId="165" formatCode="[$GHC]\ #,##0"/>
    <numFmt numFmtId="166" formatCode="[$GHC]\ #,##0.00,,&quot;M&quot;"/>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13">
    <xf numFmtId="0" fontId="0" fillId="0" borderId="0" xfId="0"/>
    <xf numFmtId="14" fontId="0" fillId="0" borderId="0" xfId="0" applyNumberFormat="1"/>
    <xf numFmtId="164" fontId="0" fillId="0" borderId="0" xfId="0" applyNumberFormat="1"/>
    <xf numFmtId="164" fontId="0" fillId="0" borderId="0" xfId="42" applyNumberFormat="1" applyFont="1"/>
    <xf numFmtId="9" fontId="0" fillId="0" borderId="0" xfId="43" applyFont="1"/>
    <xf numFmtId="0" fontId="0" fillId="0" borderId="0" xfId="0" pivotButton="1"/>
    <xf numFmtId="0" fontId="0" fillId="0" borderId="0" xfId="0" applyAlignment="1">
      <alignment horizontal="left"/>
    </xf>
    <xf numFmtId="165" fontId="0" fillId="0" borderId="0" xfId="0" applyNumberFormat="1"/>
    <xf numFmtId="10" fontId="0" fillId="0" borderId="0" xfId="0" applyNumberFormat="1"/>
    <xf numFmtId="9" fontId="0" fillId="0" borderId="0" xfId="0" applyNumberFormat="1"/>
    <xf numFmtId="0" fontId="0" fillId="0" borderId="0" xfId="0" applyAlignment="1">
      <alignment horizontal="left" indent="1"/>
    </xf>
    <xf numFmtId="166" fontId="0" fillId="0" borderId="0" xfId="0" applyNumberFormat="1"/>
    <xf numFmtId="0" fontId="0" fillId="0" borderId="0" xfId="0" applyNumberForma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20">
    <dxf>
      <numFmt numFmtId="166" formatCode="[$GHC]\ #,##0.00,,&quot;M&quot;"/>
    </dxf>
    <dxf>
      <numFmt numFmtId="13" formatCode="0%"/>
    </dxf>
    <dxf>
      <numFmt numFmtId="13" formatCode="0%"/>
    </dxf>
    <dxf>
      <numFmt numFmtId="13" formatCode="0%"/>
    </dxf>
    <dxf>
      <numFmt numFmtId="13" formatCode="0%"/>
    </dxf>
    <dxf>
      <numFmt numFmtId="13" formatCode="0%"/>
    </dxf>
    <dxf>
      <numFmt numFmtId="166" formatCode="[$GHC]\ #,##0.00,,&quot;M&quot;"/>
    </dxf>
    <dxf>
      <numFmt numFmtId="13" formatCode="0%"/>
    </dxf>
    <dxf>
      <numFmt numFmtId="166" formatCode="[$GHC]\ #,##0.00,,&quot;M&quot;"/>
    </dxf>
    <dxf>
      <numFmt numFmtId="13" formatCode="0%"/>
    </dxf>
    <dxf>
      <numFmt numFmtId="13" formatCode="0%"/>
    </dxf>
    <dxf>
      <numFmt numFmtId="13" formatCode="0%"/>
    </dxf>
    <dxf>
      <numFmt numFmtId="13" formatCode="0%"/>
    </dxf>
    <dxf>
      <numFmt numFmtId="13" formatCode="0%"/>
    </dxf>
    <dxf>
      <numFmt numFmtId="166" formatCode="[$GHC]\ #,##0.00,,&quot;M&quot;"/>
    </dxf>
    <dxf>
      <numFmt numFmtId="13" formatCode="0%"/>
    </dxf>
    <dxf>
      <numFmt numFmtId="0" formatCode="General"/>
    </dxf>
    <dxf>
      <numFmt numFmtId="0" formatCode="General"/>
    </dxf>
    <dxf>
      <numFmt numFmtId="0" formatCode="General"/>
    </dxf>
    <dxf>
      <numFmt numFmtId="19" formatCode="dd/mm/yyyy"/>
    </dxf>
  </dxfs>
  <tableStyles count="0" defaultTableStyle="TableStyleMedium2" defaultPivotStyle="PivotStyleLight16"/>
  <colors>
    <mruColors>
      <color rgb="FFC799A6"/>
      <color rgb="FF4B2840"/>
      <color rgb="FFE15A97"/>
      <color rgb="FF861388"/>
      <color rgb="FFFEEF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[GhanaStream_Dataset.xlsx]Calcs!Average Revenue per Tier</c:name>
    <c:fmtId val="4"/>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Average</a:t>
            </a:r>
            <a:r>
              <a:rPr lang="en-US" baseline="0">
                <a:solidFill>
                  <a:sysClr val="windowText" lastClr="000000"/>
                </a:solidFill>
              </a:rPr>
              <a:t> Revenue per Tier</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61388"/>
          </a:solidFill>
          <a:ln>
            <a:noFill/>
          </a:ln>
          <a:effectLst/>
        </c:spPr>
        <c:marker>
          <c:symbol val="none"/>
        </c:marker>
        <c:dLbl>
          <c:idx val="0"/>
          <c:numFmt formatCode="[$GHC]\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861388"/>
          </a:solidFill>
          <a:ln>
            <a:noFill/>
          </a:ln>
          <a:effectLst/>
        </c:spPr>
        <c:dLbl>
          <c:idx val="0"/>
          <c:numFmt formatCode="[$GHC]\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layout>
                <c:manualLayout>
                  <c:w val="0.24734719919488996"/>
                  <c:h val="0.16566365449574086"/>
                </c:manualLayout>
              </c15:layout>
            </c:ext>
          </c:extLst>
        </c:dLbl>
      </c:pivotFmt>
    </c:pivotFmts>
    <c:plotArea>
      <c:layout/>
      <c:barChart>
        <c:barDir val="bar"/>
        <c:grouping val="clustered"/>
        <c:varyColors val="0"/>
        <c:ser>
          <c:idx val="0"/>
          <c:order val="0"/>
          <c:tx>
            <c:strRef>
              <c:f>Calcs!$C$2</c:f>
              <c:strCache>
                <c:ptCount val="1"/>
                <c:pt idx="0">
                  <c:v>Total</c:v>
                </c:pt>
              </c:strCache>
            </c:strRef>
          </c:tx>
          <c:spPr>
            <a:solidFill>
              <a:srgbClr val="861388"/>
            </a:solidFill>
            <a:ln>
              <a:noFill/>
            </a:ln>
            <a:effectLst/>
          </c:spPr>
          <c:invertIfNegative val="0"/>
          <c:dPt>
            <c:idx val="2"/>
            <c:invertIfNegative val="0"/>
            <c:bubble3D val="0"/>
            <c:spPr>
              <a:solidFill>
                <a:srgbClr val="861388"/>
              </a:solidFill>
              <a:ln>
                <a:noFill/>
              </a:ln>
              <a:effectLst/>
            </c:spPr>
            <c:extLst>
              <c:ext xmlns:c16="http://schemas.microsoft.com/office/drawing/2014/chart" uri="{C3380CC4-5D6E-409C-BE32-E72D297353CC}">
                <c16:uniqueId val="{00000000-9F31-43D0-9D8D-92EBD5D03A84}"/>
              </c:ext>
            </c:extLst>
          </c:dPt>
          <c:dLbls>
            <c:dLbl>
              <c:idx val="2"/>
              <c:dLblPos val="inBase"/>
              <c:showLegendKey val="0"/>
              <c:showVal val="1"/>
              <c:showCatName val="0"/>
              <c:showSerName val="0"/>
              <c:showPercent val="0"/>
              <c:showBubbleSize val="0"/>
              <c:extLst>
                <c:ext xmlns:c15="http://schemas.microsoft.com/office/drawing/2012/chart" uri="{CE6537A1-D6FC-4f65-9D91-7224C49458BB}">
                  <c15:layout>
                    <c:manualLayout>
                      <c:w val="0.24734719919488996"/>
                      <c:h val="0.16566365449574086"/>
                    </c:manualLayout>
                  </c15:layout>
                </c:ext>
                <c:ext xmlns:c16="http://schemas.microsoft.com/office/drawing/2014/chart" uri="{C3380CC4-5D6E-409C-BE32-E72D297353CC}">
                  <c16:uniqueId val="{00000000-9F31-43D0-9D8D-92EBD5D03A84}"/>
                </c:ext>
              </c:extLst>
            </c:dLbl>
            <c:numFmt formatCode="[$GHC]\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Calcs!$B$3:$B$6</c:f>
              <c:strCache>
                <c:ptCount val="3"/>
                <c:pt idx="0">
                  <c:v>Basic</c:v>
                </c:pt>
                <c:pt idx="1">
                  <c:v>Standard</c:v>
                </c:pt>
                <c:pt idx="2">
                  <c:v>Premium</c:v>
                </c:pt>
              </c:strCache>
            </c:strRef>
          </c:cat>
          <c:val>
            <c:numRef>
              <c:f>Calcs!$C$3:$C$6</c:f>
              <c:numCache>
                <c:formatCode>General</c:formatCode>
                <c:ptCount val="3"/>
                <c:pt idx="0">
                  <c:v>2557.9727685325265</c:v>
                </c:pt>
                <c:pt idx="1">
                  <c:v>5639.6501457725944</c:v>
                </c:pt>
                <c:pt idx="2">
                  <c:v>8310.4134762634003</c:v>
                </c:pt>
              </c:numCache>
            </c:numRef>
          </c:val>
          <c:extLst>
            <c:ext xmlns:c16="http://schemas.microsoft.com/office/drawing/2014/chart" uri="{C3380CC4-5D6E-409C-BE32-E72D297353CC}">
              <c16:uniqueId val="{00000000-5639-4BCE-B2C5-E9DE740E8806}"/>
            </c:ext>
          </c:extLst>
        </c:ser>
        <c:dLbls>
          <c:dLblPos val="outEnd"/>
          <c:showLegendKey val="0"/>
          <c:showVal val="1"/>
          <c:showCatName val="0"/>
          <c:showSerName val="0"/>
          <c:showPercent val="0"/>
          <c:showBubbleSize val="0"/>
        </c:dLbls>
        <c:gapWidth val="40"/>
        <c:axId val="1182741216"/>
        <c:axId val="1182725856"/>
      </c:barChart>
      <c:catAx>
        <c:axId val="1182741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2725856"/>
        <c:crosses val="autoZero"/>
        <c:auto val="0"/>
        <c:lblAlgn val="ctr"/>
        <c:lblOffset val="100"/>
        <c:noMultiLvlLbl val="0"/>
      </c:catAx>
      <c:valAx>
        <c:axId val="1182725856"/>
        <c:scaling>
          <c:orientation val="minMax"/>
        </c:scaling>
        <c:delete val="1"/>
        <c:axPos val="b"/>
        <c:numFmt formatCode="General" sourceLinked="1"/>
        <c:majorTickMark val="none"/>
        <c:minorTickMark val="none"/>
        <c:tickLblPos val="nextTo"/>
        <c:crossAx val="1182741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[GhanaStream_Dataset.xlsx]Calcs!Churn Rate per Tier</c:name>
    <c:fmtId val="3"/>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GB">
                <a:solidFill>
                  <a:sysClr val="windowText" lastClr="000000"/>
                </a:solidFill>
              </a:rPr>
              <a:t>Churn</a:t>
            </a:r>
            <a:r>
              <a:rPr lang="en-GB" baseline="0">
                <a:solidFill>
                  <a:sysClr val="windowText" lastClr="000000"/>
                </a:solidFill>
              </a:rPr>
              <a:t> Rate per Tier</a:t>
            </a:r>
            <a:endParaRPr lang="en-GB">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86138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E15A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E15A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86138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Calcs!$C$8:$C$9</c:f>
              <c:strCache>
                <c:ptCount val="1"/>
                <c:pt idx="0">
                  <c:v>Churned</c:v>
                </c:pt>
              </c:strCache>
            </c:strRef>
          </c:tx>
          <c:spPr>
            <a:solidFill>
              <a:srgbClr val="E15A9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Calcs!$B$10:$B$13</c:f>
              <c:strCache>
                <c:ptCount val="3"/>
                <c:pt idx="0">
                  <c:v>Basic</c:v>
                </c:pt>
                <c:pt idx="1">
                  <c:v>Premium</c:v>
                </c:pt>
                <c:pt idx="2">
                  <c:v>Standard</c:v>
                </c:pt>
              </c:strCache>
            </c:strRef>
          </c:cat>
          <c:val>
            <c:numRef>
              <c:f>Calcs!$C$10:$C$13</c:f>
              <c:numCache>
                <c:formatCode>General</c:formatCode>
                <c:ptCount val="3"/>
                <c:pt idx="0">
                  <c:v>310</c:v>
                </c:pt>
                <c:pt idx="1">
                  <c:v>336</c:v>
                </c:pt>
                <c:pt idx="2">
                  <c:v>341</c:v>
                </c:pt>
              </c:numCache>
            </c:numRef>
          </c:val>
          <c:extLst>
            <c:ext xmlns:c16="http://schemas.microsoft.com/office/drawing/2014/chart" uri="{C3380CC4-5D6E-409C-BE32-E72D297353CC}">
              <c16:uniqueId val="{00000000-7304-4238-A39B-377B774F8C50}"/>
            </c:ext>
          </c:extLst>
        </c:ser>
        <c:ser>
          <c:idx val="1"/>
          <c:order val="1"/>
          <c:tx>
            <c:strRef>
              <c:f>Calcs!$D$8:$D$9</c:f>
              <c:strCache>
                <c:ptCount val="1"/>
                <c:pt idx="0">
                  <c:v>Retained</c:v>
                </c:pt>
              </c:strCache>
            </c:strRef>
          </c:tx>
          <c:spPr>
            <a:solidFill>
              <a:srgbClr val="86138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Calcs!$B$10:$B$13</c:f>
              <c:strCache>
                <c:ptCount val="3"/>
                <c:pt idx="0">
                  <c:v>Basic</c:v>
                </c:pt>
                <c:pt idx="1">
                  <c:v>Premium</c:v>
                </c:pt>
                <c:pt idx="2">
                  <c:v>Standard</c:v>
                </c:pt>
              </c:strCache>
            </c:strRef>
          </c:cat>
          <c:val>
            <c:numRef>
              <c:f>Calcs!$D$10:$D$13</c:f>
              <c:numCache>
                <c:formatCode>General</c:formatCode>
                <c:ptCount val="3"/>
                <c:pt idx="0">
                  <c:v>351</c:v>
                </c:pt>
                <c:pt idx="1">
                  <c:v>317</c:v>
                </c:pt>
                <c:pt idx="2">
                  <c:v>345</c:v>
                </c:pt>
              </c:numCache>
            </c:numRef>
          </c:val>
          <c:extLst>
            <c:ext xmlns:c16="http://schemas.microsoft.com/office/drawing/2014/chart" uri="{C3380CC4-5D6E-409C-BE32-E72D297353CC}">
              <c16:uniqueId val="{00000001-7304-4238-A39B-377B774F8C50}"/>
            </c:ext>
          </c:extLst>
        </c:ser>
        <c:dLbls>
          <c:dLblPos val="outEnd"/>
          <c:showLegendKey val="0"/>
          <c:showVal val="1"/>
          <c:showCatName val="0"/>
          <c:showSerName val="0"/>
          <c:showPercent val="0"/>
          <c:showBubbleSize val="0"/>
        </c:dLbls>
        <c:gapWidth val="219"/>
        <c:overlap val="-27"/>
        <c:axId val="1770731744"/>
        <c:axId val="1770735584"/>
      </c:barChart>
      <c:catAx>
        <c:axId val="1770731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0735584"/>
        <c:crosses val="autoZero"/>
        <c:auto val="1"/>
        <c:lblAlgn val="ctr"/>
        <c:lblOffset val="100"/>
        <c:noMultiLvlLbl val="0"/>
      </c:catAx>
      <c:valAx>
        <c:axId val="1770735584"/>
        <c:scaling>
          <c:orientation val="minMax"/>
        </c:scaling>
        <c:delete val="1"/>
        <c:axPos val="l"/>
        <c:numFmt formatCode="General" sourceLinked="1"/>
        <c:majorTickMark val="none"/>
        <c:minorTickMark val="none"/>
        <c:tickLblPos val="nextTo"/>
        <c:crossAx val="1770731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[GhanaStream_Dataset.xlsx]Calcs!Revenue for State</c:name>
    <c:fmtId val="5"/>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Total</a:t>
            </a:r>
            <a:r>
              <a:rPr lang="en-US" baseline="0">
                <a:solidFill>
                  <a:sysClr val="windowText" lastClr="000000"/>
                </a:solidFill>
              </a:rPr>
              <a:t> Revenue per Tier</a:t>
            </a:r>
            <a:endParaRPr lang="en-US">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861388"/>
          </a:solidFill>
          <a:ln>
            <a:noFill/>
          </a:ln>
          <a:effectLst/>
        </c:spPr>
        <c:marker>
          <c:symbol val="none"/>
        </c:marker>
        <c:dLbl>
          <c:idx val="0"/>
          <c:numFmt formatCode="[$GHC]\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861388"/>
          </a:solidFill>
          <a:ln>
            <a:noFill/>
          </a:ln>
          <a:effectLst/>
        </c:spPr>
        <c:dLbl>
          <c:idx val="0"/>
          <c:numFmt formatCode="[$GHC]\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layout>
                <c:manualLayout>
                  <c:w val="0.28180269573621847"/>
                  <c:h val="0.17035331556665273"/>
                </c:manualLayout>
              </c15:layout>
            </c:ext>
          </c:extLst>
        </c:dLbl>
      </c:pivotFmt>
      <c:pivotFmt>
        <c:idx val="5"/>
        <c:spPr>
          <a:solidFill>
            <a:srgbClr val="861388"/>
          </a:solidFill>
          <a:ln>
            <a:noFill/>
          </a:ln>
          <a:effectLst/>
        </c:spPr>
        <c:dLbl>
          <c:idx val="0"/>
          <c:numFmt formatCode="[$GHC]\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layout>
                <c:manualLayout>
                  <c:w val="0.27735855923194125"/>
                  <c:h val="0.17035331556665273"/>
                </c:manualLayout>
              </c15:layout>
            </c:ext>
          </c:extLst>
        </c:dLbl>
      </c:pivotFmt>
      <c:pivotFmt>
        <c:idx val="6"/>
        <c:spPr>
          <a:solidFill>
            <a:srgbClr val="861388"/>
          </a:solidFill>
          <a:ln>
            <a:noFill/>
          </a:ln>
          <a:effectLst/>
        </c:spPr>
        <c:dLbl>
          <c:idx val="0"/>
          <c:numFmt formatCode="[$GHC]\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layout>
                <c:manualLayout>
                  <c:w val="0.28624683224049569"/>
                  <c:h val="0.17035331556665273"/>
                </c:manualLayout>
              </c15:layout>
            </c:ext>
          </c:extLst>
        </c:dLbl>
      </c:pivotFmt>
      <c:pivotFmt>
        <c:idx val="7"/>
        <c:spPr>
          <a:solidFill>
            <a:srgbClr val="861388"/>
          </a:solidFill>
          <a:ln>
            <a:noFill/>
          </a:ln>
          <a:effectLst/>
        </c:spPr>
        <c:dLbl>
          <c:idx val="0"/>
          <c:numFmt formatCode="[$GHC]\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layout>
                <c:manualLayout>
                  <c:w val="0.27735855923194125"/>
                  <c:h val="0.17035331556665273"/>
                </c:manualLayout>
              </c15:layout>
            </c:ext>
          </c:extLst>
        </c:dLbl>
      </c:pivotFmt>
    </c:pivotFmts>
    <c:plotArea>
      <c:layout/>
      <c:barChart>
        <c:barDir val="bar"/>
        <c:grouping val="clustered"/>
        <c:varyColors val="0"/>
        <c:ser>
          <c:idx val="0"/>
          <c:order val="0"/>
          <c:tx>
            <c:strRef>
              <c:f>Calcs!$C$15</c:f>
              <c:strCache>
                <c:ptCount val="1"/>
                <c:pt idx="0">
                  <c:v>Total</c:v>
                </c:pt>
              </c:strCache>
            </c:strRef>
          </c:tx>
          <c:spPr>
            <a:solidFill>
              <a:srgbClr val="861388"/>
            </a:solidFill>
            <a:ln>
              <a:noFill/>
            </a:ln>
            <a:effectLst/>
          </c:spPr>
          <c:invertIfNegative val="0"/>
          <c:dPt>
            <c:idx val="0"/>
            <c:invertIfNegative val="0"/>
            <c:bubble3D val="0"/>
            <c:spPr>
              <a:solidFill>
                <a:srgbClr val="861388"/>
              </a:solidFill>
              <a:ln>
                <a:noFill/>
              </a:ln>
              <a:effectLst/>
            </c:spPr>
            <c:extLst>
              <c:ext xmlns:c16="http://schemas.microsoft.com/office/drawing/2014/chart" uri="{C3380CC4-5D6E-409C-BE32-E72D297353CC}">
                <c16:uniqueId val="{00000004-AE55-4507-BBD6-089A597EFDBC}"/>
              </c:ext>
            </c:extLst>
          </c:dPt>
          <c:dPt>
            <c:idx val="1"/>
            <c:invertIfNegative val="0"/>
            <c:bubble3D val="0"/>
            <c:spPr>
              <a:solidFill>
                <a:srgbClr val="861388"/>
              </a:solidFill>
              <a:ln>
                <a:noFill/>
              </a:ln>
              <a:effectLst/>
            </c:spPr>
            <c:extLst>
              <c:ext xmlns:c16="http://schemas.microsoft.com/office/drawing/2014/chart" uri="{C3380CC4-5D6E-409C-BE32-E72D297353CC}">
                <c16:uniqueId val="{00000003-AE55-4507-BBD6-089A597EFDBC}"/>
              </c:ext>
            </c:extLst>
          </c:dPt>
          <c:dPt>
            <c:idx val="2"/>
            <c:invertIfNegative val="0"/>
            <c:bubble3D val="0"/>
            <c:spPr>
              <a:solidFill>
                <a:srgbClr val="861388"/>
              </a:solidFill>
              <a:ln>
                <a:noFill/>
              </a:ln>
              <a:effectLst/>
            </c:spPr>
            <c:extLst>
              <c:ext xmlns:c16="http://schemas.microsoft.com/office/drawing/2014/chart" uri="{C3380CC4-5D6E-409C-BE32-E72D297353CC}">
                <c16:uniqueId val="{00000002-AE55-4507-BBD6-089A597EFDBC}"/>
              </c:ext>
            </c:extLst>
          </c:dPt>
          <c:dPt>
            <c:idx val="3"/>
            <c:invertIfNegative val="0"/>
            <c:bubble3D val="0"/>
            <c:spPr>
              <a:solidFill>
                <a:srgbClr val="861388"/>
              </a:solidFill>
              <a:ln>
                <a:noFill/>
              </a:ln>
              <a:effectLst/>
            </c:spPr>
            <c:extLst>
              <c:ext xmlns:c16="http://schemas.microsoft.com/office/drawing/2014/chart" uri="{C3380CC4-5D6E-409C-BE32-E72D297353CC}">
                <c16:uniqueId val="{00000001-AE55-4507-BBD6-089A597EFDBC}"/>
              </c:ext>
            </c:extLst>
          </c:dPt>
          <c:dLbls>
            <c:dLbl>
              <c:idx val="0"/>
              <c:dLblPos val="inBase"/>
              <c:showLegendKey val="0"/>
              <c:showVal val="1"/>
              <c:showCatName val="0"/>
              <c:showSerName val="0"/>
              <c:showPercent val="0"/>
              <c:showBubbleSize val="0"/>
              <c:extLst>
                <c:ext xmlns:c15="http://schemas.microsoft.com/office/drawing/2012/chart" uri="{CE6537A1-D6FC-4f65-9D91-7224C49458BB}">
                  <c15:layout>
                    <c:manualLayout>
                      <c:w val="0.27735855923194125"/>
                      <c:h val="0.17035331556665273"/>
                    </c:manualLayout>
                  </c15:layout>
                </c:ext>
                <c:ext xmlns:c16="http://schemas.microsoft.com/office/drawing/2014/chart" uri="{C3380CC4-5D6E-409C-BE32-E72D297353CC}">
                  <c16:uniqueId val="{00000004-AE55-4507-BBD6-089A597EFDBC}"/>
                </c:ext>
              </c:extLst>
            </c:dLbl>
            <c:dLbl>
              <c:idx val="1"/>
              <c:dLblPos val="inBase"/>
              <c:showLegendKey val="0"/>
              <c:showVal val="1"/>
              <c:showCatName val="0"/>
              <c:showSerName val="0"/>
              <c:showPercent val="0"/>
              <c:showBubbleSize val="0"/>
              <c:extLst>
                <c:ext xmlns:c15="http://schemas.microsoft.com/office/drawing/2012/chart" uri="{CE6537A1-D6FC-4f65-9D91-7224C49458BB}">
                  <c15:layout>
                    <c:manualLayout>
                      <c:w val="0.28624683224049569"/>
                      <c:h val="0.17035331556665273"/>
                    </c:manualLayout>
                  </c15:layout>
                </c:ext>
                <c:ext xmlns:c16="http://schemas.microsoft.com/office/drawing/2014/chart" uri="{C3380CC4-5D6E-409C-BE32-E72D297353CC}">
                  <c16:uniqueId val="{00000003-AE55-4507-BBD6-089A597EFDBC}"/>
                </c:ext>
              </c:extLst>
            </c:dLbl>
            <c:dLbl>
              <c:idx val="2"/>
              <c:dLblPos val="inBase"/>
              <c:showLegendKey val="0"/>
              <c:showVal val="1"/>
              <c:showCatName val="0"/>
              <c:showSerName val="0"/>
              <c:showPercent val="0"/>
              <c:showBubbleSize val="0"/>
              <c:extLst>
                <c:ext xmlns:c15="http://schemas.microsoft.com/office/drawing/2012/chart" uri="{CE6537A1-D6FC-4f65-9D91-7224C49458BB}">
                  <c15:layout>
                    <c:manualLayout>
                      <c:w val="0.27735855923194125"/>
                      <c:h val="0.17035331556665273"/>
                    </c:manualLayout>
                  </c15:layout>
                </c:ext>
                <c:ext xmlns:c16="http://schemas.microsoft.com/office/drawing/2014/chart" uri="{C3380CC4-5D6E-409C-BE32-E72D297353CC}">
                  <c16:uniqueId val="{00000002-AE55-4507-BBD6-089A597EFDBC}"/>
                </c:ext>
              </c:extLst>
            </c:dLbl>
            <c:dLbl>
              <c:idx val="3"/>
              <c:dLblPos val="inBase"/>
              <c:showLegendKey val="0"/>
              <c:showVal val="1"/>
              <c:showCatName val="0"/>
              <c:showSerName val="0"/>
              <c:showPercent val="0"/>
              <c:showBubbleSize val="0"/>
              <c:extLst>
                <c:ext xmlns:c15="http://schemas.microsoft.com/office/drawing/2012/chart" uri="{CE6537A1-D6FC-4f65-9D91-7224C49458BB}">
                  <c15:layout>
                    <c:manualLayout>
                      <c:w val="0.28180269573621847"/>
                      <c:h val="0.17035331556665273"/>
                    </c:manualLayout>
                  </c15:layout>
                </c:ext>
                <c:ext xmlns:c16="http://schemas.microsoft.com/office/drawing/2014/chart" uri="{C3380CC4-5D6E-409C-BE32-E72D297353CC}">
                  <c16:uniqueId val="{00000001-AE55-4507-BBD6-089A597EFDBC}"/>
                </c:ext>
              </c:extLst>
            </c:dLbl>
            <c:numFmt formatCode="[$GHC]\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Calcs!$B$16:$B$20</c:f>
              <c:strCache>
                <c:ptCount val="4"/>
                <c:pt idx="0">
                  <c:v>Southern Ghana</c:v>
                </c:pt>
                <c:pt idx="1">
                  <c:v>Eastern Ghana</c:v>
                </c:pt>
                <c:pt idx="2">
                  <c:v>Northern Ghana</c:v>
                </c:pt>
                <c:pt idx="3">
                  <c:v>Western Ghana</c:v>
                </c:pt>
              </c:strCache>
            </c:strRef>
          </c:cat>
          <c:val>
            <c:numRef>
              <c:f>Calcs!$C$16:$C$20</c:f>
              <c:numCache>
                <c:formatCode>General</c:formatCode>
                <c:ptCount val="4"/>
                <c:pt idx="0">
                  <c:v>2595960</c:v>
                </c:pt>
                <c:pt idx="1">
                  <c:v>2686860</c:v>
                </c:pt>
                <c:pt idx="2">
                  <c:v>2780640</c:v>
                </c:pt>
                <c:pt idx="3">
                  <c:v>2922860</c:v>
                </c:pt>
              </c:numCache>
            </c:numRef>
          </c:val>
          <c:extLst>
            <c:ext xmlns:c16="http://schemas.microsoft.com/office/drawing/2014/chart" uri="{C3380CC4-5D6E-409C-BE32-E72D297353CC}">
              <c16:uniqueId val="{00000000-AE55-4507-BBD6-089A597EFDBC}"/>
            </c:ext>
          </c:extLst>
        </c:ser>
        <c:dLbls>
          <c:dLblPos val="outEnd"/>
          <c:showLegendKey val="0"/>
          <c:showVal val="1"/>
          <c:showCatName val="0"/>
          <c:showSerName val="0"/>
          <c:showPercent val="0"/>
          <c:showBubbleSize val="0"/>
        </c:dLbls>
        <c:gapWidth val="40"/>
        <c:axId val="1770766304"/>
        <c:axId val="1770758144"/>
      </c:barChart>
      <c:catAx>
        <c:axId val="17707663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0758144"/>
        <c:crosses val="autoZero"/>
        <c:auto val="1"/>
        <c:lblAlgn val="ctr"/>
        <c:lblOffset val="100"/>
        <c:noMultiLvlLbl val="0"/>
      </c:catAx>
      <c:valAx>
        <c:axId val="1770758144"/>
        <c:scaling>
          <c:orientation val="minMax"/>
        </c:scaling>
        <c:delete val="1"/>
        <c:axPos val="b"/>
        <c:numFmt formatCode="General" sourceLinked="1"/>
        <c:majorTickMark val="none"/>
        <c:minorTickMark val="none"/>
        <c:tickLblPos val="nextTo"/>
        <c:crossAx val="1770766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[GhanaStream_Dataset.xlsx]Calcs!% Split of Devices</c:name>
    <c:fmtId val="3"/>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Percentage</a:t>
            </a:r>
            <a:r>
              <a:rPr lang="en-US" baseline="0">
                <a:solidFill>
                  <a:sysClr val="windowText" lastClr="000000"/>
                </a:solidFill>
              </a:rPr>
              <a:t> Split per Device</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solidFill>
            <a:srgbClr val="861388"/>
          </a:solidFill>
          <a:ln>
            <a:noFill/>
          </a:ln>
          <a:effectLst/>
        </c:spPr>
        <c:dLbl>
          <c:idx val="0"/>
          <c:layout>
            <c:manualLayout>
              <c:x val="0.20725694444444445"/>
              <c:y val="-9.9842767295597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rgbClr val="E15A97"/>
          </a:solidFill>
          <a:ln>
            <a:noFill/>
          </a:ln>
          <a:effectLst/>
        </c:spPr>
        <c:dLbl>
          <c:idx val="0"/>
          <c:layout>
            <c:manualLayout>
              <c:x val="-0.24694444444444444"/>
              <c:y val="6.65618448637316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solidFill>
            <a:srgbClr val="4B2840"/>
          </a:solidFill>
          <a:ln>
            <a:noFill/>
          </a:ln>
          <a:effectLst/>
        </c:spPr>
        <c:dLbl>
          <c:idx val="0"/>
          <c:layout>
            <c:manualLayout>
              <c:x val="-0.20725694444444445"/>
              <c:y val="-4.65932914046121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Calcs!$C$22</c:f>
              <c:strCache>
                <c:ptCount val="1"/>
                <c:pt idx="0">
                  <c:v>Total</c:v>
                </c:pt>
              </c:strCache>
            </c:strRef>
          </c:tx>
          <c:dPt>
            <c:idx val="0"/>
            <c:bubble3D val="0"/>
            <c:spPr>
              <a:solidFill>
                <a:srgbClr val="861388"/>
              </a:solidFill>
              <a:ln>
                <a:noFill/>
              </a:ln>
              <a:effectLst/>
            </c:spPr>
            <c:extLst>
              <c:ext xmlns:c16="http://schemas.microsoft.com/office/drawing/2014/chart" uri="{C3380CC4-5D6E-409C-BE32-E72D297353CC}">
                <c16:uniqueId val="{00000001-C110-4D64-AEB6-65A216E8F3CD}"/>
              </c:ext>
            </c:extLst>
          </c:dPt>
          <c:dPt>
            <c:idx val="1"/>
            <c:bubble3D val="0"/>
            <c:spPr>
              <a:solidFill>
                <a:srgbClr val="E15A97"/>
              </a:solidFill>
              <a:ln>
                <a:noFill/>
              </a:ln>
              <a:effectLst/>
            </c:spPr>
            <c:extLst>
              <c:ext xmlns:c16="http://schemas.microsoft.com/office/drawing/2014/chart" uri="{C3380CC4-5D6E-409C-BE32-E72D297353CC}">
                <c16:uniqueId val="{00000003-C110-4D64-AEB6-65A216E8F3CD}"/>
              </c:ext>
            </c:extLst>
          </c:dPt>
          <c:dPt>
            <c:idx val="2"/>
            <c:bubble3D val="0"/>
            <c:spPr>
              <a:solidFill>
                <a:srgbClr val="4B2840"/>
              </a:solidFill>
              <a:ln>
                <a:noFill/>
              </a:ln>
              <a:effectLst/>
            </c:spPr>
            <c:extLst>
              <c:ext xmlns:c16="http://schemas.microsoft.com/office/drawing/2014/chart" uri="{C3380CC4-5D6E-409C-BE32-E72D297353CC}">
                <c16:uniqueId val="{00000005-C110-4D64-AEB6-65A216E8F3CD}"/>
              </c:ext>
            </c:extLst>
          </c:dPt>
          <c:dLbls>
            <c:dLbl>
              <c:idx val="0"/>
              <c:layout>
                <c:manualLayout>
                  <c:x val="0.20725694444444445"/>
                  <c:y val="-9.98427672955974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110-4D64-AEB6-65A216E8F3CD}"/>
                </c:ext>
              </c:extLst>
            </c:dLbl>
            <c:dLbl>
              <c:idx val="1"/>
              <c:layout>
                <c:manualLayout>
                  <c:x val="-0.24694444444444444"/>
                  <c:y val="6.6561844863731651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110-4D64-AEB6-65A216E8F3CD}"/>
                </c:ext>
              </c:extLst>
            </c:dLbl>
            <c:dLbl>
              <c:idx val="2"/>
              <c:layout>
                <c:manualLayout>
                  <c:x val="-0.20725694444444445"/>
                  <c:y val="-4.659329140461215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110-4D64-AEB6-65A216E8F3C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Calcs!$B$23:$B$26</c:f>
              <c:strCache>
                <c:ptCount val="3"/>
                <c:pt idx="0">
                  <c:v>Desktop</c:v>
                </c:pt>
                <c:pt idx="1">
                  <c:v>Mobile</c:v>
                </c:pt>
                <c:pt idx="2">
                  <c:v>Smart TV</c:v>
                </c:pt>
              </c:strCache>
            </c:strRef>
          </c:cat>
          <c:val>
            <c:numRef>
              <c:f>Calcs!$C$23:$C$26</c:f>
              <c:numCache>
                <c:formatCode>0%</c:formatCode>
                <c:ptCount val="3"/>
                <c:pt idx="0">
                  <c:v>0.34449999999999997</c:v>
                </c:pt>
                <c:pt idx="1">
                  <c:v>0.39600000000000002</c:v>
                </c:pt>
                <c:pt idx="2">
                  <c:v>0.25950000000000001</c:v>
                </c:pt>
              </c:numCache>
            </c:numRef>
          </c:val>
          <c:extLst>
            <c:ext xmlns:c16="http://schemas.microsoft.com/office/drawing/2014/chart" uri="{C3380CC4-5D6E-409C-BE32-E72D297353CC}">
              <c16:uniqueId val="{00000006-C110-4D64-AEB6-65A216E8F3C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[GhanaStream_Dataset.xlsx]Calcs!MRR</c:name>
    <c:fmtId val="3"/>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Monthly</a:t>
            </a:r>
            <a:r>
              <a:rPr lang="en-US" baseline="0">
                <a:solidFill>
                  <a:sysClr val="windowText" lastClr="000000"/>
                </a:solidFill>
              </a:rPr>
              <a:t> Recurring Revenue</a:t>
            </a:r>
            <a:endParaRPr lang="en-US">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61388"/>
          </a:solidFill>
          <a:ln>
            <a:noFill/>
          </a:ln>
          <a:effectLst/>
        </c:spPr>
        <c:marker>
          <c:symbol val="none"/>
        </c:marker>
        <c:dLbl>
          <c:idx val="0"/>
          <c:numFmt formatCode="[$GHC]\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861388"/>
          </a:solidFill>
          <a:ln>
            <a:noFill/>
          </a:ln>
          <a:effectLst/>
        </c:spPr>
        <c:dLbl>
          <c:idx val="0"/>
          <c:numFmt formatCode="[$GHC]\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861388"/>
          </a:solidFill>
          <a:ln>
            <a:noFill/>
          </a:ln>
          <a:effectLst/>
        </c:spPr>
        <c:dLbl>
          <c:idx val="0"/>
          <c:numFmt formatCode="[$GHC]\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861388"/>
          </a:solidFill>
          <a:ln>
            <a:noFill/>
          </a:ln>
          <a:effectLst/>
        </c:spPr>
        <c:dLbl>
          <c:idx val="0"/>
          <c:numFmt formatCode="[$GHC]\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861388"/>
          </a:solidFill>
          <a:ln>
            <a:noFill/>
          </a:ln>
          <a:effectLst/>
        </c:spPr>
        <c:dLbl>
          <c:idx val="0"/>
          <c:numFmt formatCode="[$GHC]\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861388"/>
          </a:solidFill>
          <a:ln>
            <a:noFill/>
          </a:ln>
          <a:effectLst/>
        </c:spPr>
        <c:dLbl>
          <c:idx val="0"/>
          <c:numFmt formatCode="[$GHC]\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861388"/>
          </a:solidFill>
          <a:ln>
            <a:noFill/>
          </a:ln>
          <a:effectLst/>
        </c:spPr>
        <c:dLbl>
          <c:idx val="0"/>
          <c:numFmt formatCode="[$GHC]\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861388"/>
          </a:solidFill>
          <a:ln>
            <a:noFill/>
          </a:ln>
          <a:effectLst/>
        </c:spPr>
        <c:dLbl>
          <c:idx val="0"/>
          <c:numFmt formatCode="[$GHC]\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861388"/>
          </a:solidFill>
          <a:ln>
            <a:noFill/>
          </a:ln>
          <a:effectLst/>
        </c:spPr>
        <c:dLbl>
          <c:idx val="0"/>
          <c:numFmt formatCode="[$GHC]\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861388"/>
          </a:solidFill>
          <a:ln>
            <a:noFill/>
          </a:ln>
          <a:effectLst/>
        </c:spPr>
        <c:dLbl>
          <c:idx val="0"/>
          <c:numFmt formatCode="[$GHC]\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861388"/>
          </a:solidFill>
          <a:ln>
            <a:noFill/>
          </a:ln>
          <a:effectLst/>
        </c:spPr>
        <c:dLbl>
          <c:idx val="0"/>
          <c:numFmt formatCode="[$GHC]\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861388"/>
          </a:solidFill>
          <a:ln>
            <a:noFill/>
          </a:ln>
          <a:effectLst/>
        </c:spPr>
        <c:dLbl>
          <c:idx val="0"/>
          <c:numFmt formatCode="[$GHC]\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861388"/>
          </a:solidFill>
          <a:ln>
            <a:noFill/>
          </a:ln>
          <a:effectLst/>
        </c:spPr>
        <c:dLbl>
          <c:idx val="0"/>
          <c:numFmt formatCode="[$GHC]\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861388"/>
          </a:solidFill>
          <a:ln>
            <a:noFill/>
          </a:ln>
          <a:effectLst/>
        </c:spPr>
        <c:dLbl>
          <c:idx val="0"/>
          <c:numFmt formatCode="[$GHC]\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861388"/>
          </a:solidFill>
          <a:ln>
            <a:noFill/>
          </a:ln>
          <a:effectLst/>
        </c:spPr>
        <c:dLbl>
          <c:idx val="0"/>
          <c:numFmt formatCode="[$GHC]\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861388"/>
          </a:solidFill>
          <a:ln>
            <a:noFill/>
          </a:ln>
          <a:effectLst/>
        </c:spPr>
        <c:dLbl>
          <c:idx val="0"/>
          <c:numFmt formatCode="[$GHC]\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861388"/>
          </a:solidFill>
          <a:ln>
            <a:noFill/>
          </a:ln>
          <a:effectLst/>
        </c:spPr>
        <c:dLbl>
          <c:idx val="0"/>
          <c:numFmt formatCode="[$GHC]\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861388"/>
          </a:solidFill>
          <a:ln>
            <a:noFill/>
          </a:ln>
          <a:effectLst/>
        </c:spPr>
        <c:dLbl>
          <c:idx val="0"/>
          <c:numFmt formatCode="[$GHC]\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0"/>
        <c:spPr>
          <a:solidFill>
            <a:srgbClr val="861388"/>
          </a:solidFill>
          <a:ln>
            <a:noFill/>
          </a:ln>
          <a:effectLst/>
        </c:spPr>
        <c:dLbl>
          <c:idx val="0"/>
          <c:numFmt formatCode="[$GHC]\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861388"/>
          </a:solidFill>
          <a:ln>
            <a:noFill/>
          </a:ln>
          <a:effectLst/>
        </c:spPr>
        <c:dLbl>
          <c:idx val="0"/>
          <c:numFmt formatCode="[$GHC]\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861388"/>
          </a:solidFill>
          <a:ln>
            <a:noFill/>
          </a:ln>
          <a:effectLst/>
        </c:spPr>
        <c:dLbl>
          <c:idx val="0"/>
          <c:numFmt formatCode="[$GHC]\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861388"/>
          </a:solidFill>
          <a:ln>
            <a:noFill/>
          </a:ln>
          <a:effectLst/>
        </c:spPr>
        <c:dLbl>
          <c:idx val="0"/>
          <c:numFmt formatCode="[$GHC]\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861388"/>
          </a:solidFill>
          <a:ln>
            <a:noFill/>
          </a:ln>
          <a:effectLst/>
        </c:spPr>
        <c:dLbl>
          <c:idx val="0"/>
          <c:numFmt formatCode="[$GHC]\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5"/>
        <c:spPr>
          <a:solidFill>
            <a:srgbClr val="861388"/>
          </a:solidFill>
          <a:ln>
            <a:noFill/>
          </a:ln>
          <a:effectLst/>
        </c:spPr>
        <c:dLbl>
          <c:idx val="0"/>
          <c:numFmt formatCode="[$GHC]\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6"/>
        <c:spPr>
          <a:solidFill>
            <a:srgbClr val="861388"/>
          </a:solidFill>
          <a:ln>
            <a:noFill/>
          </a:ln>
          <a:effectLst/>
        </c:spPr>
        <c:dLbl>
          <c:idx val="0"/>
          <c:layout>
            <c:manualLayout>
              <c:x val="-1.3228993055555556E-2"/>
              <c:y val="0"/>
            </c:manualLayout>
          </c:layout>
          <c:numFmt formatCode="[$GHC]\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84315972222222"/>
                  <c:h val="9.2986897274633121E-2"/>
                </c:manualLayout>
              </c15:layout>
            </c:ext>
          </c:extLst>
        </c:dLbl>
      </c:pivotFmt>
    </c:pivotFmts>
    <c:plotArea>
      <c:layout/>
      <c:barChart>
        <c:barDir val="col"/>
        <c:grouping val="clustered"/>
        <c:varyColors val="0"/>
        <c:ser>
          <c:idx val="0"/>
          <c:order val="0"/>
          <c:tx>
            <c:strRef>
              <c:f>Calcs!$C$28</c:f>
              <c:strCache>
                <c:ptCount val="1"/>
                <c:pt idx="0">
                  <c:v>Total</c:v>
                </c:pt>
              </c:strCache>
            </c:strRef>
          </c:tx>
          <c:spPr>
            <a:solidFill>
              <a:srgbClr val="861388"/>
            </a:solidFill>
            <a:ln>
              <a:noFill/>
            </a:ln>
            <a:effectLst/>
          </c:spPr>
          <c:invertIfNegative val="0"/>
          <c:dPt>
            <c:idx val="0"/>
            <c:invertIfNegative val="0"/>
            <c:bubble3D val="0"/>
            <c:spPr>
              <a:solidFill>
                <a:srgbClr val="861388"/>
              </a:solidFill>
              <a:ln>
                <a:noFill/>
              </a:ln>
              <a:effectLst/>
            </c:spPr>
            <c:extLst>
              <c:ext xmlns:c16="http://schemas.microsoft.com/office/drawing/2014/chart" uri="{C3380CC4-5D6E-409C-BE32-E72D297353CC}">
                <c16:uniqueId val="{00000013-966F-4F51-A7C0-51896E56056E}"/>
              </c:ext>
            </c:extLst>
          </c:dPt>
          <c:dPt>
            <c:idx val="1"/>
            <c:invertIfNegative val="0"/>
            <c:bubble3D val="0"/>
            <c:spPr>
              <a:solidFill>
                <a:srgbClr val="861388"/>
              </a:solidFill>
              <a:ln>
                <a:noFill/>
              </a:ln>
              <a:effectLst/>
            </c:spPr>
            <c:extLst>
              <c:ext xmlns:c16="http://schemas.microsoft.com/office/drawing/2014/chart" uri="{C3380CC4-5D6E-409C-BE32-E72D297353CC}">
                <c16:uniqueId val="{00000012-966F-4F51-A7C0-51896E56056E}"/>
              </c:ext>
            </c:extLst>
          </c:dPt>
          <c:dPt>
            <c:idx val="2"/>
            <c:invertIfNegative val="0"/>
            <c:bubble3D val="0"/>
            <c:spPr>
              <a:solidFill>
                <a:srgbClr val="861388"/>
              </a:solidFill>
              <a:ln>
                <a:noFill/>
              </a:ln>
              <a:effectLst/>
            </c:spPr>
            <c:extLst>
              <c:ext xmlns:c16="http://schemas.microsoft.com/office/drawing/2014/chart" uri="{C3380CC4-5D6E-409C-BE32-E72D297353CC}">
                <c16:uniqueId val="{00000011-966F-4F51-A7C0-51896E56056E}"/>
              </c:ext>
            </c:extLst>
          </c:dPt>
          <c:dPt>
            <c:idx val="3"/>
            <c:invertIfNegative val="0"/>
            <c:bubble3D val="0"/>
            <c:spPr>
              <a:solidFill>
                <a:srgbClr val="861388"/>
              </a:solidFill>
              <a:ln>
                <a:noFill/>
              </a:ln>
              <a:effectLst/>
            </c:spPr>
            <c:extLst>
              <c:ext xmlns:c16="http://schemas.microsoft.com/office/drawing/2014/chart" uri="{C3380CC4-5D6E-409C-BE32-E72D297353CC}">
                <c16:uniqueId val="{00000010-966F-4F51-A7C0-51896E56056E}"/>
              </c:ext>
            </c:extLst>
          </c:dPt>
          <c:dPt>
            <c:idx val="4"/>
            <c:invertIfNegative val="0"/>
            <c:bubble3D val="0"/>
            <c:spPr>
              <a:solidFill>
                <a:srgbClr val="861388"/>
              </a:solidFill>
              <a:ln>
                <a:noFill/>
              </a:ln>
              <a:effectLst/>
            </c:spPr>
            <c:extLst>
              <c:ext xmlns:c16="http://schemas.microsoft.com/office/drawing/2014/chart" uri="{C3380CC4-5D6E-409C-BE32-E72D297353CC}">
                <c16:uniqueId val="{00000015-966F-4F51-A7C0-51896E56056E}"/>
              </c:ext>
            </c:extLst>
          </c:dPt>
          <c:dPt>
            <c:idx val="5"/>
            <c:invertIfNegative val="0"/>
            <c:bubble3D val="0"/>
            <c:spPr>
              <a:solidFill>
                <a:srgbClr val="861388"/>
              </a:solidFill>
              <a:ln>
                <a:noFill/>
              </a:ln>
              <a:effectLst/>
            </c:spPr>
            <c:extLst>
              <c:ext xmlns:c16="http://schemas.microsoft.com/office/drawing/2014/chart" uri="{C3380CC4-5D6E-409C-BE32-E72D297353CC}">
                <c16:uniqueId val="{00000014-966F-4F51-A7C0-51896E56056E}"/>
              </c:ext>
            </c:extLst>
          </c:dPt>
          <c:dPt>
            <c:idx val="6"/>
            <c:invertIfNegative val="0"/>
            <c:bubble3D val="0"/>
            <c:spPr>
              <a:solidFill>
                <a:srgbClr val="861388"/>
              </a:solidFill>
              <a:ln>
                <a:noFill/>
              </a:ln>
              <a:effectLst/>
            </c:spPr>
            <c:extLst>
              <c:ext xmlns:c16="http://schemas.microsoft.com/office/drawing/2014/chart" uri="{C3380CC4-5D6E-409C-BE32-E72D297353CC}">
                <c16:uniqueId val="{0000000F-966F-4F51-A7C0-51896E56056E}"/>
              </c:ext>
            </c:extLst>
          </c:dPt>
          <c:dPt>
            <c:idx val="7"/>
            <c:invertIfNegative val="0"/>
            <c:bubble3D val="0"/>
            <c:spPr>
              <a:solidFill>
                <a:srgbClr val="861388"/>
              </a:solidFill>
              <a:ln>
                <a:noFill/>
              </a:ln>
              <a:effectLst/>
            </c:spPr>
            <c:extLst>
              <c:ext xmlns:c16="http://schemas.microsoft.com/office/drawing/2014/chart" uri="{C3380CC4-5D6E-409C-BE32-E72D297353CC}">
                <c16:uniqueId val="{00000018-966F-4F51-A7C0-51896E56056E}"/>
              </c:ext>
            </c:extLst>
          </c:dPt>
          <c:dPt>
            <c:idx val="8"/>
            <c:invertIfNegative val="0"/>
            <c:bubble3D val="0"/>
            <c:spPr>
              <a:solidFill>
                <a:srgbClr val="861388"/>
              </a:solidFill>
              <a:ln>
                <a:noFill/>
              </a:ln>
              <a:effectLst/>
            </c:spPr>
            <c:extLst>
              <c:ext xmlns:c16="http://schemas.microsoft.com/office/drawing/2014/chart" uri="{C3380CC4-5D6E-409C-BE32-E72D297353CC}">
                <c16:uniqueId val="{00000017-966F-4F51-A7C0-51896E56056E}"/>
              </c:ext>
            </c:extLst>
          </c:dPt>
          <c:dPt>
            <c:idx val="9"/>
            <c:invertIfNegative val="0"/>
            <c:bubble3D val="0"/>
            <c:spPr>
              <a:solidFill>
                <a:srgbClr val="861388"/>
              </a:solidFill>
              <a:ln>
                <a:noFill/>
              </a:ln>
              <a:effectLst/>
            </c:spPr>
            <c:extLst>
              <c:ext xmlns:c16="http://schemas.microsoft.com/office/drawing/2014/chart" uri="{C3380CC4-5D6E-409C-BE32-E72D297353CC}">
                <c16:uniqueId val="{00000016-966F-4F51-A7C0-51896E56056E}"/>
              </c:ext>
            </c:extLst>
          </c:dPt>
          <c:dPt>
            <c:idx val="10"/>
            <c:invertIfNegative val="0"/>
            <c:bubble3D val="0"/>
            <c:spPr>
              <a:solidFill>
                <a:srgbClr val="861388"/>
              </a:solidFill>
              <a:ln>
                <a:noFill/>
              </a:ln>
              <a:effectLst/>
            </c:spPr>
            <c:extLst>
              <c:ext xmlns:c16="http://schemas.microsoft.com/office/drawing/2014/chart" uri="{C3380CC4-5D6E-409C-BE32-E72D297353CC}">
                <c16:uniqueId val="{0000000E-966F-4F51-A7C0-51896E56056E}"/>
              </c:ext>
            </c:extLst>
          </c:dPt>
          <c:dPt>
            <c:idx val="11"/>
            <c:invertIfNegative val="0"/>
            <c:bubble3D val="0"/>
            <c:spPr>
              <a:solidFill>
                <a:srgbClr val="861388"/>
              </a:solidFill>
              <a:ln>
                <a:noFill/>
              </a:ln>
              <a:effectLst/>
            </c:spPr>
            <c:extLst>
              <c:ext xmlns:c16="http://schemas.microsoft.com/office/drawing/2014/chart" uri="{C3380CC4-5D6E-409C-BE32-E72D297353CC}">
                <c16:uniqueId val="{0000000D-966F-4F51-A7C0-51896E56056E}"/>
              </c:ext>
            </c:extLst>
          </c:dPt>
          <c:dPt>
            <c:idx val="12"/>
            <c:invertIfNegative val="0"/>
            <c:bubble3D val="0"/>
            <c:spPr>
              <a:solidFill>
                <a:srgbClr val="861388"/>
              </a:solidFill>
              <a:ln>
                <a:noFill/>
              </a:ln>
              <a:effectLst/>
            </c:spPr>
            <c:extLst>
              <c:ext xmlns:c16="http://schemas.microsoft.com/office/drawing/2014/chart" uri="{C3380CC4-5D6E-409C-BE32-E72D297353CC}">
                <c16:uniqueId val="{0000000C-966F-4F51-A7C0-51896E56056E}"/>
              </c:ext>
            </c:extLst>
          </c:dPt>
          <c:dPt>
            <c:idx val="13"/>
            <c:invertIfNegative val="0"/>
            <c:bubble3D val="0"/>
            <c:spPr>
              <a:solidFill>
                <a:srgbClr val="861388"/>
              </a:solidFill>
              <a:ln>
                <a:noFill/>
              </a:ln>
              <a:effectLst/>
            </c:spPr>
            <c:extLst>
              <c:ext xmlns:c16="http://schemas.microsoft.com/office/drawing/2014/chart" uri="{C3380CC4-5D6E-409C-BE32-E72D297353CC}">
                <c16:uniqueId val="{0000000B-966F-4F51-A7C0-51896E56056E}"/>
              </c:ext>
            </c:extLst>
          </c:dPt>
          <c:dPt>
            <c:idx val="14"/>
            <c:invertIfNegative val="0"/>
            <c:bubble3D val="0"/>
            <c:spPr>
              <a:solidFill>
                <a:srgbClr val="861388"/>
              </a:solidFill>
              <a:ln>
                <a:noFill/>
              </a:ln>
              <a:effectLst/>
            </c:spPr>
            <c:extLst>
              <c:ext xmlns:c16="http://schemas.microsoft.com/office/drawing/2014/chart" uri="{C3380CC4-5D6E-409C-BE32-E72D297353CC}">
                <c16:uniqueId val="{0000000A-966F-4F51-A7C0-51896E56056E}"/>
              </c:ext>
            </c:extLst>
          </c:dPt>
          <c:dPt>
            <c:idx val="15"/>
            <c:invertIfNegative val="0"/>
            <c:bubble3D val="0"/>
            <c:spPr>
              <a:solidFill>
                <a:srgbClr val="861388"/>
              </a:solidFill>
              <a:ln>
                <a:noFill/>
              </a:ln>
              <a:effectLst/>
            </c:spPr>
            <c:extLst>
              <c:ext xmlns:c16="http://schemas.microsoft.com/office/drawing/2014/chart" uri="{C3380CC4-5D6E-409C-BE32-E72D297353CC}">
                <c16:uniqueId val="{00000004-966F-4F51-A7C0-51896E56056E}"/>
              </c:ext>
            </c:extLst>
          </c:dPt>
          <c:dPt>
            <c:idx val="16"/>
            <c:invertIfNegative val="0"/>
            <c:bubble3D val="0"/>
            <c:spPr>
              <a:solidFill>
                <a:srgbClr val="861388"/>
              </a:solidFill>
              <a:ln>
                <a:noFill/>
              </a:ln>
              <a:effectLst/>
            </c:spPr>
            <c:extLst>
              <c:ext xmlns:c16="http://schemas.microsoft.com/office/drawing/2014/chart" uri="{C3380CC4-5D6E-409C-BE32-E72D297353CC}">
                <c16:uniqueId val="{00000009-966F-4F51-A7C0-51896E56056E}"/>
              </c:ext>
            </c:extLst>
          </c:dPt>
          <c:dPt>
            <c:idx val="17"/>
            <c:invertIfNegative val="0"/>
            <c:bubble3D val="0"/>
            <c:spPr>
              <a:solidFill>
                <a:srgbClr val="861388"/>
              </a:solidFill>
              <a:ln>
                <a:noFill/>
              </a:ln>
              <a:effectLst/>
            </c:spPr>
            <c:extLst>
              <c:ext xmlns:c16="http://schemas.microsoft.com/office/drawing/2014/chart" uri="{C3380CC4-5D6E-409C-BE32-E72D297353CC}">
                <c16:uniqueId val="{00000003-966F-4F51-A7C0-51896E56056E}"/>
              </c:ext>
            </c:extLst>
          </c:dPt>
          <c:dPt>
            <c:idx val="18"/>
            <c:invertIfNegative val="0"/>
            <c:bubble3D val="0"/>
            <c:spPr>
              <a:solidFill>
                <a:srgbClr val="861388"/>
              </a:solidFill>
              <a:ln>
                <a:noFill/>
              </a:ln>
              <a:effectLst/>
            </c:spPr>
            <c:extLst>
              <c:ext xmlns:c16="http://schemas.microsoft.com/office/drawing/2014/chart" uri="{C3380CC4-5D6E-409C-BE32-E72D297353CC}">
                <c16:uniqueId val="{00000008-966F-4F51-A7C0-51896E56056E}"/>
              </c:ext>
            </c:extLst>
          </c:dPt>
          <c:dPt>
            <c:idx val="19"/>
            <c:invertIfNegative val="0"/>
            <c:bubble3D val="0"/>
            <c:spPr>
              <a:solidFill>
                <a:srgbClr val="861388"/>
              </a:solidFill>
              <a:ln>
                <a:noFill/>
              </a:ln>
              <a:effectLst/>
            </c:spPr>
            <c:extLst>
              <c:ext xmlns:c16="http://schemas.microsoft.com/office/drawing/2014/chart" uri="{C3380CC4-5D6E-409C-BE32-E72D297353CC}">
                <c16:uniqueId val="{00000002-966F-4F51-A7C0-51896E56056E}"/>
              </c:ext>
            </c:extLst>
          </c:dPt>
          <c:dPt>
            <c:idx val="20"/>
            <c:invertIfNegative val="0"/>
            <c:bubble3D val="0"/>
            <c:spPr>
              <a:solidFill>
                <a:srgbClr val="861388"/>
              </a:solidFill>
              <a:ln>
                <a:noFill/>
              </a:ln>
              <a:effectLst/>
            </c:spPr>
            <c:extLst>
              <c:ext xmlns:c16="http://schemas.microsoft.com/office/drawing/2014/chart" uri="{C3380CC4-5D6E-409C-BE32-E72D297353CC}">
                <c16:uniqueId val="{00000001-966F-4F51-A7C0-51896E56056E}"/>
              </c:ext>
            </c:extLst>
          </c:dPt>
          <c:dPt>
            <c:idx val="21"/>
            <c:invertIfNegative val="0"/>
            <c:bubble3D val="0"/>
            <c:spPr>
              <a:solidFill>
                <a:srgbClr val="861388"/>
              </a:solidFill>
              <a:ln>
                <a:noFill/>
              </a:ln>
              <a:effectLst/>
            </c:spPr>
            <c:extLst>
              <c:ext xmlns:c16="http://schemas.microsoft.com/office/drawing/2014/chart" uri="{C3380CC4-5D6E-409C-BE32-E72D297353CC}">
                <c16:uniqueId val="{00000007-966F-4F51-A7C0-51896E56056E}"/>
              </c:ext>
            </c:extLst>
          </c:dPt>
          <c:dPt>
            <c:idx val="22"/>
            <c:invertIfNegative val="0"/>
            <c:bubble3D val="0"/>
            <c:spPr>
              <a:solidFill>
                <a:srgbClr val="861388"/>
              </a:solidFill>
              <a:ln>
                <a:noFill/>
              </a:ln>
              <a:effectLst/>
            </c:spPr>
            <c:extLst>
              <c:ext xmlns:c16="http://schemas.microsoft.com/office/drawing/2014/chart" uri="{C3380CC4-5D6E-409C-BE32-E72D297353CC}">
                <c16:uniqueId val="{00000006-966F-4F51-A7C0-51896E56056E}"/>
              </c:ext>
            </c:extLst>
          </c:dPt>
          <c:dPt>
            <c:idx val="23"/>
            <c:invertIfNegative val="0"/>
            <c:bubble3D val="0"/>
            <c:spPr>
              <a:solidFill>
                <a:srgbClr val="861388"/>
              </a:solidFill>
              <a:ln>
                <a:noFill/>
              </a:ln>
              <a:effectLst/>
            </c:spPr>
            <c:extLst>
              <c:ext xmlns:c16="http://schemas.microsoft.com/office/drawing/2014/chart" uri="{C3380CC4-5D6E-409C-BE32-E72D297353CC}">
                <c16:uniqueId val="{00000005-966F-4F51-A7C0-51896E56056E}"/>
              </c:ext>
            </c:extLst>
          </c:dPt>
          <c:dLbls>
            <c:dLbl>
              <c:idx val="0"/>
              <c:delete val="1"/>
              <c:extLst>
                <c:ext xmlns:c15="http://schemas.microsoft.com/office/drawing/2012/chart" uri="{CE6537A1-D6FC-4f65-9D91-7224C49458BB}"/>
                <c:ext xmlns:c16="http://schemas.microsoft.com/office/drawing/2014/chart" uri="{C3380CC4-5D6E-409C-BE32-E72D297353CC}">
                  <c16:uniqueId val="{00000013-966F-4F51-A7C0-51896E56056E}"/>
                </c:ext>
              </c:extLst>
            </c:dLbl>
            <c:dLbl>
              <c:idx val="1"/>
              <c:delete val="1"/>
              <c:extLst>
                <c:ext xmlns:c15="http://schemas.microsoft.com/office/drawing/2012/chart" uri="{CE6537A1-D6FC-4f65-9D91-7224C49458BB}"/>
                <c:ext xmlns:c16="http://schemas.microsoft.com/office/drawing/2014/chart" uri="{C3380CC4-5D6E-409C-BE32-E72D297353CC}">
                  <c16:uniqueId val="{00000012-966F-4F51-A7C0-51896E56056E}"/>
                </c:ext>
              </c:extLst>
            </c:dLbl>
            <c:dLbl>
              <c:idx val="2"/>
              <c:delete val="1"/>
              <c:extLst>
                <c:ext xmlns:c15="http://schemas.microsoft.com/office/drawing/2012/chart" uri="{CE6537A1-D6FC-4f65-9D91-7224C49458BB}"/>
                <c:ext xmlns:c16="http://schemas.microsoft.com/office/drawing/2014/chart" uri="{C3380CC4-5D6E-409C-BE32-E72D297353CC}">
                  <c16:uniqueId val="{00000011-966F-4F51-A7C0-51896E56056E}"/>
                </c:ext>
              </c:extLst>
            </c:dLbl>
            <c:dLbl>
              <c:idx val="3"/>
              <c:delete val="1"/>
              <c:extLst>
                <c:ext xmlns:c15="http://schemas.microsoft.com/office/drawing/2012/chart" uri="{CE6537A1-D6FC-4f65-9D91-7224C49458BB}"/>
                <c:ext xmlns:c16="http://schemas.microsoft.com/office/drawing/2014/chart" uri="{C3380CC4-5D6E-409C-BE32-E72D297353CC}">
                  <c16:uniqueId val="{00000010-966F-4F51-A7C0-51896E56056E}"/>
                </c:ext>
              </c:extLst>
            </c:dLbl>
            <c:dLbl>
              <c:idx val="4"/>
              <c:delete val="1"/>
              <c:extLst>
                <c:ext xmlns:c15="http://schemas.microsoft.com/office/drawing/2012/chart" uri="{CE6537A1-D6FC-4f65-9D91-7224C49458BB}"/>
                <c:ext xmlns:c16="http://schemas.microsoft.com/office/drawing/2014/chart" uri="{C3380CC4-5D6E-409C-BE32-E72D297353CC}">
                  <c16:uniqueId val="{00000015-966F-4F51-A7C0-51896E56056E}"/>
                </c:ext>
              </c:extLst>
            </c:dLbl>
            <c:dLbl>
              <c:idx val="5"/>
              <c:delete val="1"/>
              <c:extLst>
                <c:ext xmlns:c15="http://schemas.microsoft.com/office/drawing/2012/chart" uri="{CE6537A1-D6FC-4f65-9D91-7224C49458BB}"/>
                <c:ext xmlns:c16="http://schemas.microsoft.com/office/drawing/2014/chart" uri="{C3380CC4-5D6E-409C-BE32-E72D297353CC}">
                  <c16:uniqueId val="{00000014-966F-4F51-A7C0-51896E56056E}"/>
                </c:ext>
              </c:extLst>
            </c:dLbl>
            <c:dLbl>
              <c:idx val="6"/>
              <c:delete val="1"/>
              <c:extLst>
                <c:ext xmlns:c15="http://schemas.microsoft.com/office/drawing/2012/chart" uri="{CE6537A1-D6FC-4f65-9D91-7224C49458BB}"/>
                <c:ext xmlns:c16="http://schemas.microsoft.com/office/drawing/2014/chart" uri="{C3380CC4-5D6E-409C-BE32-E72D297353CC}">
                  <c16:uniqueId val="{0000000F-966F-4F51-A7C0-51896E56056E}"/>
                </c:ext>
              </c:extLst>
            </c:dLbl>
            <c:dLbl>
              <c:idx val="7"/>
              <c:layout>
                <c:manualLayout>
                  <c:x val="-1.3228993055555556E-2"/>
                  <c:y val="0"/>
                </c:manualLayout>
              </c:layout>
              <c:numFmt formatCode="[$GHC]\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84315972222222"/>
                      <c:h val="9.2986897274633121E-2"/>
                    </c:manualLayout>
                  </c15:layout>
                </c:ext>
                <c:ext xmlns:c16="http://schemas.microsoft.com/office/drawing/2014/chart" uri="{C3380CC4-5D6E-409C-BE32-E72D297353CC}">
                  <c16:uniqueId val="{00000018-966F-4F51-A7C0-51896E56056E}"/>
                </c:ext>
              </c:extLst>
            </c:dLbl>
            <c:dLbl>
              <c:idx val="8"/>
              <c:delete val="1"/>
              <c:extLst>
                <c:ext xmlns:c15="http://schemas.microsoft.com/office/drawing/2012/chart" uri="{CE6537A1-D6FC-4f65-9D91-7224C49458BB}"/>
                <c:ext xmlns:c16="http://schemas.microsoft.com/office/drawing/2014/chart" uri="{C3380CC4-5D6E-409C-BE32-E72D297353CC}">
                  <c16:uniqueId val="{00000017-966F-4F51-A7C0-51896E56056E}"/>
                </c:ext>
              </c:extLst>
            </c:dLbl>
            <c:dLbl>
              <c:idx val="9"/>
              <c:delete val="1"/>
              <c:extLst>
                <c:ext xmlns:c15="http://schemas.microsoft.com/office/drawing/2012/chart" uri="{CE6537A1-D6FC-4f65-9D91-7224C49458BB}"/>
                <c:ext xmlns:c16="http://schemas.microsoft.com/office/drawing/2014/chart" uri="{C3380CC4-5D6E-409C-BE32-E72D297353CC}">
                  <c16:uniqueId val="{00000016-966F-4F51-A7C0-51896E56056E}"/>
                </c:ext>
              </c:extLst>
            </c:dLbl>
            <c:dLbl>
              <c:idx val="10"/>
              <c:delete val="1"/>
              <c:extLst>
                <c:ext xmlns:c15="http://schemas.microsoft.com/office/drawing/2012/chart" uri="{CE6537A1-D6FC-4f65-9D91-7224C49458BB}"/>
                <c:ext xmlns:c16="http://schemas.microsoft.com/office/drawing/2014/chart" uri="{C3380CC4-5D6E-409C-BE32-E72D297353CC}">
                  <c16:uniqueId val="{0000000E-966F-4F51-A7C0-51896E56056E}"/>
                </c:ext>
              </c:extLst>
            </c:dLbl>
            <c:dLbl>
              <c:idx val="11"/>
              <c:delete val="1"/>
              <c:extLst>
                <c:ext xmlns:c15="http://schemas.microsoft.com/office/drawing/2012/chart" uri="{CE6537A1-D6FC-4f65-9D91-7224C49458BB}"/>
                <c:ext xmlns:c16="http://schemas.microsoft.com/office/drawing/2014/chart" uri="{C3380CC4-5D6E-409C-BE32-E72D297353CC}">
                  <c16:uniqueId val="{0000000D-966F-4F51-A7C0-51896E56056E}"/>
                </c:ext>
              </c:extLst>
            </c:dLbl>
            <c:dLbl>
              <c:idx val="12"/>
              <c:delete val="1"/>
              <c:extLst>
                <c:ext xmlns:c15="http://schemas.microsoft.com/office/drawing/2012/chart" uri="{CE6537A1-D6FC-4f65-9D91-7224C49458BB}"/>
                <c:ext xmlns:c16="http://schemas.microsoft.com/office/drawing/2014/chart" uri="{C3380CC4-5D6E-409C-BE32-E72D297353CC}">
                  <c16:uniqueId val="{0000000C-966F-4F51-A7C0-51896E56056E}"/>
                </c:ext>
              </c:extLst>
            </c:dLbl>
            <c:dLbl>
              <c:idx val="13"/>
              <c:delete val="1"/>
              <c:extLst>
                <c:ext xmlns:c15="http://schemas.microsoft.com/office/drawing/2012/chart" uri="{CE6537A1-D6FC-4f65-9D91-7224C49458BB}"/>
                <c:ext xmlns:c16="http://schemas.microsoft.com/office/drawing/2014/chart" uri="{C3380CC4-5D6E-409C-BE32-E72D297353CC}">
                  <c16:uniqueId val="{0000000B-966F-4F51-A7C0-51896E56056E}"/>
                </c:ext>
              </c:extLst>
            </c:dLbl>
            <c:dLbl>
              <c:idx val="14"/>
              <c:delete val="1"/>
              <c:extLst>
                <c:ext xmlns:c15="http://schemas.microsoft.com/office/drawing/2012/chart" uri="{CE6537A1-D6FC-4f65-9D91-7224C49458BB}"/>
                <c:ext xmlns:c16="http://schemas.microsoft.com/office/drawing/2014/chart" uri="{C3380CC4-5D6E-409C-BE32-E72D297353CC}">
                  <c16:uniqueId val="{0000000A-966F-4F51-A7C0-51896E56056E}"/>
                </c:ext>
              </c:extLst>
            </c:dLbl>
            <c:dLbl>
              <c:idx val="15"/>
              <c:delete val="1"/>
              <c:extLst>
                <c:ext xmlns:c15="http://schemas.microsoft.com/office/drawing/2012/chart" uri="{CE6537A1-D6FC-4f65-9D91-7224C49458BB}"/>
                <c:ext xmlns:c16="http://schemas.microsoft.com/office/drawing/2014/chart" uri="{C3380CC4-5D6E-409C-BE32-E72D297353CC}">
                  <c16:uniqueId val="{00000004-966F-4F51-A7C0-51896E56056E}"/>
                </c:ext>
              </c:extLst>
            </c:dLbl>
            <c:dLbl>
              <c:idx val="16"/>
              <c:delete val="1"/>
              <c:extLst>
                <c:ext xmlns:c15="http://schemas.microsoft.com/office/drawing/2012/chart" uri="{CE6537A1-D6FC-4f65-9D91-7224C49458BB}"/>
                <c:ext xmlns:c16="http://schemas.microsoft.com/office/drawing/2014/chart" uri="{C3380CC4-5D6E-409C-BE32-E72D297353CC}">
                  <c16:uniqueId val="{00000009-966F-4F51-A7C0-51896E56056E}"/>
                </c:ext>
              </c:extLst>
            </c:dLbl>
            <c:dLbl>
              <c:idx val="17"/>
              <c:delete val="1"/>
              <c:extLst>
                <c:ext xmlns:c15="http://schemas.microsoft.com/office/drawing/2012/chart" uri="{CE6537A1-D6FC-4f65-9D91-7224C49458BB}"/>
                <c:ext xmlns:c16="http://schemas.microsoft.com/office/drawing/2014/chart" uri="{C3380CC4-5D6E-409C-BE32-E72D297353CC}">
                  <c16:uniqueId val="{00000003-966F-4F51-A7C0-51896E56056E}"/>
                </c:ext>
              </c:extLst>
            </c:dLbl>
            <c:dLbl>
              <c:idx val="18"/>
              <c:delete val="1"/>
              <c:extLst>
                <c:ext xmlns:c15="http://schemas.microsoft.com/office/drawing/2012/chart" uri="{CE6537A1-D6FC-4f65-9D91-7224C49458BB}"/>
                <c:ext xmlns:c16="http://schemas.microsoft.com/office/drawing/2014/chart" uri="{C3380CC4-5D6E-409C-BE32-E72D297353CC}">
                  <c16:uniqueId val="{00000008-966F-4F51-A7C0-51896E56056E}"/>
                </c:ext>
              </c:extLst>
            </c:dLbl>
            <c:dLbl>
              <c:idx val="19"/>
              <c:delete val="1"/>
              <c:extLst>
                <c:ext xmlns:c15="http://schemas.microsoft.com/office/drawing/2012/chart" uri="{CE6537A1-D6FC-4f65-9D91-7224C49458BB}"/>
                <c:ext xmlns:c16="http://schemas.microsoft.com/office/drawing/2014/chart" uri="{C3380CC4-5D6E-409C-BE32-E72D297353CC}">
                  <c16:uniqueId val="{00000002-966F-4F51-A7C0-51896E56056E}"/>
                </c:ext>
              </c:extLst>
            </c:dLbl>
            <c:dLbl>
              <c:idx val="20"/>
              <c:delete val="1"/>
              <c:extLst>
                <c:ext xmlns:c15="http://schemas.microsoft.com/office/drawing/2012/chart" uri="{CE6537A1-D6FC-4f65-9D91-7224C49458BB}"/>
                <c:ext xmlns:c16="http://schemas.microsoft.com/office/drawing/2014/chart" uri="{C3380CC4-5D6E-409C-BE32-E72D297353CC}">
                  <c16:uniqueId val="{00000001-966F-4F51-A7C0-51896E56056E}"/>
                </c:ext>
              </c:extLst>
            </c:dLbl>
            <c:dLbl>
              <c:idx val="21"/>
              <c:delete val="1"/>
              <c:extLst>
                <c:ext xmlns:c15="http://schemas.microsoft.com/office/drawing/2012/chart" uri="{CE6537A1-D6FC-4f65-9D91-7224C49458BB}"/>
                <c:ext xmlns:c16="http://schemas.microsoft.com/office/drawing/2014/chart" uri="{C3380CC4-5D6E-409C-BE32-E72D297353CC}">
                  <c16:uniqueId val="{00000007-966F-4F51-A7C0-51896E56056E}"/>
                </c:ext>
              </c:extLst>
            </c:dLbl>
            <c:dLbl>
              <c:idx val="22"/>
              <c:delete val="1"/>
              <c:extLst>
                <c:ext xmlns:c15="http://schemas.microsoft.com/office/drawing/2012/chart" uri="{CE6537A1-D6FC-4f65-9D91-7224C49458BB}"/>
                <c:ext xmlns:c16="http://schemas.microsoft.com/office/drawing/2014/chart" uri="{C3380CC4-5D6E-409C-BE32-E72D297353CC}">
                  <c16:uniqueId val="{00000006-966F-4F51-A7C0-51896E56056E}"/>
                </c:ext>
              </c:extLst>
            </c:dLbl>
            <c:dLbl>
              <c:idx val="23"/>
              <c:delete val="1"/>
              <c:extLst>
                <c:ext xmlns:c15="http://schemas.microsoft.com/office/drawing/2012/chart" uri="{CE6537A1-D6FC-4f65-9D91-7224C49458BB}"/>
                <c:ext xmlns:c16="http://schemas.microsoft.com/office/drawing/2014/chart" uri="{C3380CC4-5D6E-409C-BE32-E72D297353CC}">
                  <c16:uniqueId val="{00000005-966F-4F51-A7C0-51896E56056E}"/>
                </c:ext>
              </c:extLst>
            </c:dLbl>
            <c:numFmt formatCode="[$GHC]\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Calcs!$B$29:$B$55</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2023</c:v>
                  </c:pt>
                  <c:pt idx="12">
                    <c:v>2024</c:v>
                  </c:pt>
                </c:lvl>
              </c:multiLvlStrCache>
            </c:multiLvlStrRef>
          </c:cat>
          <c:val>
            <c:numRef>
              <c:f>Calcs!$C$29:$C$55</c:f>
              <c:numCache>
                <c:formatCode>General</c:formatCode>
                <c:ptCount val="24"/>
                <c:pt idx="0">
                  <c:v>413860</c:v>
                </c:pt>
                <c:pt idx="1">
                  <c:v>417080</c:v>
                </c:pt>
                <c:pt idx="2">
                  <c:v>469320</c:v>
                </c:pt>
                <c:pt idx="3">
                  <c:v>440240</c:v>
                </c:pt>
                <c:pt idx="4">
                  <c:v>382840</c:v>
                </c:pt>
                <c:pt idx="5">
                  <c:v>523140</c:v>
                </c:pt>
                <c:pt idx="6">
                  <c:v>501980</c:v>
                </c:pt>
                <c:pt idx="7">
                  <c:v>624700</c:v>
                </c:pt>
                <c:pt idx="8">
                  <c:v>461820</c:v>
                </c:pt>
                <c:pt idx="9">
                  <c:v>527860</c:v>
                </c:pt>
                <c:pt idx="10">
                  <c:v>401640</c:v>
                </c:pt>
                <c:pt idx="11">
                  <c:v>415220</c:v>
                </c:pt>
                <c:pt idx="12">
                  <c:v>418300</c:v>
                </c:pt>
                <c:pt idx="13">
                  <c:v>392140</c:v>
                </c:pt>
                <c:pt idx="14">
                  <c:v>568020</c:v>
                </c:pt>
                <c:pt idx="15">
                  <c:v>432580</c:v>
                </c:pt>
                <c:pt idx="16">
                  <c:v>424720</c:v>
                </c:pt>
                <c:pt idx="17">
                  <c:v>570100</c:v>
                </c:pt>
                <c:pt idx="18">
                  <c:v>341820</c:v>
                </c:pt>
                <c:pt idx="19">
                  <c:v>510000</c:v>
                </c:pt>
                <c:pt idx="20">
                  <c:v>458960</c:v>
                </c:pt>
                <c:pt idx="21">
                  <c:v>326960</c:v>
                </c:pt>
                <c:pt idx="22">
                  <c:v>466040</c:v>
                </c:pt>
                <c:pt idx="23">
                  <c:v>496980</c:v>
                </c:pt>
              </c:numCache>
            </c:numRef>
          </c:val>
          <c:extLst>
            <c:ext xmlns:c16="http://schemas.microsoft.com/office/drawing/2014/chart" uri="{C3380CC4-5D6E-409C-BE32-E72D297353CC}">
              <c16:uniqueId val="{00000000-966F-4F51-A7C0-51896E56056E}"/>
            </c:ext>
          </c:extLst>
        </c:ser>
        <c:dLbls>
          <c:dLblPos val="outEnd"/>
          <c:showLegendKey val="0"/>
          <c:showVal val="1"/>
          <c:showCatName val="0"/>
          <c:showSerName val="0"/>
          <c:showPercent val="0"/>
          <c:showBubbleSize val="0"/>
        </c:dLbls>
        <c:gapWidth val="219"/>
        <c:overlap val="-27"/>
        <c:axId val="870608175"/>
        <c:axId val="870612495"/>
      </c:barChart>
      <c:catAx>
        <c:axId val="870608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0612495"/>
        <c:crosses val="autoZero"/>
        <c:auto val="1"/>
        <c:lblAlgn val="ctr"/>
        <c:lblOffset val="100"/>
        <c:noMultiLvlLbl val="0"/>
      </c:catAx>
      <c:valAx>
        <c:axId val="870612495"/>
        <c:scaling>
          <c:orientation val="minMax"/>
        </c:scaling>
        <c:delete val="1"/>
        <c:axPos val="l"/>
        <c:numFmt formatCode="General" sourceLinked="1"/>
        <c:majorTickMark val="none"/>
        <c:minorTickMark val="none"/>
        <c:tickLblPos val="nextTo"/>
        <c:crossAx val="870608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[GhanaStream_Dataset.xlsx]Calcs!ARR</c:name>
    <c:fmtId val="3"/>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Annual Recurring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61388"/>
          </a:solidFill>
          <a:ln>
            <a:noFill/>
          </a:ln>
          <a:effectLst/>
        </c:spPr>
        <c:marker>
          <c:symbol val="none"/>
        </c:marker>
        <c:dLbl>
          <c:idx val="0"/>
          <c:numFmt formatCode="[$GHC]\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861388"/>
          </a:solidFill>
          <a:ln>
            <a:noFill/>
          </a:ln>
          <a:effectLst/>
        </c:spPr>
        <c:dLbl>
          <c:idx val="0"/>
          <c:numFmt formatCode="[$GHC]\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layout>
                <c:manualLayout>
                  <c:w val="0.27962048611111112"/>
                  <c:h val="0.16620492662473796"/>
                </c:manualLayout>
              </c15:layout>
            </c:ext>
          </c:extLst>
        </c:dLbl>
      </c:pivotFmt>
      <c:pivotFmt>
        <c:idx val="4"/>
        <c:spPr>
          <a:solidFill>
            <a:srgbClr val="861388"/>
          </a:solidFill>
          <a:ln>
            <a:noFill/>
          </a:ln>
          <a:effectLst/>
        </c:spPr>
        <c:dLbl>
          <c:idx val="0"/>
          <c:numFmt formatCode="[$GHC]\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layout>
                <c:manualLayout>
                  <c:w val="0.27080104166666669"/>
                  <c:h val="0.16620492662473796"/>
                </c:manualLayout>
              </c15:layout>
            </c:ext>
          </c:extLst>
        </c:dLbl>
      </c:pivotFmt>
    </c:pivotFmts>
    <c:plotArea>
      <c:layout/>
      <c:barChart>
        <c:barDir val="bar"/>
        <c:grouping val="clustered"/>
        <c:varyColors val="0"/>
        <c:ser>
          <c:idx val="0"/>
          <c:order val="0"/>
          <c:tx>
            <c:strRef>
              <c:f>Calcs!$C$57</c:f>
              <c:strCache>
                <c:ptCount val="1"/>
                <c:pt idx="0">
                  <c:v>Total</c:v>
                </c:pt>
              </c:strCache>
            </c:strRef>
          </c:tx>
          <c:spPr>
            <a:solidFill>
              <a:srgbClr val="861388"/>
            </a:solidFill>
            <a:ln>
              <a:noFill/>
            </a:ln>
            <a:effectLst/>
          </c:spPr>
          <c:invertIfNegative val="0"/>
          <c:dPt>
            <c:idx val="0"/>
            <c:invertIfNegative val="0"/>
            <c:bubble3D val="0"/>
            <c:spPr>
              <a:solidFill>
                <a:srgbClr val="861388"/>
              </a:solidFill>
              <a:ln>
                <a:noFill/>
              </a:ln>
              <a:effectLst/>
            </c:spPr>
            <c:extLst>
              <c:ext xmlns:c16="http://schemas.microsoft.com/office/drawing/2014/chart" uri="{C3380CC4-5D6E-409C-BE32-E72D297353CC}">
                <c16:uniqueId val="{00000002-A093-4C35-8884-BCF2992139BA}"/>
              </c:ext>
            </c:extLst>
          </c:dPt>
          <c:dPt>
            <c:idx val="1"/>
            <c:invertIfNegative val="0"/>
            <c:bubble3D val="0"/>
            <c:spPr>
              <a:solidFill>
                <a:srgbClr val="861388"/>
              </a:solidFill>
              <a:ln>
                <a:noFill/>
              </a:ln>
              <a:effectLst/>
            </c:spPr>
            <c:extLst>
              <c:ext xmlns:c16="http://schemas.microsoft.com/office/drawing/2014/chart" uri="{C3380CC4-5D6E-409C-BE32-E72D297353CC}">
                <c16:uniqueId val="{00000001-A093-4C35-8884-BCF2992139BA}"/>
              </c:ext>
            </c:extLst>
          </c:dPt>
          <c:dLbls>
            <c:dLbl>
              <c:idx val="0"/>
              <c:dLblPos val="inBase"/>
              <c:showLegendKey val="0"/>
              <c:showVal val="1"/>
              <c:showCatName val="0"/>
              <c:showSerName val="0"/>
              <c:showPercent val="0"/>
              <c:showBubbleSize val="0"/>
              <c:extLst>
                <c:ext xmlns:c15="http://schemas.microsoft.com/office/drawing/2012/chart" uri="{CE6537A1-D6FC-4f65-9D91-7224C49458BB}">
                  <c15:layout>
                    <c:manualLayout>
                      <c:w val="0.27080104166666669"/>
                      <c:h val="0.16620492662473796"/>
                    </c:manualLayout>
                  </c15:layout>
                </c:ext>
                <c:ext xmlns:c16="http://schemas.microsoft.com/office/drawing/2014/chart" uri="{C3380CC4-5D6E-409C-BE32-E72D297353CC}">
                  <c16:uniqueId val="{00000002-A093-4C35-8884-BCF2992139BA}"/>
                </c:ext>
              </c:extLst>
            </c:dLbl>
            <c:dLbl>
              <c:idx val="1"/>
              <c:dLblPos val="inBase"/>
              <c:showLegendKey val="0"/>
              <c:showVal val="1"/>
              <c:showCatName val="0"/>
              <c:showSerName val="0"/>
              <c:showPercent val="0"/>
              <c:showBubbleSize val="0"/>
              <c:extLst>
                <c:ext xmlns:c15="http://schemas.microsoft.com/office/drawing/2012/chart" uri="{CE6537A1-D6FC-4f65-9D91-7224C49458BB}">
                  <c15:layout>
                    <c:manualLayout>
                      <c:w val="0.27962048611111112"/>
                      <c:h val="0.16620492662473796"/>
                    </c:manualLayout>
                  </c15:layout>
                </c:ext>
                <c:ext xmlns:c16="http://schemas.microsoft.com/office/drawing/2014/chart" uri="{C3380CC4-5D6E-409C-BE32-E72D297353CC}">
                  <c16:uniqueId val="{00000001-A093-4C35-8884-BCF2992139BA}"/>
                </c:ext>
              </c:extLst>
            </c:dLbl>
            <c:numFmt formatCode="[$GHC]\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Calcs!$B$58:$B$60</c:f>
              <c:strCache>
                <c:ptCount val="2"/>
                <c:pt idx="0">
                  <c:v>2024</c:v>
                </c:pt>
                <c:pt idx="1">
                  <c:v>2023</c:v>
                </c:pt>
              </c:strCache>
            </c:strRef>
          </c:cat>
          <c:val>
            <c:numRef>
              <c:f>Calcs!$C$58:$C$60</c:f>
              <c:numCache>
                <c:formatCode>General</c:formatCode>
                <c:ptCount val="2"/>
                <c:pt idx="0">
                  <c:v>5406620</c:v>
                </c:pt>
                <c:pt idx="1">
                  <c:v>5579700</c:v>
                </c:pt>
              </c:numCache>
            </c:numRef>
          </c:val>
          <c:extLst>
            <c:ext xmlns:c16="http://schemas.microsoft.com/office/drawing/2014/chart" uri="{C3380CC4-5D6E-409C-BE32-E72D297353CC}">
              <c16:uniqueId val="{00000000-A093-4C35-8884-BCF2992139BA}"/>
            </c:ext>
          </c:extLst>
        </c:ser>
        <c:dLbls>
          <c:showLegendKey val="0"/>
          <c:showVal val="0"/>
          <c:showCatName val="0"/>
          <c:showSerName val="0"/>
          <c:showPercent val="0"/>
          <c:showBubbleSize val="0"/>
        </c:dLbls>
        <c:gapWidth val="50"/>
        <c:axId val="873514239"/>
        <c:axId val="873507039"/>
      </c:barChart>
      <c:catAx>
        <c:axId val="8735142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3507039"/>
        <c:crosses val="autoZero"/>
        <c:auto val="1"/>
        <c:lblAlgn val="ctr"/>
        <c:lblOffset val="100"/>
        <c:noMultiLvlLbl val="0"/>
      </c:catAx>
      <c:valAx>
        <c:axId val="873507039"/>
        <c:scaling>
          <c:orientation val="minMax"/>
        </c:scaling>
        <c:delete val="1"/>
        <c:axPos val="b"/>
        <c:numFmt formatCode="General" sourceLinked="1"/>
        <c:majorTickMark val="none"/>
        <c:minorTickMark val="none"/>
        <c:tickLblPos val="nextTo"/>
        <c:crossAx val="873514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https://openclipart.org/detail/211807/matt-icons_player-by-sixsixfive-211807" TargetMode="External"/><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342306</xdr:colOff>
      <xdr:row>1</xdr:row>
      <xdr:rowOff>0</xdr:rowOff>
    </xdr:from>
    <xdr:to>
      <xdr:col>20</xdr:col>
      <xdr:colOff>520595</xdr:colOff>
      <xdr:row>36</xdr:row>
      <xdr:rowOff>0</xdr:rowOff>
    </xdr:to>
    <xdr:sp macro="" textlink="">
      <xdr:nvSpPr>
        <xdr:cNvPr id="11" name="Rectangle 10">
          <a:extLst>
            <a:ext uri="{FF2B5EF4-FFF2-40B4-BE49-F238E27FC236}">
              <a16:creationId xmlns:a16="http://schemas.microsoft.com/office/drawing/2014/main" id="{58B98625-4E9B-21D5-15BA-FD616690DC04}"/>
            </a:ext>
          </a:extLst>
        </xdr:cNvPr>
        <xdr:cNvSpPr/>
      </xdr:nvSpPr>
      <xdr:spPr>
        <a:xfrm>
          <a:off x="952501" y="193477"/>
          <a:ext cx="11772000" cy="6771679"/>
        </a:xfrm>
        <a:prstGeom prst="rect">
          <a:avLst/>
        </a:prstGeom>
        <a:solidFill>
          <a:srgbClr val="FEEFE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-1</xdr:colOff>
      <xdr:row>14</xdr:row>
      <xdr:rowOff>0</xdr:rowOff>
    </xdr:from>
    <xdr:to>
      <xdr:col>9</xdr:col>
      <xdr:colOff>439218</xdr:colOff>
      <xdr:row>24</xdr:row>
      <xdr:rowOff>9234</xdr:rowOff>
    </xdr:to>
    <xdr:graphicFrame macro="">
      <xdr:nvGraphicFramePr>
        <xdr:cNvPr id="2" name="Chart 1">
          <a:extLst>
            <a:ext uri="{FF2B5EF4-FFF2-40B4-BE49-F238E27FC236}">
              <a16:creationId xmlns:a16="http://schemas.microsoft.com/office/drawing/2014/main" id="{8D3D2C97-B19B-4881-8546-DB560D620A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162425</xdr:colOff>
      <xdr:row>14</xdr:row>
      <xdr:rowOff>0</xdr:rowOff>
    </xdr:from>
    <xdr:to>
      <xdr:col>14</xdr:col>
      <xdr:colOff>601644</xdr:colOff>
      <xdr:row>24</xdr:row>
      <xdr:rowOff>9234</xdr:rowOff>
    </xdr:to>
    <xdr:graphicFrame macro="">
      <xdr:nvGraphicFramePr>
        <xdr:cNvPr id="3" name="Chart 2">
          <a:extLst>
            <a:ext uri="{FF2B5EF4-FFF2-40B4-BE49-F238E27FC236}">
              <a16:creationId xmlns:a16="http://schemas.microsoft.com/office/drawing/2014/main" id="{24C9A171-2C9F-49C1-B3FA-F32117385D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334687</xdr:colOff>
      <xdr:row>14</xdr:row>
      <xdr:rowOff>14883</xdr:rowOff>
    </xdr:from>
    <xdr:to>
      <xdr:col>20</xdr:col>
      <xdr:colOff>163711</xdr:colOff>
      <xdr:row>24</xdr:row>
      <xdr:rowOff>24117</xdr:rowOff>
    </xdr:to>
    <xdr:graphicFrame macro="">
      <xdr:nvGraphicFramePr>
        <xdr:cNvPr id="4" name="Chart 3">
          <a:extLst>
            <a:ext uri="{FF2B5EF4-FFF2-40B4-BE49-F238E27FC236}">
              <a16:creationId xmlns:a16="http://schemas.microsoft.com/office/drawing/2014/main" id="{57B1CDB8-A301-4627-855E-93D678834F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610194</xdr:colOff>
      <xdr:row>2</xdr:row>
      <xdr:rowOff>1</xdr:rowOff>
    </xdr:from>
    <xdr:to>
      <xdr:col>20</xdr:col>
      <xdr:colOff>140483</xdr:colOff>
      <xdr:row>5</xdr:row>
      <xdr:rowOff>1</xdr:rowOff>
    </xdr:to>
    <xdr:sp macro="" textlink="">
      <xdr:nvSpPr>
        <xdr:cNvPr id="5" name="Rectangle: Rounded Corners 4">
          <a:extLst>
            <a:ext uri="{FF2B5EF4-FFF2-40B4-BE49-F238E27FC236}">
              <a16:creationId xmlns:a16="http://schemas.microsoft.com/office/drawing/2014/main" id="{7311E676-9F4A-3B10-F8B5-06338744AA20}"/>
            </a:ext>
          </a:extLst>
        </xdr:cNvPr>
        <xdr:cNvSpPr/>
      </xdr:nvSpPr>
      <xdr:spPr>
        <a:xfrm>
          <a:off x="1220389" y="386954"/>
          <a:ext cx="11124000" cy="580430"/>
        </a:xfrm>
        <a:prstGeom prst="roundRect">
          <a:avLst/>
        </a:prstGeom>
        <a:solidFill>
          <a:srgbClr val="C799A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3200"/>
            <a:t>G</a:t>
          </a:r>
          <a:r>
            <a:rPr lang="en-GB" sz="3200" baseline="0"/>
            <a:t> H A N A S T R E A M - </a:t>
          </a:r>
          <a:r>
            <a:rPr lang="en-GB" sz="2400" baseline="0"/>
            <a:t>GENERAL OVERVIEW</a:t>
          </a:r>
          <a:endParaRPr lang="en-GB" sz="2400"/>
        </a:p>
      </xdr:txBody>
    </xdr:sp>
    <xdr:clientData/>
  </xdr:twoCellAnchor>
  <xdr:twoCellAnchor>
    <xdr:from>
      <xdr:col>5</xdr:col>
      <xdr:colOff>0</xdr:colOff>
      <xdr:row>25</xdr:row>
      <xdr:rowOff>0</xdr:rowOff>
    </xdr:from>
    <xdr:to>
      <xdr:col>9</xdr:col>
      <xdr:colOff>439219</xdr:colOff>
      <xdr:row>35</xdr:row>
      <xdr:rowOff>9234</xdr:rowOff>
    </xdr:to>
    <xdr:graphicFrame macro="">
      <xdr:nvGraphicFramePr>
        <xdr:cNvPr id="6" name="Chart 5">
          <a:extLst>
            <a:ext uri="{FF2B5EF4-FFF2-40B4-BE49-F238E27FC236}">
              <a16:creationId xmlns:a16="http://schemas.microsoft.com/office/drawing/2014/main" id="{2BE1B1E3-8D6F-4884-8F63-FD5DE71FB1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170977</xdr:colOff>
      <xdr:row>25</xdr:row>
      <xdr:rowOff>0</xdr:rowOff>
    </xdr:from>
    <xdr:to>
      <xdr:col>15</xdr:col>
      <xdr:colOff>0</xdr:colOff>
      <xdr:row>35</xdr:row>
      <xdr:rowOff>9234</xdr:rowOff>
    </xdr:to>
    <xdr:graphicFrame macro="">
      <xdr:nvGraphicFramePr>
        <xdr:cNvPr id="7" name="Chart 6">
          <a:extLst>
            <a:ext uri="{FF2B5EF4-FFF2-40B4-BE49-F238E27FC236}">
              <a16:creationId xmlns:a16="http://schemas.microsoft.com/office/drawing/2014/main" id="{B5E4F573-ABC0-4F90-8729-ED95952C9A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312539</xdr:colOff>
      <xdr:row>25</xdr:row>
      <xdr:rowOff>0</xdr:rowOff>
    </xdr:from>
    <xdr:to>
      <xdr:col>20</xdr:col>
      <xdr:colOff>141563</xdr:colOff>
      <xdr:row>35</xdr:row>
      <xdr:rowOff>9234</xdr:rowOff>
    </xdr:to>
    <xdr:graphicFrame macro="">
      <xdr:nvGraphicFramePr>
        <xdr:cNvPr id="8" name="Chart 7">
          <a:extLst>
            <a:ext uri="{FF2B5EF4-FFF2-40B4-BE49-F238E27FC236}">
              <a16:creationId xmlns:a16="http://schemas.microsoft.com/office/drawing/2014/main" id="{F8A6B6FA-91FA-4C59-9CD4-12051369D9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4</xdr:col>
      <xdr:colOff>533487</xdr:colOff>
      <xdr:row>2</xdr:row>
      <xdr:rowOff>58080</xdr:rowOff>
    </xdr:from>
    <xdr:to>
      <xdr:col>5</xdr:col>
      <xdr:colOff>382479</xdr:colOff>
      <xdr:row>4</xdr:row>
      <xdr:rowOff>155243</xdr:rowOff>
    </xdr:to>
    <xdr:pic>
      <xdr:nvPicPr>
        <xdr:cNvPr id="16" name="Picture 15">
          <a:extLst>
            <a:ext uri="{FF2B5EF4-FFF2-40B4-BE49-F238E27FC236}">
              <a16:creationId xmlns:a16="http://schemas.microsoft.com/office/drawing/2014/main" id="{2AEA0A21-D0E8-7B78-59D4-C78A099D97C9}"/>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837473B0-CC2E-450A-ABE3-18F120FF3D39}">
              <a1611:picAttrSrcUrl xmlns:a1611="http://schemas.microsoft.com/office/drawing/2016/11/main" r:id="rId8"/>
            </a:ext>
          </a:extLst>
        </a:blip>
        <a:stretch>
          <a:fillRect/>
        </a:stretch>
      </xdr:blipFill>
      <xdr:spPr>
        <a:xfrm>
          <a:off x="2958032" y="439080"/>
          <a:ext cx="455129" cy="478163"/>
        </a:xfrm>
        <a:prstGeom prst="rect">
          <a:avLst/>
        </a:prstGeom>
      </xdr:spPr>
    </xdr:pic>
    <xdr:clientData/>
  </xdr:twoCellAnchor>
  <xdr:twoCellAnchor editAs="oneCell">
    <xdr:from>
      <xdr:col>2</xdr:col>
      <xdr:colOff>0</xdr:colOff>
      <xdr:row>18</xdr:row>
      <xdr:rowOff>14882</xdr:rowOff>
    </xdr:from>
    <xdr:to>
      <xdr:col>4</xdr:col>
      <xdr:colOff>399610</xdr:colOff>
      <xdr:row>24</xdr:row>
      <xdr:rowOff>26788</xdr:rowOff>
    </xdr:to>
    <mc:AlternateContent xmlns:mc="http://schemas.openxmlformats.org/markup-compatibility/2006" xmlns:a14="http://schemas.microsoft.com/office/drawing/2010/main">
      <mc:Choice Requires="a14">
        <xdr:graphicFrame macro="">
          <xdr:nvGraphicFramePr>
            <xdr:cNvPr id="9" name="Device">
              <a:extLst>
                <a:ext uri="{FF2B5EF4-FFF2-40B4-BE49-F238E27FC236}">
                  <a16:creationId xmlns:a16="http://schemas.microsoft.com/office/drawing/2014/main" id="{C10031B3-D3EC-BEE0-A522-2879AFCB53D0}"/>
                </a:ext>
              </a:extLst>
            </xdr:cNvPr>
            <xdr:cNvGraphicFramePr/>
          </xdr:nvGraphicFramePr>
          <xdr:xfrm>
            <a:off x="0" y="0"/>
            <a:ext cx="0" cy="0"/>
          </xdr:xfrm>
          <a:graphic>
            <a:graphicData uri="http://schemas.microsoft.com/office/drawing/2010/slicer">
              <sle:slicer xmlns:sle="http://schemas.microsoft.com/office/drawing/2010/slicer" name="Device"/>
            </a:graphicData>
          </a:graphic>
        </xdr:graphicFrame>
      </mc:Choice>
      <mc:Fallback xmlns="">
        <xdr:sp macro="" textlink="">
          <xdr:nvSpPr>
            <xdr:cNvPr id="0" name=""/>
            <xdr:cNvSpPr>
              <a:spLocks noTextEdit="1"/>
            </xdr:cNvSpPr>
          </xdr:nvSpPr>
          <xdr:spPr>
            <a:xfrm>
              <a:off x="1212273" y="3443882"/>
              <a:ext cx="1611882" cy="115490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0</xdr:colOff>
      <xdr:row>24</xdr:row>
      <xdr:rowOff>193475</xdr:rowOff>
    </xdr:from>
    <xdr:to>
      <xdr:col>4</xdr:col>
      <xdr:colOff>399610</xdr:colOff>
      <xdr:row>33</xdr:row>
      <xdr:rowOff>-1</xdr:rowOff>
    </xdr:to>
    <mc:AlternateContent xmlns:mc="http://schemas.openxmlformats.org/markup-compatibility/2006" xmlns:a14="http://schemas.microsoft.com/office/drawing/2010/main">
      <mc:Choice Requires="a14">
        <xdr:graphicFrame macro="">
          <xdr:nvGraphicFramePr>
            <xdr:cNvPr id="10" name="Regions">
              <a:extLst>
                <a:ext uri="{FF2B5EF4-FFF2-40B4-BE49-F238E27FC236}">
                  <a16:creationId xmlns:a16="http://schemas.microsoft.com/office/drawing/2014/main" id="{CA286645-673F-E8B1-EE71-0B7DA0DF6674}"/>
                </a:ext>
              </a:extLst>
            </xdr:cNvPr>
            <xdr:cNvGraphicFramePr/>
          </xdr:nvGraphicFramePr>
          <xdr:xfrm>
            <a:off x="0" y="0"/>
            <a:ext cx="0" cy="0"/>
          </xdr:xfrm>
          <a:graphic>
            <a:graphicData uri="http://schemas.microsoft.com/office/drawing/2010/slicer">
              <sle:slicer xmlns:sle="http://schemas.microsoft.com/office/drawing/2010/slicer" name="Regions"/>
            </a:graphicData>
          </a:graphic>
        </xdr:graphicFrame>
      </mc:Choice>
      <mc:Fallback xmlns="">
        <xdr:sp macro="" textlink="">
          <xdr:nvSpPr>
            <xdr:cNvPr id="0" name=""/>
            <xdr:cNvSpPr>
              <a:spLocks noTextEdit="1"/>
            </xdr:cNvSpPr>
          </xdr:nvSpPr>
          <xdr:spPr>
            <a:xfrm>
              <a:off x="1212273" y="4765475"/>
              <a:ext cx="1611882" cy="152102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0</xdr:colOff>
      <xdr:row>6</xdr:row>
      <xdr:rowOff>1</xdr:rowOff>
    </xdr:from>
    <xdr:to>
      <xdr:col>4</xdr:col>
      <xdr:colOff>399610</xdr:colOff>
      <xdr:row>11</xdr:row>
      <xdr:rowOff>0</xdr:rowOff>
    </xdr:to>
    <mc:AlternateContent xmlns:mc="http://schemas.openxmlformats.org/markup-compatibility/2006" xmlns:a14="http://schemas.microsoft.com/office/drawing/2010/main">
      <mc:Choice Requires="a14">
        <xdr:graphicFrame macro="">
          <xdr:nvGraphicFramePr>
            <xdr:cNvPr id="12" name="Years (Subscription Date)">
              <a:extLst>
                <a:ext uri="{FF2B5EF4-FFF2-40B4-BE49-F238E27FC236}">
                  <a16:creationId xmlns:a16="http://schemas.microsoft.com/office/drawing/2014/main" id="{AF620B8D-91FB-6391-CDC2-AF31AD373580}"/>
                </a:ext>
              </a:extLst>
            </xdr:cNvPr>
            <xdr:cNvGraphicFramePr/>
          </xdr:nvGraphicFramePr>
          <xdr:xfrm>
            <a:off x="0" y="0"/>
            <a:ext cx="0" cy="0"/>
          </xdr:xfrm>
          <a:graphic>
            <a:graphicData uri="http://schemas.microsoft.com/office/drawing/2010/slicer">
              <sle:slicer xmlns:sle="http://schemas.microsoft.com/office/drawing/2010/slicer" name="Years (Subscription Date)"/>
            </a:graphicData>
          </a:graphic>
        </xdr:graphicFrame>
      </mc:Choice>
      <mc:Fallback xmlns="">
        <xdr:sp macro="" textlink="">
          <xdr:nvSpPr>
            <xdr:cNvPr id="0" name=""/>
            <xdr:cNvSpPr>
              <a:spLocks noTextEdit="1"/>
            </xdr:cNvSpPr>
          </xdr:nvSpPr>
          <xdr:spPr>
            <a:xfrm>
              <a:off x="1212273" y="1143001"/>
              <a:ext cx="1611882" cy="9524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0</xdr:colOff>
      <xdr:row>6</xdr:row>
      <xdr:rowOff>0</xdr:rowOff>
    </xdr:from>
    <xdr:to>
      <xdr:col>9</xdr:col>
      <xdr:colOff>439219</xdr:colOff>
      <xdr:row>13</xdr:row>
      <xdr:rowOff>49664</xdr:rowOff>
    </xdr:to>
    <xdr:sp macro="" textlink="">
      <xdr:nvSpPr>
        <xdr:cNvPr id="13" name="Rectangle 12">
          <a:extLst>
            <a:ext uri="{FF2B5EF4-FFF2-40B4-BE49-F238E27FC236}">
              <a16:creationId xmlns:a16="http://schemas.microsoft.com/office/drawing/2014/main" id="{7E52A79D-AF20-3F52-1896-A5904D1B5F77}"/>
            </a:ext>
          </a:extLst>
        </xdr:cNvPr>
        <xdr:cNvSpPr/>
      </xdr:nvSpPr>
      <xdr:spPr>
        <a:xfrm>
          <a:off x="3050977" y="1160859"/>
          <a:ext cx="2880000" cy="1404000"/>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270000</xdr:colOff>
      <xdr:row>9</xdr:row>
      <xdr:rowOff>89295</xdr:rowOff>
    </xdr:from>
    <xdr:to>
      <xdr:col>9</xdr:col>
      <xdr:colOff>169219</xdr:colOff>
      <xdr:row>12</xdr:row>
      <xdr:rowOff>120865</xdr:rowOff>
    </xdr:to>
    <xdr:sp macro="" textlink="Calcs!B63">
      <xdr:nvSpPr>
        <xdr:cNvPr id="18" name="TextBox 17">
          <a:extLst>
            <a:ext uri="{FF2B5EF4-FFF2-40B4-BE49-F238E27FC236}">
              <a16:creationId xmlns:a16="http://schemas.microsoft.com/office/drawing/2014/main" id="{CEA45A65-E7FE-53B7-ED54-AF9C2C284AEA}"/>
            </a:ext>
          </a:extLst>
        </xdr:cNvPr>
        <xdr:cNvSpPr txBox="1"/>
      </xdr:nvSpPr>
      <xdr:spPr>
        <a:xfrm>
          <a:off x="3320977" y="1830584"/>
          <a:ext cx="2340000" cy="612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A877116-B033-486C-9250-99A71DCF6A53}" type="TxLink">
            <a:rPr lang="en-US" sz="4000" b="1" i="0" u="none" strike="noStrike">
              <a:solidFill>
                <a:srgbClr val="000000"/>
              </a:solidFill>
              <a:latin typeface="Calibri"/>
              <a:ea typeface="Calibri"/>
              <a:cs typeface="Calibri"/>
            </a:rPr>
            <a:pPr algn="ctr"/>
            <a:t>2000</a:t>
          </a:fld>
          <a:endParaRPr lang="en-GB" sz="4000" b="1"/>
        </a:p>
      </xdr:txBody>
    </xdr:sp>
    <xdr:clientData/>
  </xdr:twoCellAnchor>
  <xdr:twoCellAnchor>
    <xdr:from>
      <xdr:col>5</xdr:col>
      <xdr:colOff>270000</xdr:colOff>
      <xdr:row>6</xdr:row>
      <xdr:rowOff>193474</xdr:rowOff>
    </xdr:from>
    <xdr:to>
      <xdr:col>9</xdr:col>
      <xdr:colOff>169219</xdr:colOff>
      <xdr:row>8</xdr:row>
      <xdr:rowOff>184520</xdr:rowOff>
    </xdr:to>
    <xdr:sp macro="" textlink="">
      <xdr:nvSpPr>
        <xdr:cNvPr id="19" name="TextBox 18">
          <a:extLst>
            <a:ext uri="{FF2B5EF4-FFF2-40B4-BE49-F238E27FC236}">
              <a16:creationId xmlns:a16="http://schemas.microsoft.com/office/drawing/2014/main" id="{0442D11D-BE13-3C23-8D48-C39DF03D8A9A}"/>
            </a:ext>
          </a:extLst>
        </xdr:cNvPr>
        <xdr:cNvSpPr txBox="1"/>
      </xdr:nvSpPr>
      <xdr:spPr>
        <a:xfrm>
          <a:off x="3320977" y="1354333"/>
          <a:ext cx="2340000" cy="378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600" b="1"/>
            <a:t>TOTAL</a:t>
          </a:r>
          <a:r>
            <a:rPr lang="en-GB" sz="1600" b="1" baseline="0"/>
            <a:t> ORDERS</a:t>
          </a:r>
        </a:p>
      </xdr:txBody>
    </xdr:sp>
    <xdr:clientData/>
  </xdr:twoCellAnchor>
  <xdr:twoCellAnchor>
    <xdr:from>
      <xdr:col>10</xdr:col>
      <xdr:colOff>193478</xdr:colOff>
      <xdr:row>6</xdr:row>
      <xdr:rowOff>2</xdr:rowOff>
    </xdr:from>
    <xdr:to>
      <xdr:col>15</xdr:col>
      <xdr:colOff>22501</xdr:colOff>
      <xdr:row>13</xdr:row>
      <xdr:rowOff>49666</xdr:rowOff>
    </xdr:to>
    <xdr:sp macro="" textlink="">
      <xdr:nvSpPr>
        <xdr:cNvPr id="23" name="Rectangle 22">
          <a:extLst>
            <a:ext uri="{FF2B5EF4-FFF2-40B4-BE49-F238E27FC236}">
              <a16:creationId xmlns:a16="http://schemas.microsoft.com/office/drawing/2014/main" id="{8641E413-DD48-4103-A837-057F07F1A2EB}"/>
            </a:ext>
          </a:extLst>
        </xdr:cNvPr>
        <xdr:cNvSpPr/>
      </xdr:nvSpPr>
      <xdr:spPr>
        <a:xfrm>
          <a:off x="6295431" y="1160861"/>
          <a:ext cx="2880000" cy="1404000"/>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463478</xdr:colOff>
      <xdr:row>9</xdr:row>
      <xdr:rowOff>89297</xdr:rowOff>
    </xdr:from>
    <xdr:to>
      <xdr:col>14</xdr:col>
      <xdr:colOff>362697</xdr:colOff>
      <xdr:row>12</xdr:row>
      <xdr:rowOff>120867</xdr:rowOff>
    </xdr:to>
    <xdr:sp macro="" textlink="Calcs!B66">
      <xdr:nvSpPr>
        <xdr:cNvPr id="24" name="TextBox 23">
          <a:extLst>
            <a:ext uri="{FF2B5EF4-FFF2-40B4-BE49-F238E27FC236}">
              <a16:creationId xmlns:a16="http://schemas.microsoft.com/office/drawing/2014/main" id="{CF2D8DEA-AFD2-4B6D-8B25-5D22131AC74A}"/>
            </a:ext>
          </a:extLst>
        </xdr:cNvPr>
        <xdr:cNvSpPr txBox="1"/>
      </xdr:nvSpPr>
      <xdr:spPr>
        <a:xfrm>
          <a:off x="6565431" y="1830586"/>
          <a:ext cx="2340000" cy="612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A368884-E538-469B-8D01-D973CAAEB6F8}" type="TxLink">
            <a:rPr lang="en-US" sz="3200" b="1" i="0" u="none" strike="noStrike">
              <a:solidFill>
                <a:srgbClr val="000000"/>
              </a:solidFill>
              <a:latin typeface="Calibri"/>
              <a:ea typeface="Calibri"/>
              <a:cs typeface="Calibri"/>
            </a:rPr>
            <a:pPr algn="ctr"/>
            <a:t>GHC 10.99M</a:t>
          </a:fld>
          <a:endParaRPr lang="en-GB" sz="3200" b="1"/>
        </a:p>
      </xdr:txBody>
    </xdr:sp>
    <xdr:clientData/>
  </xdr:twoCellAnchor>
  <xdr:twoCellAnchor>
    <xdr:from>
      <xdr:col>10</xdr:col>
      <xdr:colOff>463478</xdr:colOff>
      <xdr:row>6</xdr:row>
      <xdr:rowOff>193476</xdr:rowOff>
    </xdr:from>
    <xdr:to>
      <xdr:col>14</xdr:col>
      <xdr:colOff>362697</xdr:colOff>
      <xdr:row>8</xdr:row>
      <xdr:rowOff>184522</xdr:rowOff>
    </xdr:to>
    <xdr:sp macro="" textlink="">
      <xdr:nvSpPr>
        <xdr:cNvPr id="25" name="TextBox 24">
          <a:extLst>
            <a:ext uri="{FF2B5EF4-FFF2-40B4-BE49-F238E27FC236}">
              <a16:creationId xmlns:a16="http://schemas.microsoft.com/office/drawing/2014/main" id="{B48A2A95-F69B-4312-A09C-FBBDE9338FBC}"/>
            </a:ext>
          </a:extLst>
        </xdr:cNvPr>
        <xdr:cNvSpPr txBox="1"/>
      </xdr:nvSpPr>
      <xdr:spPr>
        <a:xfrm>
          <a:off x="6565431" y="1354335"/>
          <a:ext cx="2340000" cy="378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600" b="1"/>
            <a:t>TOTAL</a:t>
          </a:r>
          <a:r>
            <a:rPr lang="en-GB" sz="1600" b="1" baseline="0"/>
            <a:t> SALES</a:t>
          </a:r>
        </a:p>
      </xdr:txBody>
    </xdr:sp>
    <xdr:clientData/>
  </xdr:twoCellAnchor>
  <xdr:twoCellAnchor>
    <xdr:from>
      <xdr:col>15</xdr:col>
      <xdr:colOff>312539</xdr:colOff>
      <xdr:row>6</xdr:row>
      <xdr:rowOff>0</xdr:rowOff>
    </xdr:from>
    <xdr:to>
      <xdr:col>20</xdr:col>
      <xdr:colOff>141563</xdr:colOff>
      <xdr:row>13</xdr:row>
      <xdr:rowOff>49664</xdr:rowOff>
    </xdr:to>
    <xdr:sp macro="" textlink="">
      <xdr:nvSpPr>
        <xdr:cNvPr id="29" name="Rectangle 28">
          <a:extLst>
            <a:ext uri="{FF2B5EF4-FFF2-40B4-BE49-F238E27FC236}">
              <a16:creationId xmlns:a16="http://schemas.microsoft.com/office/drawing/2014/main" id="{E692E519-AEA1-491B-BE52-AAE508A08DDE}"/>
            </a:ext>
          </a:extLst>
        </xdr:cNvPr>
        <xdr:cNvSpPr/>
      </xdr:nvSpPr>
      <xdr:spPr>
        <a:xfrm>
          <a:off x="9465469" y="1160859"/>
          <a:ext cx="2880000" cy="1404000"/>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15</xdr:col>
      <xdr:colOff>582539</xdr:colOff>
      <xdr:row>9</xdr:row>
      <xdr:rowOff>89295</xdr:rowOff>
    </xdr:from>
    <xdr:to>
      <xdr:col>19</xdr:col>
      <xdr:colOff>481758</xdr:colOff>
      <xdr:row>12</xdr:row>
      <xdr:rowOff>120865</xdr:rowOff>
    </xdr:to>
    <xdr:sp macro="" textlink="Calcs!C69">
      <xdr:nvSpPr>
        <xdr:cNvPr id="30" name="TextBox 29">
          <a:extLst>
            <a:ext uri="{FF2B5EF4-FFF2-40B4-BE49-F238E27FC236}">
              <a16:creationId xmlns:a16="http://schemas.microsoft.com/office/drawing/2014/main" id="{E2C3C332-292E-494D-95BF-BE5569B3173D}"/>
            </a:ext>
          </a:extLst>
        </xdr:cNvPr>
        <xdr:cNvSpPr txBox="1"/>
      </xdr:nvSpPr>
      <xdr:spPr>
        <a:xfrm>
          <a:off x="9735469" y="1830584"/>
          <a:ext cx="2340000" cy="612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E020616-F714-4079-852C-791243EC8DE8}" type="TxLink">
            <a:rPr lang="en-US" sz="3600" b="1" i="0" u="none" strike="noStrike">
              <a:solidFill>
                <a:srgbClr val="000000"/>
              </a:solidFill>
              <a:latin typeface="Calibri"/>
              <a:ea typeface="Calibri"/>
              <a:cs typeface="Calibri"/>
            </a:rPr>
            <a:pPr algn="ctr"/>
            <a:t>49%</a:t>
          </a:fld>
          <a:endParaRPr lang="en-GB" sz="3600" b="1"/>
        </a:p>
      </xdr:txBody>
    </xdr:sp>
    <xdr:clientData/>
  </xdr:twoCellAnchor>
  <xdr:twoCellAnchor>
    <xdr:from>
      <xdr:col>15</xdr:col>
      <xdr:colOff>582539</xdr:colOff>
      <xdr:row>6</xdr:row>
      <xdr:rowOff>193474</xdr:rowOff>
    </xdr:from>
    <xdr:to>
      <xdr:col>19</xdr:col>
      <xdr:colOff>481758</xdr:colOff>
      <xdr:row>8</xdr:row>
      <xdr:rowOff>184520</xdr:rowOff>
    </xdr:to>
    <xdr:sp macro="" textlink="">
      <xdr:nvSpPr>
        <xdr:cNvPr id="31" name="TextBox 30">
          <a:extLst>
            <a:ext uri="{FF2B5EF4-FFF2-40B4-BE49-F238E27FC236}">
              <a16:creationId xmlns:a16="http://schemas.microsoft.com/office/drawing/2014/main" id="{E1EB8A14-9916-466A-987B-AA20A64B6733}"/>
            </a:ext>
          </a:extLst>
        </xdr:cNvPr>
        <xdr:cNvSpPr txBox="1"/>
      </xdr:nvSpPr>
      <xdr:spPr>
        <a:xfrm>
          <a:off x="9735469" y="1354333"/>
          <a:ext cx="2340000" cy="378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600" b="1" baseline="0"/>
            <a:t>% CHURNED</a:t>
          </a:r>
        </a:p>
      </xdr:txBody>
    </xdr:sp>
    <xdr:clientData/>
  </xdr:twoCellAnchor>
  <xdr:twoCellAnchor editAs="oneCell">
    <xdr:from>
      <xdr:col>2</xdr:col>
      <xdr:colOff>0</xdr:colOff>
      <xdr:row>12</xdr:row>
      <xdr:rowOff>29765</xdr:rowOff>
    </xdr:from>
    <xdr:to>
      <xdr:col>4</xdr:col>
      <xdr:colOff>399610</xdr:colOff>
      <xdr:row>17</xdr:row>
      <xdr:rowOff>0</xdr:rowOff>
    </xdr:to>
    <mc:AlternateContent xmlns:mc="http://schemas.openxmlformats.org/markup-compatibility/2006" xmlns:a14="http://schemas.microsoft.com/office/drawing/2010/main">
      <mc:Choice Requires="a14">
        <xdr:graphicFrame macro="">
          <xdr:nvGraphicFramePr>
            <xdr:cNvPr id="34" name="Plan Type">
              <a:extLst>
                <a:ext uri="{FF2B5EF4-FFF2-40B4-BE49-F238E27FC236}">
                  <a16:creationId xmlns:a16="http://schemas.microsoft.com/office/drawing/2014/main" id="{5D55AE85-D822-A3CD-60D9-300EC0DE15B7}"/>
                </a:ext>
              </a:extLst>
            </xdr:cNvPr>
            <xdr:cNvGraphicFramePr/>
          </xdr:nvGraphicFramePr>
          <xdr:xfrm>
            <a:off x="0" y="0"/>
            <a:ext cx="0" cy="0"/>
          </xdr:xfrm>
          <a:graphic>
            <a:graphicData uri="http://schemas.microsoft.com/office/drawing/2010/slicer">
              <sle:slicer xmlns:sle="http://schemas.microsoft.com/office/drawing/2010/slicer" name="Plan Type"/>
            </a:graphicData>
          </a:graphic>
        </xdr:graphicFrame>
      </mc:Choice>
      <mc:Fallback xmlns="">
        <xdr:sp macro="" textlink="">
          <xdr:nvSpPr>
            <xdr:cNvPr id="0" name=""/>
            <xdr:cNvSpPr>
              <a:spLocks noTextEdit="1"/>
            </xdr:cNvSpPr>
          </xdr:nvSpPr>
          <xdr:spPr>
            <a:xfrm>
              <a:off x="1212273" y="2315765"/>
              <a:ext cx="1611882" cy="92273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dmund Tetteh" refreshedDate="46174.562916782408" createdVersion="8" refreshedVersion="8" minRefreshableVersion="3" recordCount="2000" xr:uid="{96E487FB-81DB-464A-B92C-9E0E3FC9BC9B}">
  <cacheSource type="worksheet">
    <worksheetSource name="GhanaStream"/>
  </cacheSource>
  <cacheFields count="17">
    <cacheField name="Order ID" numFmtId="0">
      <sharedItems/>
    </cacheField>
    <cacheField name="Subscription Date" numFmtId="14">
      <sharedItems containsSemiMixedTypes="0" containsNonDate="0" containsDate="1" containsString="0" minDate="2023-01-02T00:00:00" maxDate="2025-01-01T00:00:00" count="674">
        <d v="2023-02-10T00:00:00"/>
        <d v="2023-11-14T00:00:00"/>
        <d v="2023-09-21T00:00:00"/>
        <d v="2024-10-30T00:00:00"/>
        <d v="2024-01-30T00:00:00"/>
        <d v="2024-05-30T00:00:00"/>
        <d v="2023-10-05T00:00:00"/>
        <d v="2023-12-16T00:00:00"/>
        <d v="2024-04-28T00:00:00"/>
        <d v="2023-02-25T00:00:00"/>
        <d v="2024-01-14T00:00:00"/>
        <d v="2023-07-09T00:00:00"/>
        <d v="2024-02-21T00:00:00"/>
        <d v="2024-04-17T00:00:00"/>
        <d v="2023-04-21T00:00:00"/>
        <d v="2023-11-23T00:00:00"/>
        <d v="2024-05-20T00:00:00"/>
        <d v="2023-07-29T00:00:00"/>
        <d v="2023-01-09T00:00:00"/>
        <d v="2023-01-26T00:00:00"/>
        <d v="2024-01-29T00:00:00"/>
        <d v="2023-02-27T00:00:00"/>
        <d v="2023-07-13T00:00:00"/>
        <d v="2024-12-01T00:00:00"/>
        <d v="2024-11-13T00:00:00"/>
        <d v="2023-01-02T00:00:00"/>
        <d v="2023-10-16T00:00:00"/>
        <d v="2024-10-12T00:00:00"/>
        <d v="2024-11-04T00:00:00"/>
        <d v="2023-10-28T00:00:00"/>
        <d v="2023-03-17T00:00:00"/>
        <d v="2023-07-25T00:00:00"/>
        <d v="2023-04-17T00:00:00"/>
        <d v="2024-11-15T00:00:00"/>
        <d v="2024-12-11T00:00:00"/>
        <d v="2024-10-14T00:00:00"/>
        <d v="2023-10-13T00:00:00"/>
        <d v="2023-07-24T00:00:00"/>
        <d v="2024-11-22T00:00:00"/>
        <d v="2024-06-24T00:00:00"/>
        <d v="2024-10-10T00:00:00"/>
        <d v="2024-12-25T00:00:00"/>
        <d v="2024-08-18T00:00:00"/>
        <d v="2024-12-13T00:00:00"/>
        <d v="2024-03-24T00:00:00"/>
        <d v="2023-07-03T00:00:00"/>
        <d v="2023-09-11T00:00:00"/>
        <d v="2024-11-07T00:00:00"/>
        <d v="2023-02-02T00:00:00"/>
        <d v="2024-02-20T00:00:00"/>
        <d v="2023-02-18T00:00:00"/>
        <d v="2023-11-30T00:00:00"/>
        <d v="2023-05-21T00:00:00"/>
        <d v="2023-11-22T00:00:00"/>
        <d v="2024-01-23T00:00:00"/>
        <d v="2023-10-17T00:00:00"/>
        <d v="2023-10-20T00:00:00"/>
        <d v="2024-11-09T00:00:00"/>
        <d v="2023-07-18T00:00:00"/>
        <d v="2023-06-17T00:00:00"/>
        <d v="2024-05-05T00:00:00"/>
        <d v="2023-04-01T00:00:00"/>
        <d v="2023-12-12T00:00:00"/>
        <d v="2024-05-26T00:00:00"/>
        <d v="2023-12-30T00:00:00"/>
        <d v="2024-03-25T00:00:00"/>
        <d v="2023-11-10T00:00:00"/>
        <d v="2023-08-02T00:00:00"/>
        <d v="2024-06-17T00:00:00"/>
        <d v="2024-03-29T00:00:00"/>
        <d v="2024-01-11T00:00:00"/>
        <d v="2024-03-30T00:00:00"/>
        <d v="2024-08-31T00:00:00"/>
        <d v="2024-02-08T00:00:00"/>
        <d v="2024-11-23T00:00:00"/>
        <d v="2023-05-22T00:00:00"/>
        <d v="2024-11-21T00:00:00"/>
        <d v="2023-11-19T00:00:00"/>
        <d v="2023-11-01T00:00:00"/>
        <d v="2023-04-19T00:00:00"/>
        <d v="2023-10-12T00:00:00"/>
        <d v="2024-04-03T00:00:00"/>
        <d v="2024-12-22T00:00:00"/>
        <d v="2023-06-27T00:00:00"/>
        <d v="2024-03-19T00:00:00"/>
        <d v="2024-08-14T00:00:00"/>
        <d v="2024-02-02T00:00:00"/>
        <d v="2024-09-18T00:00:00"/>
        <d v="2023-09-19T00:00:00"/>
        <d v="2024-07-13T00:00:00"/>
        <d v="2023-09-20T00:00:00"/>
        <d v="2023-04-04T00:00:00"/>
        <d v="2023-10-29T00:00:00"/>
        <d v="2024-08-28T00:00:00"/>
        <d v="2023-04-06T00:00:00"/>
        <d v="2023-03-14T00:00:00"/>
        <d v="2024-07-23T00:00:00"/>
        <d v="2023-01-28T00:00:00"/>
        <d v="2023-08-24T00:00:00"/>
        <d v="2024-09-01T00:00:00"/>
        <d v="2024-06-30T00:00:00"/>
        <d v="2023-03-26T00:00:00"/>
        <d v="2023-03-07T00:00:00"/>
        <d v="2023-02-12T00:00:00"/>
        <d v="2024-03-18T00:00:00"/>
        <d v="2023-09-30T00:00:00"/>
        <d v="2024-04-24T00:00:00"/>
        <d v="2023-05-13T00:00:00"/>
        <d v="2024-02-03T00:00:00"/>
        <d v="2023-01-31T00:00:00"/>
        <d v="2023-04-02T00:00:00"/>
        <d v="2023-01-27T00:00:00"/>
        <d v="2023-08-14T00:00:00"/>
        <d v="2023-08-12T00:00:00"/>
        <d v="2023-06-22T00:00:00"/>
        <d v="2023-11-12T00:00:00"/>
        <d v="2024-06-20T00:00:00"/>
        <d v="2024-03-05T00:00:00"/>
        <d v="2024-10-01T00:00:00"/>
        <d v="2024-06-27T00:00:00"/>
        <d v="2023-04-13T00:00:00"/>
        <d v="2024-05-12T00:00:00"/>
        <d v="2024-12-27T00:00:00"/>
        <d v="2024-08-15T00:00:00"/>
        <d v="2023-11-28T00:00:00"/>
        <d v="2023-03-10T00:00:00"/>
        <d v="2023-09-05T00:00:00"/>
        <d v="2024-02-17T00:00:00"/>
        <d v="2024-09-10T00:00:00"/>
        <d v="2024-08-05T00:00:00"/>
        <d v="2023-12-23T00:00:00"/>
        <d v="2024-12-19T00:00:00"/>
        <d v="2024-09-09T00:00:00"/>
        <d v="2024-04-19T00:00:00"/>
        <d v="2024-02-26T00:00:00"/>
        <d v="2023-09-08T00:00:00"/>
        <d v="2024-04-01T00:00:00"/>
        <d v="2023-03-03T00:00:00"/>
        <d v="2024-03-16T00:00:00"/>
        <d v="2024-01-09T00:00:00"/>
        <d v="2023-09-18T00:00:00"/>
        <d v="2024-03-26T00:00:00"/>
        <d v="2023-11-05T00:00:00"/>
        <d v="2024-12-31T00:00:00"/>
        <d v="2024-07-25T00:00:00"/>
        <d v="2023-04-30T00:00:00"/>
        <d v="2024-10-25T00:00:00"/>
        <d v="2023-09-22T00:00:00"/>
        <d v="2024-07-27T00:00:00"/>
        <d v="2024-09-15T00:00:00"/>
        <d v="2023-08-18T00:00:00"/>
        <d v="2023-10-21T00:00:00"/>
        <d v="2023-04-16T00:00:00"/>
        <d v="2023-04-12T00:00:00"/>
        <d v="2024-02-28T00:00:00"/>
        <d v="2023-01-29T00:00:00"/>
        <d v="2024-09-11T00:00:00"/>
        <d v="2023-11-29T00:00:00"/>
        <d v="2023-04-15T00:00:00"/>
        <d v="2023-03-24T00:00:00"/>
        <d v="2024-05-15T00:00:00"/>
        <d v="2024-02-16T00:00:00"/>
        <d v="2023-02-06T00:00:00"/>
        <d v="2024-11-25T00:00:00"/>
        <d v="2024-12-29T00:00:00"/>
        <d v="2023-10-27T00:00:00"/>
        <d v="2023-09-12T00:00:00"/>
        <d v="2023-05-20T00:00:00"/>
        <d v="2024-01-06T00:00:00"/>
        <d v="2024-04-07T00:00:00"/>
        <d v="2023-06-19T00:00:00"/>
        <d v="2023-05-16T00:00:00"/>
        <d v="2023-03-06T00:00:00"/>
        <d v="2024-12-07T00:00:00"/>
        <d v="2023-12-02T00:00:00"/>
        <d v="2024-10-19T00:00:00"/>
        <d v="2023-09-23T00:00:00"/>
        <d v="2023-10-06T00:00:00"/>
        <d v="2024-04-15T00:00:00"/>
        <d v="2023-12-24T00:00:00"/>
        <d v="2024-09-17T00:00:00"/>
        <d v="2023-01-05T00:00:00"/>
        <d v="2023-02-20T00:00:00"/>
        <d v="2024-06-01T00:00:00"/>
        <d v="2023-09-01T00:00:00"/>
        <d v="2024-06-22T00:00:00"/>
        <d v="2024-11-20T00:00:00"/>
        <d v="2024-05-14T00:00:00"/>
        <d v="2024-04-18T00:00:00"/>
        <d v="2024-01-03T00:00:00"/>
        <d v="2024-03-17T00:00:00"/>
        <d v="2023-10-23T00:00:00"/>
        <d v="2023-02-19T00:00:00"/>
        <d v="2024-09-12T00:00:00"/>
        <d v="2024-01-10T00:00:00"/>
        <d v="2023-06-04T00:00:00"/>
        <d v="2024-05-13T00:00:00"/>
        <d v="2024-07-24T00:00:00"/>
        <d v="2023-06-10T00:00:00"/>
        <d v="2024-03-06T00:00:00"/>
        <d v="2023-09-10T00:00:00"/>
        <d v="2023-01-30T00:00:00"/>
        <d v="2023-05-05T00:00:00"/>
        <d v="2024-02-18T00:00:00"/>
        <d v="2024-08-13T00:00:00"/>
        <d v="2024-04-12T00:00:00"/>
        <d v="2024-03-11T00:00:00"/>
        <d v="2024-05-08T00:00:00"/>
        <d v="2024-05-21T00:00:00"/>
        <d v="2024-11-02T00:00:00"/>
        <d v="2023-10-14T00:00:00"/>
        <d v="2023-04-07T00:00:00"/>
        <d v="2024-07-26T00:00:00"/>
        <d v="2023-09-06T00:00:00"/>
        <d v="2023-05-06T00:00:00"/>
        <d v="2024-02-10T00:00:00"/>
        <d v="2023-01-23T00:00:00"/>
        <d v="2023-02-26T00:00:00"/>
        <d v="2024-08-04T00:00:00"/>
        <d v="2023-12-04T00:00:00"/>
        <d v="2024-04-21T00:00:00"/>
        <d v="2024-01-20T00:00:00"/>
        <d v="2024-01-24T00:00:00"/>
        <d v="2024-10-27T00:00:00"/>
        <d v="2024-11-30T00:00:00"/>
        <d v="2023-10-10T00:00:00"/>
        <d v="2024-05-06T00:00:00"/>
        <d v="2023-02-22T00:00:00"/>
        <d v="2023-08-25T00:00:00"/>
        <d v="2024-02-01T00:00:00"/>
        <d v="2024-07-15T00:00:00"/>
        <d v="2023-05-18T00:00:00"/>
        <d v="2023-01-18T00:00:00"/>
        <d v="2024-09-06T00:00:00"/>
        <d v="2023-01-14T00:00:00"/>
        <d v="2023-07-28T00:00:00"/>
        <d v="2023-05-26T00:00:00"/>
        <d v="2024-09-07T00:00:00"/>
        <d v="2023-06-06T00:00:00"/>
        <d v="2024-08-06T00:00:00"/>
        <d v="2024-11-06T00:00:00"/>
        <d v="2023-11-04T00:00:00"/>
        <d v="2023-11-11T00:00:00"/>
        <d v="2023-07-02T00:00:00"/>
        <d v="2024-08-10T00:00:00"/>
        <d v="2023-12-27T00:00:00"/>
        <d v="2024-02-09T00:00:00"/>
        <d v="2023-03-28T00:00:00"/>
        <d v="2023-01-25T00:00:00"/>
        <d v="2023-04-08T00:00:00"/>
        <d v="2023-12-08T00:00:00"/>
        <d v="2023-06-01T00:00:00"/>
        <d v="2024-05-03T00:00:00"/>
        <d v="2023-08-03T00:00:00"/>
        <d v="2023-08-17T00:00:00"/>
        <d v="2024-06-16T00:00:00"/>
        <d v="2023-02-04T00:00:00"/>
        <d v="2024-07-16T00:00:00"/>
        <d v="2024-01-05T00:00:00"/>
        <d v="2023-11-24T00:00:00"/>
        <d v="2023-06-28T00:00:00"/>
        <d v="2023-07-12T00:00:00"/>
        <d v="2023-01-13T00:00:00"/>
        <d v="2023-02-09T00:00:00"/>
        <d v="2023-03-15T00:00:00"/>
        <d v="2023-08-22T00:00:00"/>
        <d v="2024-11-16T00:00:00"/>
        <d v="2023-03-11T00:00:00"/>
        <d v="2024-04-09T00:00:00"/>
        <d v="2024-07-20T00:00:00"/>
        <d v="2023-07-15T00:00:00"/>
        <d v="2023-11-08T00:00:00"/>
        <d v="2023-07-30T00:00:00"/>
        <d v="2024-12-05T00:00:00"/>
        <d v="2024-05-02T00:00:00"/>
        <d v="2023-12-25T00:00:00"/>
        <d v="2023-01-11T00:00:00"/>
        <d v="2024-06-03T00:00:00"/>
        <d v="2024-02-04T00:00:00"/>
        <d v="2023-11-15T00:00:00"/>
        <d v="2024-07-03T00:00:00"/>
        <d v="2023-01-06T00:00:00"/>
        <d v="2024-05-25T00:00:00"/>
        <d v="2023-10-08T00:00:00"/>
        <d v="2024-01-31T00:00:00"/>
        <d v="2024-06-09T00:00:00"/>
        <d v="2024-03-04T00:00:00"/>
        <d v="2024-06-08T00:00:00"/>
        <d v="2024-06-10T00:00:00"/>
        <d v="2023-03-20T00:00:00"/>
        <d v="2023-12-13T00:00:00"/>
        <d v="2023-02-05T00:00:00"/>
        <d v="2023-10-07T00:00:00"/>
        <d v="2024-10-13T00:00:00"/>
        <d v="2023-03-19T00:00:00"/>
        <d v="2023-04-20T00:00:00"/>
        <d v="2023-02-14T00:00:00"/>
        <d v="2023-09-04T00:00:00"/>
        <d v="2023-12-14T00:00:00"/>
        <d v="2023-06-08T00:00:00"/>
        <d v="2023-04-27T00:00:00"/>
        <d v="2024-04-16T00:00:00"/>
        <d v="2023-04-14T00:00:00"/>
        <d v="2024-09-03T00:00:00"/>
        <d v="2024-05-29T00:00:00"/>
        <d v="2024-04-23T00:00:00"/>
        <d v="2024-03-14T00:00:00"/>
        <d v="2023-06-03T00:00:00"/>
        <d v="2024-07-10T00:00:00"/>
        <d v="2024-05-04T00:00:00"/>
        <d v="2024-01-02T00:00:00"/>
        <d v="2024-02-07T00:00:00"/>
        <d v="2024-01-18T00:00:00"/>
        <d v="2023-01-24T00:00:00"/>
        <d v="2024-10-31T00:00:00"/>
        <d v="2024-06-12T00:00:00"/>
        <d v="2024-08-08T00:00:00"/>
        <d v="2024-07-05T00:00:00"/>
        <d v="2023-05-08T00:00:00"/>
        <d v="2024-05-22T00:00:00"/>
        <d v="2024-09-16T00:00:00"/>
        <d v="2023-08-08T00:00:00"/>
        <d v="2023-09-03T00:00:00"/>
        <d v="2023-04-23T00:00:00"/>
        <d v="2023-11-18T00:00:00"/>
        <d v="2023-01-16T00:00:00"/>
        <d v="2023-07-05T00:00:00"/>
        <d v="2023-04-10T00:00:00"/>
        <d v="2024-09-29T00:00:00"/>
        <d v="2023-01-12T00:00:00"/>
        <d v="2024-12-26T00:00:00"/>
        <d v="2024-05-16T00:00:00"/>
        <d v="2024-04-02T00:00:00"/>
        <d v="2024-12-12T00:00:00"/>
        <d v="2024-08-01T00:00:00"/>
        <d v="2023-01-22T00:00:00"/>
        <d v="2023-08-20T00:00:00"/>
        <d v="2023-08-09T00:00:00"/>
        <d v="2024-03-02T00:00:00"/>
        <d v="2024-07-12T00:00:00"/>
        <d v="2024-12-17T00:00:00"/>
        <d v="2024-07-31T00:00:00"/>
        <d v="2023-12-19T00:00:00"/>
        <d v="2023-03-02T00:00:00"/>
        <d v="2023-08-27T00:00:00"/>
        <d v="2023-07-21T00:00:00"/>
        <d v="2023-09-27T00:00:00"/>
        <d v="2024-02-24T00:00:00"/>
        <d v="2023-08-06T00:00:00"/>
        <d v="2023-12-01T00:00:00"/>
        <d v="2023-11-02T00:00:00"/>
        <d v="2024-07-04T00:00:00"/>
        <d v="2023-06-21T00:00:00"/>
        <d v="2023-07-11T00:00:00"/>
        <d v="2024-11-27T00:00:00"/>
        <d v="2023-06-07T00:00:00"/>
        <d v="2023-09-07T00:00:00"/>
        <d v="2024-08-20T00:00:00"/>
        <d v="2023-08-05T00:00:00"/>
        <d v="2024-05-31T00:00:00"/>
        <d v="2023-10-09T00:00:00"/>
        <d v="2023-08-26T00:00:00"/>
        <d v="2023-09-15T00:00:00"/>
        <d v="2023-05-28T00:00:00"/>
        <d v="2024-10-08T00:00:00"/>
        <d v="2023-06-14T00:00:00"/>
        <d v="2024-07-19T00:00:00"/>
        <d v="2023-10-19T00:00:00"/>
        <d v="2024-11-10T00:00:00"/>
        <d v="2024-12-15T00:00:00"/>
        <d v="2023-07-10T00:00:00"/>
        <d v="2023-06-24T00:00:00"/>
        <d v="2024-12-30T00:00:00"/>
        <d v="2024-04-29T00:00:00"/>
        <d v="2023-12-21T00:00:00"/>
        <d v="2023-02-01T00:00:00"/>
        <d v="2024-06-23T00:00:00"/>
        <d v="2024-01-01T00:00:00"/>
        <d v="2023-03-22T00:00:00"/>
        <d v="2023-02-03T00:00:00"/>
        <d v="2023-06-15T00:00:00"/>
        <d v="2023-06-30T00:00:00"/>
        <d v="2024-05-19T00:00:00"/>
        <d v="2023-12-15T00:00:00"/>
        <d v="2023-10-26T00:00:00"/>
        <d v="2024-06-29T00:00:00"/>
        <d v="2024-03-23T00:00:00"/>
        <d v="2024-08-16T00:00:00"/>
        <d v="2023-09-17T00:00:00"/>
        <d v="2023-09-14T00:00:00"/>
        <d v="2024-07-01T00:00:00"/>
        <d v="2023-12-17T00:00:00"/>
        <d v="2023-09-28T00:00:00"/>
        <d v="2023-12-11T00:00:00"/>
        <d v="2023-07-06T00:00:00"/>
        <d v="2024-08-27T00:00:00"/>
        <d v="2024-04-10T00:00:00"/>
        <d v="2023-12-03T00:00:00"/>
        <d v="2023-10-18T00:00:00"/>
        <d v="2023-08-29T00:00:00"/>
        <d v="2024-12-04T00:00:00"/>
        <d v="2024-04-25T00:00:00"/>
        <d v="2024-05-23T00:00:00"/>
        <d v="2023-03-25T00:00:00"/>
        <d v="2024-10-02T00:00:00"/>
        <d v="2023-03-27T00:00:00"/>
        <d v="2023-07-27T00:00:00"/>
        <d v="2023-01-10T00:00:00"/>
        <d v="2023-02-07T00:00:00"/>
        <d v="2023-10-04T00:00:00"/>
        <d v="2023-06-25T00:00:00"/>
        <d v="2024-06-07T00:00:00"/>
        <d v="2024-03-13T00:00:00"/>
        <d v="2023-11-16T00:00:00"/>
        <d v="2023-05-27T00:00:00"/>
        <d v="2023-06-23T00:00:00"/>
        <d v="2023-05-15T00:00:00"/>
        <d v="2023-03-31T00:00:00"/>
        <d v="2024-05-09T00:00:00"/>
        <d v="2024-02-19T00:00:00"/>
        <d v="2024-05-18T00:00:00"/>
        <d v="2023-04-24T00:00:00"/>
        <d v="2023-07-19T00:00:00"/>
        <d v="2024-09-28T00:00:00"/>
        <d v="2024-05-27T00:00:00"/>
        <d v="2024-07-18T00:00:00"/>
        <d v="2024-11-11T00:00:00"/>
        <d v="2023-04-11T00:00:00"/>
        <d v="2024-01-08T00:00:00"/>
        <d v="2023-08-21T00:00:00"/>
        <d v="2024-03-07T00:00:00"/>
        <d v="2023-12-09T00:00:00"/>
        <d v="2023-06-05T00:00:00"/>
        <d v="2023-06-11T00:00:00"/>
        <d v="2024-06-05T00:00:00"/>
        <d v="2023-02-08T00:00:00"/>
        <d v="2024-07-14T00:00:00"/>
        <d v="2024-11-01T00:00:00"/>
        <d v="2024-03-09T00:00:00"/>
        <d v="2024-07-17T00:00:00"/>
        <d v="2024-12-02T00:00:00"/>
        <d v="2024-01-13T00:00:00"/>
        <d v="2023-04-03T00:00:00"/>
        <d v="2024-10-28T00:00:00"/>
        <d v="2023-06-02T00:00:00"/>
        <d v="2023-05-09T00:00:00"/>
        <d v="2024-08-23T00:00:00"/>
        <d v="2024-03-10T00:00:00"/>
        <d v="2023-08-16T00:00:00"/>
        <d v="2023-05-03T00:00:00"/>
        <d v="2023-02-11T00:00:00"/>
        <d v="2023-09-26T00:00:00"/>
        <d v="2023-01-07T00:00:00"/>
        <d v="2023-03-04T00:00:00"/>
        <d v="2024-12-08T00:00:00"/>
        <d v="2023-03-16T00:00:00"/>
        <d v="2023-04-18T00:00:00"/>
        <d v="2024-03-20T00:00:00"/>
        <d v="2024-09-24T00:00:00"/>
        <d v="2024-06-13T00:00:00"/>
        <d v="2023-09-09T00:00:00"/>
        <d v="2023-05-10T00:00:00"/>
        <d v="2024-09-25T00:00:00"/>
        <d v="2023-03-29T00:00:00"/>
        <d v="2023-12-31T00:00:00"/>
        <d v="2024-09-20T00:00:00"/>
        <d v="2023-03-21T00:00:00"/>
        <d v="2024-02-29T00:00:00"/>
        <d v="2023-08-13T00:00:00"/>
        <d v="2024-07-28T00:00:00"/>
        <d v="2024-12-10T00:00:00"/>
        <d v="2023-05-14T00:00:00"/>
        <d v="2024-12-14T00:00:00"/>
        <d v="2024-02-05T00:00:00"/>
        <d v="2023-08-01T00:00:00"/>
        <d v="2024-05-01T00:00:00"/>
        <d v="2023-10-15T00:00:00"/>
        <d v="2024-01-28T00:00:00"/>
        <d v="2023-11-07T00:00:00"/>
        <d v="2024-08-22T00:00:00"/>
        <d v="2024-04-11T00:00:00"/>
        <d v="2024-04-26T00:00:00"/>
        <d v="2024-08-02T00:00:00"/>
        <d v="2023-08-28T00:00:00"/>
        <d v="2024-10-03T00:00:00"/>
        <d v="2024-04-30T00:00:00"/>
        <d v="2023-08-30T00:00:00"/>
        <d v="2024-03-01T00:00:00"/>
        <d v="2023-10-22T00:00:00"/>
        <d v="2024-02-15T00:00:00"/>
        <d v="2023-08-19T00:00:00"/>
        <d v="2024-01-21T00:00:00"/>
        <d v="2024-08-09T00:00:00"/>
        <d v="2024-04-14T00:00:00"/>
        <d v="2024-01-25T00:00:00"/>
        <d v="2024-03-27T00:00:00"/>
        <d v="2024-01-07T00:00:00"/>
        <d v="2023-07-17T00:00:00"/>
        <d v="2023-03-18T00:00:00"/>
        <d v="2023-11-17T00:00:00"/>
        <d v="2023-01-21T00:00:00"/>
        <d v="2023-06-09T00:00:00"/>
        <d v="2023-01-03T00:00:00"/>
        <d v="2023-12-05T00:00:00"/>
        <d v="2023-01-19T00:00:00"/>
        <d v="2024-08-17T00:00:00"/>
        <d v="2024-10-05T00:00:00"/>
        <d v="2024-12-21T00:00:00"/>
        <d v="2023-12-18T00:00:00"/>
        <d v="2023-11-21T00:00:00"/>
        <d v="2023-03-01T00:00:00"/>
        <d v="2024-01-22T00:00:00"/>
        <d v="2024-09-21T00:00:00"/>
        <d v="2024-08-30T00:00:00"/>
        <d v="2024-05-11T00:00:00"/>
        <d v="2024-04-13T00:00:00"/>
        <d v="2024-10-29T00:00:00"/>
        <d v="2023-07-04T00:00:00"/>
        <d v="2024-04-20T00:00:00"/>
        <d v="2023-05-07T00:00:00"/>
        <d v="2024-09-14T00:00:00"/>
        <d v="2024-06-14T00:00:00"/>
        <d v="2023-08-07T00:00:00"/>
        <d v="2023-12-06T00:00:00"/>
        <d v="2024-10-18T00:00:00"/>
        <d v="2024-11-24T00:00:00"/>
        <d v="2023-12-28T00:00:00"/>
        <d v="2023-04-28T00:00:00"/>
        <d v="2024-08-11T00:00:00"/>
        <d v="2024-08-25T00:00:00"/>
        <d v="2024-08-29T00:00:00"/>
        <d v="2024-08-07T00:00:00"/>
        <d v="2024-06-21T00:00:00"/>
        <d v="2023-02-28T00:00:00"/>
        <d v="2023-03-23T00:00:00"/>
        <d v="2024-11-18T00:00:00"/>
        <d v="2023-03-12T00:00:00"/>
        <d v="2023-05-30T00:00:00"/>
        <d v="2023-07-26T00:00:00"/>
        <d v="2024-11-08T00:00:00"/>
        <d v="2023-08-04T00:00:00"/>
        <d v="2023-11-06T00:00:00"/>
        <d v="2023-07-01T00:00:00"/>
        <d v="2023-06-20T00:00:00"/>
        <d v="2023-11-20T00:00:00"/>
        <d v="2023-07-16T00:00:00"/>
        <d v="2024-02-27T00:00:00"/>
        <d v="2024-09-26T00:00:00"/>
        <d v="2023-10-02T00:00:00"/>
        <d v="2023-08-15T00:00:00"/>
        <d v="2024-06-19T00:00:00"/>
        <d v="2024-11-29T00:00:00"/>
        <d v="2024-07-09T00:00:00"/>
        <d v="2024-04-08T00:00:00"/>
        <d v="2023-11-09T00:00:00"/>
        <d v="2024-09-04T00:00:00"/>
        <d v="2024-08-24T00:00:00"/>
        <d v="2023-11-25T00:00:00"/>
        <d v="2024-06-04T00:00:00"/>
        <d v="2024-12-16T00:00:00"/>
        <d v="2024-03-08T00:00:00"/>
        <d v="2023-09-24T00:00:00"/>
        <d v="2023-03-08T00:00:00"/>
        <d v="2023-01-04T00:00:00"/>
        <d v="2023-05-12T00:00:00"/>
        <d v="2024-06-06T00:00:00"/>
        <d v="2024-06-15T00:00:00"/>
        <d v="2024-09-23T00:00:00"/>
        <d v="2023-11-03T00:00:00"/>
        <d v="2024-01-27T00:00:00"/>
        <d v="2024-09-22T00:00:00"/>
        <d v="2023-12-20T00:00:00"/>
        <d v="2024-11-19T00:00:00"/>
        <d v="2024-03-03T00:00:00"/>
        <d v="2024-07-22T00:00:00"/>
        <d v="2023-07-14T00:00:00"/>
        <d v="2023-03-30T00:00:00"/>
        <d v="2023-05-31T00:00:00"/>
        <d v="2024-03-22T00:00:00"/>
        <d v="2024-02-25T00:00:00"/>
        <d v="2024-07-02T00:00:00"/>
        <d v="2024-06-25T00:00:00"/>
        <d v="2023-10-25T00:00:00"/>
        <d v="2023-12-07T00:00:00"/>
        <d v="2024-10-06T00:00:00"/>
        <d v="2024-06-11T00:00:00"/>
        <d v="2023-08-10T00:00:00"/>
        <d v="2024-12-24T00:00:00"/>
        <d v="2024-04-06T00:00:00"/>
        <d v="2024-01-12T00:00:00"/>
        <d v="2023-05-23T00:00:00"/>
        <d v="2024-12-23T00:00:00"/>
        <d v="2024-10-16T00:00:00"/>
        <d v="2023-02-15T00:00:00"/>
        <d v="2023-06-18T00:00:00"/>
        <d v="2023-09-25T00:00:00"/>
        <d v="2023-05-19T00:00:00"/>
        <d v="2024-07-08T00:00:00"/>
        <d v="2024-10-17T00:00:00"/>
        <d v="2024-05-07T00:00:00"/>
        <d v="2024-11-26T00:00:00"/>
        <d v="2024-01-15T00:00:00"/>
        <d v="2024-01-04T00:00:00"/>
        <d v="2024-12-20T00:00:00"/>
        <d v="2023-07-07T00:00:00"/>
        <d v="2023-05-11T00:00:00"/>
        <d v="2023-10-30T00:00:00"/>
        <d v="2023-05-24T00:00:00"/>
        <d v="2024-10-24T00:00:00"/>
        <d v="2024-06-18T00:00:00"/>
        <d v="2023-07-22T00:00:00"/>
        <d v="2024-08-12T00:00:00"/>
        <d v="2024-04-05T00:00:00"/>
        <d v="2024-09-19T00:00:00"/>
        <d v="2024-01-19T00:00:00"/>
        <d v="2023-07-08T00:00:00"/>
        <d v="2024-02-22T00:00:00"/>
        <d v="2023-04-26T00:00:00"/>
        <d v="2023-01-17T00:00:00"/>
        <d v="2024-10-09T00:00:00"/>
        <d v="2024-06-02T00:00:00"/>
        <d v="2023-05-01T00:00:00"/>
        <d v="2023-05-02T00:00:00"/>
        <d v="2024-08-26T00:00:00"/>
        <d v="2024-12-28T00:00:00"/>
        <d v="2024-03-12T00:00:00"/>
        <d v="2024-11-28T00:00:00"/>
        <d v="2024-09-27T00:00:00"/>
        <d v="2024-11-05T00:00:00"/>
        <d v="2024-12-09T00:00:00"/>
        <d v="2023-08-23T00:00:00"/>
        <d v="2023-10-03T00:00:00"/>
        <d v="2023-03-13T00:00:00"/>
        <d v="2023-04-05T00:00:00"/>
        <d v="2023-03-09T00:00:00"/>
        <d v="2024-03-15T00:00:00"/>
        <d v="2023-12-22T00:00:00"/>
        <d v="2023-06-26T00:00:00"/>
        <d v="2023-01-08T00:00:00"/>
        <d v="2024-05-24T00:00:00"/>
        <d v="2023-02-17T00:00:00"/>
        <d v="2023-06-16T00:00:00"/>
        <d v="2024-01-17T00:00:00"/>
        <d v="2024-04-27T00:00:00"/>
        <d v="2023-05-04T00:00:00"/>
        <d v="2023-02-16T00:00:00"/>
        <d v="2024-07-07T00:00:00"/>
        <d v="2023-02-21T00:00:00"/>
        <d v="2024-08-19T00:00:00"/>
        <d v="2024-11-14T00:00:00"/>
        <d v="2024-06-28T00:00:00"/>
        <d v="2023-12-29T00:00:00"/>
        <d v="2023-05-25T00:00:00"/>
        <d v="2024-07-30T00:00:00"/>
        <d v="2023-04-25T00:00:00"/>
        <d v="2024-10-21T00:00:00"/>
        <d v="2024-09-02T00:00:00"/>
        <d v="2024-02-11T00:00:00"/>
        <d v="2023-06-29T00:00:00"/>
        <d v="2023-06-12T00:00:00"/>
        <d v="2023-02-23T00:00:00"/>
        <d v="2023-02-24T00:00:00"/>
        <d v="2023-12-10T00:00:00"/>
        <d v="2023-11-13T00:00:00"/>
        <d v="2024-02-13T00:00:00"/>
        <d v="2023-10-01T00:00:00"/>
        <d v="2024-08-03T00:00:00"/>
        <d v="2024-02-06T00:00:00"/>
        <d v="2023-01-20T00:00:00"/>
        <d v="2024-03-31T00:00:00"/>
        <d v="2024-09-13T00:00:00"/>
        <d v="2024-06-26T00:00:00"/>
        <d v="2023-07-31T00:00:00"/>
        <d v="2024-01-16T00:00:00"/>
      </sharedItems>
      <fieldGroup par="16"/>
    </cacheField>
    <cacheField name="Tier" numFmtId="0">
      <sharedItems count="3">
        <s v="Premium"/>
        <s v="Basic"/>
        <s v="Standard"/>
      </sharedItems>
    </cacheField>
    <cacheField name="Plan Type" numFmtId="0">
      <sharedItems count="2">
        <s v="Monthly"/>
        <s v="Annual"/>
      </sharedItems>
    </cacheField>
    <cacheField name="Subscription Fee" numFmtId="0">
      <sharedItems containsSemiMixedTypes="0" containsString="0" containsNumber="1" containsInteger="1" minValue="500" maxValue="16200"/>
    </cacheField>
    <cacheField name="Region" numFmtId="0">
      <sharedItems count="4">
        <s v="Northern Ghana"/>
        <s v="Southern Ghana"/>
        <s v="Eastern Ghana"/>
        <s v="Western Ghana"/>
      </sharedItems>
    </cacheField>
    <cacheField name="Device" numFmtId="0">
      <sharedItems count="3">
        <s v="Smart TV"/>
        <s v="Mobile"/>
        <s v="Desktop"/>
      </sharedItems>
    </cacheField>
    <cacheField name="Status" numFmtId="0">
      <sharedItems/>
    </cacheField>
    <cacheField name="Churn Flag" numFmtId="0">
      <sharedItems count="2">
        <s v="Yes"/>
        <s v="No"/>
      </sharedItems>
    </cacheField>
    <cacheField name="State" numFmtId="0">
      <sharedItems/>
    </cacheField>
    <cacheField name="Discount" numFmtId="0">
      <sharedItems containsSemiMixedTypes="0" containsString="0" containsNumber="1" minValue="0" maxValue="0.1"/>
    </cacheField>
    <cacheField name="Regions" numFmtId="0">
      <sharedItems count="4">
        <s v="Southern Ghana"/>
        <s v="Western Ghana"/>
        <s v="Eastern Ghana"/>
        <s v="Northern Ghana"/>
      </sharedItems>
    </cacheField>
    <cacheField name="Revenue" numFmtId="0">
      <sharedItems containsSemiMixedTypes="0" containsString="0" containsNumber="1" containsInteger="1" minValue="500" maxValue="14580"/>
    </cacheField>
    <cacheField name="Churn" numFmtId="0">
      <sharedItems count="2">
        <s v="Churned"/>
        <s v="Retained"/>
      </sharedItems>
    </cacheField>
    <cacheField name="Months (Subscription Date)" numFmtId="0" databaseField="0">
      <fieldGroup base="1">
        <rangePr groupBy="months" startDate="2023-01-02T00:00:00" endDate="2025-01-01T00:00:00"/>
        <groupItems count="14">
          <s v="&lt;02/01/2023"/>
          <s v="Jan"/>
          <s v="Feb"/>
          <s v="Mar"/>
          <s v="Apr"/>
          <s v="May"/>
          <s v="Jun"/>
          <s v="Jul"/>
          <s v="Aug"/>
          <s v="Sep"/>
          <s v="Oct"/>
          <s v="Nov"/>
          <s v="Dec"/>
          <s v="&gt;01/01/2025"/>
        </groupItems>
      </fieldGroup>
    </cacheField>
    <cacheField name="Quarters (Subscription Date)" numFmtId="0" databaseField="0">
      <fieldGroup base="1">
        <rangePr groupBy="quarters" startDate="2023-01-02T00:00:00" endDate="2025-01-01T00:00:00"/>
        <groupItems count="6">
          <s v="&lt;02/01/2023"/>
          <s v="Qtr1"/>
          <s v="Qtr2"/>
          <s v="Qtr3"/>
          <s v="Qtr4"/>
          <s v="&gt;01/01/2025"/>
        </groupItems>
      </fieldGroup>
    </cacheField>
    <cacheField name="Years (Subscription Date)" numFmtId="0" databaseField="0">
      <fieldGroup base="1">
        <rangePr groupBy="years" startDate="2023-01-02T00:00:00" endDate="2025-01-01T00:00:00"/>
        <groupItems count="5">
          <s v="&lt;02/01/2023"/>
          <s v="2023"/>
          <s v="2024"/>
          <s v="2025"/>
          <s v="&gt;01/01/2025"/>
        </groupItems>
      </fieldGroup>
    </cacheField>
  </cacheFields>
  <extLst>
    <ext xmlns:x14="http://schemas.microsoft.com/office/spreadsheetml/2009/9/main" uri="{725AE2AE-9491-48be-B2B4-4EB974FC3084}">
      <x14:pivotCacheDefinition pivotCacheId="16031198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RD0001"/>
    <x v="0"/>
    <x v="0"/>
    <x v="0"/>
    <n v="1500"/>
    <x v="0"/>
    <x v="0"/>
    <s v="Cancelled"/>
    <x v="0"/>
    <s v="Greater Accra"/>
    <n v="0"/>
    <x v="0"/>
    <n v="1500"/>
    <x v="0"/>
  </r>
  <r>
    <s v="ORD0002"/>
    <x v="1"/>
    <x v="1"/>
    <x v="0"/>
    <n v="500"/>
    <x v="1"/>
    <x v="0"/>
    <s v="Cancelled"/>
    <x v="0"/>
    <s v="Ashanti"/>
    <n v="0"/>
    <x v="1"/>
    <n v="500"/>
    <x v="0"/>
  </r>
  <r>
    <s v="ORD0003"/>
    <x v="2"/>
    <x v="1"/>
    <x v="0"/>
    <n v="500"/>
    <x v="1"/>
    <x v="1"/>
    <s v="Cancelled"/>
    <x v="0"/>
    <s v="Western"/>
    <n v="0"/>
    <x v="1"/>
    <n v="500"/>
    <x v="0"/>
  </r>
  <r>
    <s v="ORD0004"/>
    <x v="3"/>
    <x v="1"/>
    <x v="1"/>
    <n v="5400"/>
    <x v="1"/>
    <x v="2"/>
    <s v="Cancelled"/>
    <x v="0"/>
    <s v="Central"/>
    <n v="0.1"/>
    <x v="0"/>
    <n v="4860"/>
    <x v="0"/>
  </r>
  <r>
    <s v="ORD0005"/>
    <x v="4"/>
    <x v="2"/>
    <x v="1"/>
    <n v="10800"/>
    <x v="2"/>
    <x v="0"/>
    <s v="Active"/>
    <x v="1"/>
    <s v="Eastern"/>
    <n v="0.1"/>
    <x v="2"/>
    <n v="9720"/>
    <x v="1"/>
  </r>
  <r>
    <s v="ORD0006"/>
    <x v="5"/>
    <x v="2"/>
    <x v="1"/>
    <n v="10800"/>
    <x v="0"/>
    <x v="1"/>
    <s v="Active"/>
    <x v="1"/>
    <s v="Volta"/>
    <n v="0.1"/>
    <x v="2"/>
    <n v="9720"/>
    <x v="1"/>
  </r>
  <r>
    <s v="ORD0007"/>
    <x v="6"/>
    <x v="0"/>
    <x v="0"/>
    <n v="1500"/>
    <x v="2"/>
    <x v="1"/>
    <s v="Active"/>
    <x v="1"/>
    <s v="Northern"/>
    <n v="0"/>
    <x v="3"/>
    <n v="1500"/>
    <x v="1"/>
  </r>
  <r>
    <s v="ORD0008"/>
    <x v="7"/>
    <x v="1"/>
    <x v="1"/>
    <n v="5400"/>
    <x v="0"/>
    <x v="1"/>
    <s v="Active"/>
    <x v="1"/>
    <s v="Upper East"/>
    <n v="0.1"/>
    <x v="3"/>
    <n v="4860"/>
    <x v="1"/>
  </r>
  <r>
    <s v="ORD0009"/>
    <x v="8"/>
    <x v="2"/>
    <x v="0"/>
    <n v="1000"/>
    <x v="1"/>
    <x v="1"/>
    <s v="Active"/>
    <x v="1"/>
    <s v="Greater Accra"/>
    <n v="0"/>
    <x v="0"/>
    <n v="1000"/>
    <x v="1"/>
  </r>
  <r>
    <s v="ORD0010"/>
    <x v="9"/>
    <x v="0"/>
    <x v="0"/>
    <n v="1500"/>
    <x v="2"/>
    <x v="2"/>
    <s v="Cancelled"/>
    <x v="0"/>
    <s v="Bono"/>
    <n v="0"/>
    <x v="1"/>
    <n v="1500"/>
    <x v="0"/>
  </r>
  <r>
    <s v="ORD0011"/>
    <x v="10"/>
    <x v="0"/>
    <x v="1"/>
    <n v="16200"/>
    <x v="0"/>
    <x v="1"/>
    <s v="Active"/>
    <x v="1"/>
    <s v="Volta"/>
    <n v="0.1"/>
    <x v="2"/>
    <n v="14580"/>
    <x v="1"/>
  </r>
  <r>
    <s v="ORD0012"/>
    <x v="11"/>
    <x v="2"/>
    <x v="1"/>
    <n v="10800"/>
    <x v="0"/>
    <x v="2"/>
    <s v="Cancelled"/>
    <x v="0"/>
    <s v="Ashanti"/>
    <n v="0.1"/>
    <x v="1"/>
    <n v="9720"/>
    <x v="0"/>
  </r>
  <r>
    <s v="ORD0013"/>
    <x v="12"/>
    <x v="1"/>
    <x v="0"/>
    <n v="500"/>
    <x v="2"/>
    <x v="0"/>
    <s v="Cancelled"/>
    <x v="0"/>
    <s v="Eastern"/>
    <n v="0"/>
    <x v="2"/>
    <n v="500"/>
    <x v="0"/>
  </r>
  <r>
    <s v="ORD0014"/>
    <x v="13"/>
    <x v="0"/>
    <x v="0"/>
    <n v="1500"/>
    <x v="3"/>
    <x v="1"/>
    <s v="Active"/>
    <x v="1"/>
    <s v="Ahafo"/>
    <n v="0"/>
    <x v="1"/>
    <n v="1500"/>
    <x v="1"/>
  </r>
  <r>
    <s v="ORD0015"/>
    <x v="14"/>
    <x v="0"/>
    <x v="0"/>
    <n v="1500"/>
    <x v="0"/>
    <x v="0"/>
    <s v="Cancelled"/>
    <x v="0"/>
    <s v="Ashanti"/>
    <n v="0"/>
    <x v="1"/>
    <n v="1500"/>
    <x v="0"/>
  </r>
  <r>
    <s v="ORD0016"/>
    <x v="15"/>
    <x v="2"/>
    <x v="0"/>
    <n v="1000"/>
    <x v="2"/>
    <x v="1"/>
    <s v="Cancelled"/>
    <x v="0"/>
    <s v="Bono"/>
    <n v="0"/>
    <x v="1"/>
    <n v="1000"/>
    <x v="0"/>
  </r>
  <r>
    <s v="ORD0017"/>
    <x v="16"/>
    <x v="2"/>
    <x v="1"/>
    <n v="10800"/>
    <x v="1"/>
    <x v="2"/>
    <s v="Active"/>
    <x v="1"/>
    <s v="Ashanti"/>
    <n v="0.1"/>
    <x v="1"/>
    <n v="9720"/>
    <x v="1"/>
  </r>
  <r>
    <s v="ORD0018"/>
    <x v="17"/>
    <x v="1"/>
    <x v="0"/>
    <n v="500"/>
    <x v="0"/>
    <x v="2"/>
    <s v="Cancelled"/>
    <x v="0"/>
    <s v="Savannah"/>
    <n v="0"/>
    <x v="3"/>
    <n v="500"/>
    <x v="0"/>
  </r>
  <r>
    <s v="ORD0019"/>
    <x v="18"/>
    <x v="2"/>
    <x v="0"/>
    <n v="1000"/>
    <x v="2"/>
    <x v="2"/>
    <s v="Active"/>
    <x v="1"/>
    <s v="Western"/>
    <n v="0"/>
    <x v="1"/>
    <n v="1000"/>
    <x v="1"/>
  </r>
  <r>
    <s v="ORD0020"/>
    <x v="19"/>
    <x v="2"/>
    <x v="0"/>
    <n v="1000"/>
    <x v="3"/>
    <x v="2"/>
    <s v="Cancelled"/>
    <x v="0"/>
    <s v="Oti"/>
    <n v="0"/>
    <x v="2"/>
    <n v="1000"/>
    <x v="0"/>
  </r>
  <r>
    <s v="ORD0021"/>
    <x v="20"/>
    <x v="2"/>
    <x v="1"/>
    <n v="10800"/>
    <x v="0"/>
    <x v="0"/>
    <s v="Cancelled"/>
    <x v="0"/>
    <s v="Greater Accra"/>
    <n v="0.1"/>
    <x v="0"/>
    <n v="9720"/>
    <x v="0"/>
  </r>
  <r>
    <s v="ORD0022"/>
    <x v="21"/>
    <x v="1"/>
    <x v="1"/>
    <n v="5400"/>
    <x v="0"/>
    <x v="1"/>
    <s v="Active"/>
    <x v="1"/>
    <s v="Greater Accra"/>
    <n v="0.1"/>
    <x v="0"/>
    <n v="4860"/>
    <x v="1"/>
  </r>
  <r>
    <s v="ORD0023"/>
    <x v="22"/>
    <x v="2"/>
    <x v="1"/>
    <n v="10800"/>
    <x v="0"/>
    <x v="2"/>
    <s v="Active"/>
    <x v="1"/>
    <s v="Ashanti"/>
    <n v="0.1"/>
    <x v="1"/>
    <n v="9720"/>
    <x v="1"/>
  </r>
  <r>
    <s v="ORD0024"/>
    <x v="23"/>
    <x v="0"/>
    <x v="0"/>
    <n v="1500"/>
    <x v="3"/>
    <x v="2"/>
    <s v="Cancelled"/>
    <x v="0"/>
    <s v="Oti"/>
    <n v="0"/>
    <x v="2"/>
    <n v="1500"/>
    <x v="0"/>
  </r>
  <r>
    <s v="ORD0025"/>
    <x v="5"/>
    <x v="0"/>
    <x v="0"/>
    <n v="1500"/>
    <x v="0"/>
    <x v="0"/>
    <s v="Cancelled"/>
    <x v="0"/>
    <s v="Savannah"/>
    <n v="0"/>
    <x v="3"/>
    <n v="1500"/>
    <x v="0"/>
  </r>
  <r>
    <s v="ORD0026"/>
    <x v="24"/>
    <x v="0"/>
    <x v="1"/>
    <n v="16200"/>
    <x v="0"/>
    <x v="1"/>
    <s v="Active"/>
    <x v="1"/>
    <s v="Upper East"/>
    <n v="0.1"/>
    <x v="3"/>
    <n v="14580"/>
    <x v="1"/>
  </r>
  <r>
    <s v="ORD0027"/>
    <x v="25"/>
    <x v="1"/>
    <x v="1"/>
    <n v="5400"/>
    <x v="2"/>
    <x v="2"/>
    <s v="Active"/>
    <x v="1"/>
    <s v="Western North"/>
    <n v="0.1"/>
    <x v="1"/>
    <n v="4860"/>
    <x v="1"/>
  </r>
  <r>
    <s v="ORD0028"/>
    <x v="26"/>
    <x v="1"/>
    <x v="1"/>
    <n v="5400"/>
    <x v="1"/>
    <x v="1"/>
    <s v="Active"/>
    <x v="1"/>
    <s v="Ashanti"/>
    <n v="0.1"/>
    <x v="1"/>
    <n v="4860"/>
    <x v="1"/>
  </r>
  <r>
    <s v="ORD0029"/>
    <x v="27"/>
    <x v="2"/>
    <x v="0"/>
    <n v="1000"/>
    <x v="1"/>
    <x v="0"/>
    <s v="Cancelled"/>
    <x v="0"/>
    <s v="Greater Accra"/>
    <n v="0"/>
    <x v="0"/>
    <n v="1000"/>
    <x v="0"/>
  </r>
  <r>
    <s v="ORD0030"/>
    <x v="28"/>
    <x v="1"/>
    <x v="1"/>
    <n v="5400"/>
    <x v="1"/>
    <x v="2"/>
    <s v="Active"/>
    <x v="1"/>
    <s v="Greater Accra"/>
    <n v="0.1"/>
    <x v="0"/>
    <n v="4860"/>
    <x v="1"/>
  </r>
  <r>
    <s v="ORD0031"/>
    <x v="29"/>
    <x v="2"/>
    <x v="1"/>
    <n v="10800"/>
    <x v="2"/>
    <x v="1"/>
    <s v="Active"/>
    <x v="1"/>
    <s v="Bono"/>
    <n v="0.1"/>
    <x v="1"/>
    <n v="9720"/>
    <x v="1"/>
  </r>
  <r>
    <s v="ORD0032"/>
    <x v="30"/>
    <x v="2"/>
    <x v="1"/>
    <n v="10800"/>
    <x v="0"/>
    <x v="2"/>
    <s v="Cancelled"/>
    <x v="0"/>
    <s v="Volta"/>
    <n v="0.1"/>
    <x v="2"/>
    <n v="9720"/>
    <x v="0"/>
  </r>
  <r>
    <s v="ORD0033"/>
    <x v="31"/>
    <x v="0"/>
    <x v="1"/>
    <n v="16200"/>
    <x v="2"/>
    <x v="2"/>
    <s v="Active"/>
    <x v="1"/>
    <s v="Bono"/>
    <n v="0.1"/>
    <x v="1"/>
    <n v="14580"/>
    <x v="1"/>
  </r>
  <r>
    <s v="ORD0034"/>
    <x v="32"/>
    <x v="2"/>
    <x v="0"/>
    <n v="1000"/>
    <x v="1"/>
    <x v="1"/>
    <s v="Cancelled"/>
    <x v="0"/>
    <s v="Greater Accra"/>
    <n v="0"/>
    <x v="0"/>
    <n v="1000"/>
    <x v="0"/>
  </r>
  <r>
    <s v="ORD0035"/>
    <x v="33"/>
    <x v="1"/>
    <x v="0"/>
    <n v="500"/>
    <x v="3"/>
    <x v="2"/>
    <s v="Active"/>
    <x v="1"/>
    <s v="Ashanti"/>
    <n v="0"/>
    <x v="1"/>
    <n v="500"/>
    <x v="1"/>
  </r>
  <r>
    <s v="ORD0036"/>
    <x v="34"/>
    <x v="1"/>
    <x v="1"/>
    <n v="5400"/>
    <x v="3"/>
    <x v="2"/>
    <s v="Active"/>
    <x v="1"/>
    <s v="Western"/>
    <n v="0.1"/>
    <x v="1"/>
    <n v="4860"/>
    <x v="1"/>
  </r>
  <r>
    <s v="ORD0037"/>
    <x v="35"/>
    <x v="0"/>
    <x v="0"/>
    <n v="1500"/>
    <x v="3"/>
    <x v="1"/>
    <s v="Active"/>
    <x v="1"/>
    <s v="Oti"/>
    <n v="0"/>
    <x v="2"/>
    <n v="1500"/>
    <x v="1"/>
  </r>
  <r>
    <s v="ORD0038"/>
    <x v="36"/>
    <x v="1"/>
    <x v="0"/>
    <n v="500"/>
    <x v="1"/>
    <x v="0"/>
    <s v="Cancelled"/>
    <x v="0"/>
    <s v="Central"/>
    <n v="0"/>
    <x v="0"/>
    <n v="500"/>
    <x v="0"/>
  </r>
  <r>
    <s v="ORD0039"/>
    <x v="37"/>
    <x v="0"/>
    <x v="1"/>
    <n v="16200"/>
    <x v="3"/>
    <x v="1"/>
    <s v="Cancelled"/>
    <x v="0"/>
    <s v="Western"/>
    <n v="0.1"/>
    <x v="1"/>
    <n v="14580"/>
    <x v="0"/>
  </r>
  <r>
    <s v="ORD0040"/>
    <x v="38"/>
    <x v="2"/>
    <x v="0"/>
    <n v="1000"/>
    <x v="2"/>
    <x v="2"/>
    <s v="Active"/>
    <x v="1"/>
    <s v="Western"/>
    <n v="0"/>
    <x v="1"/>
    <n v="1000"/>
    <x v="1"/>
  </r>
  <r>
    <s v="ORD0041"/>
    <x v="39"/>
    <x v="2"/>
    <x v="0"/>
    <n v="1000"/>
    <x v="2"/>
    <x v="0"/>
    <s v="Cancelled"/>
    <x v="0"/>
    <s v="Western"/>
    <n v="0"/>
    <x v="1"/>
    <n v="1000"/>
    <x v="0"/>
  </r>
  <r>
    <s v="ORD0042"/>
    <x v="40"/>
    <x v="2"/>
    <x v="1"/>
    <n v="10800"/>
    <x v="3"/>
    <x v="1"/>
    <s v="Active"/>
    <x v="1"/>
    <s v="Ashanti"/>
    <n v="0.1"/>
    <x v="1"/>
    <n v="9720"/>
    <x v="1"/>
  </r>
  <r>
    <s v="ORD0043"/>
    <x v="13"/>
    <x v="0"/>
    <x v="1"/>
    <n v="16200"/>
    <x v="3"/>
    <x v="2"/>
    <s v="Active"/>
    <x v="1"/>
    <s v="Ahafo"/>
    <n v="0.1"/>
    <x v="1"/>
    <n v="14580"/>
    <x v="1"/>
  </r>
  <r>
    <s v="ORD0044"/>
    <x v="41"/>
    <x v="2"/>
    <x v="1"/>
    <n v="10800"/>
    <x v="1"/>
    <x v="2"/>
    <s v="Active"/>
    <x v="1"/>
    <s v="Western"/>
    <n v="0.1"/>
    <x v="1"/>
    <n v="9720"/>
    <x v="1"/>
  </r>
  <r>
    <s v="ORD0045"/>
    <x v="42"/>
    <x v="0"/>
    <x v="0"/>
    <n v="1500"/>
    <x v="2"/>
    <x v="1"/>
    <s v="Active"/>
    <x v="1"/>
    <s v="Western"/>
    <n v="0"/>
    <x v="1"/>
    <n v="1500"/>
    <x v="1"/>
  </r>
  <r>
    <s v="ORD0046"/>
    <x v="43"/>
    <x v="0"/>
    <x v="1"/>
    <n v="16200"/>
    <x v="1"/>
    <x v="2"/>
    <s v="Cancelled"/>
    <x v="0"/>
    <s v="Central"/>
    <n v="0.1"/>
    <x v="0"/>
    <n v="14580"/>
    <x v="0"/>
  </r>
  <r>
    <s v="ORD0047"/>
    <x v="44"/>
    <x v="1"/>
    <x v="0"/>
    <n v="500"/>
    <x v="0"/>
    <x v="1"/>
    <s v="Cancelled"/>
    <x v="0"/>
    <s v="Upper East"/>
    <n v="0"/>
    <x v="3"/>
    <n v="500"/>
    <x v="0"/>
  </r>
  <r>
    <s v="ORD0048"/>
    <x v="45"/>
    <x v="0"/>
    <x v="1"/>
    <n v="16200"/>
    <x v="0"/>
    <x v="1"/>
    <s v="Active"/>
    <x v="1"/>
    <s v="Greater Accra"/>
    <n v="0.1"/>
    <x v="0"/>
    <n v="14580"/>
    <x v="1"/>
  </r>
  <r>
    <s v="ORD0049"/>
    <x v="46"/>
    <x v="1"/>
    <x v="1"/>
    <n v="5400"/>
    <x v="3"/>
    <x v="0"/>
    <s v="Cancelled"/>
    <x v="0"/>
    <s v="Greater Accra"/>
    <n v="0.1"/>
    <x v="0"/>
    <n v="4860"/>
    <x v="0"/>
  </r>
  <r>
    <s v="ORD0050"/>
    <x v="47"/>
    <x v="2"/>
    <x v="1"/>
    <n v="10800"/>
    <x v="1"/>
    <x v="1"/>
    <s v="Cancelled"/>
    <x v="0"/>
    <s v="Western"/>
    <n v="0.1"/>
    <x v="1"/>
    <n v="9720"/>
    <x v="0"/>
  </r>
  <r>
    <s v="ORD0051"/>
    <x v="48"/>
    <x v="0"/>
    <x v="0"/>
    <n v="1500"/>
    <x v="3"/>
    <x v="2"/>
    <s v="Active"/>
    <x v="1"/>
    <s v="Ahafo"/>
    <n v="0"/>
    <x v="1"/>
    <n v="1500"/>
    <x v="1"/>
  </r>
  <r>
    <s v="ORD0052"/>
    <x v="49"/>
    <x v="1"/>
    <x v="1"/>
    <n v="5400"/>
    <x v="2"/>
    <x v="1"/>
    <s v="Active"/>
    <x v="1"/>
    <s v="Eastern"/>
    <n v="0.1"/>
    <x v="2"/>
    <n v="4860"/>
    <x v="1"/>
  </r>
  <r>
    <s v="ORD0053"/>
    <x v="50"/>
    <x v="1"/>
    <x v="0"/>
    <n v="500"/>
    <x v="1"/>
    <x v="1"/>
    <s v="Cancelled"/>
    <x v="0"/>
    <s v="Ashanti"/>
    <n v="0"/>
    <x v="1"/>
    <n v="500"/>
    <x v="0"/>
  </r>
  <r>
    <s v="ORD0054"/>
    <x v="51"/>
    <x v="0"/>
    <x v="1"/>
    <n v="16200"/>
    <x v="1"/>
    <x v="1"/>
    <s v="Active"/>
    <x v="1"/>
    <s v="Ashanti"/>
    <n v="0.1"/>
    <x v="1"/>
    <n v="14580"/>
    <x v="1"/>
  </r>
  <r>
    <s v="ORD0055"/>
    <x v="52"/>
    <x v="0"/>
    <x v="1"/>
    <n v="16200"/>
    <x v="1"/>
    <x v="2"/>
    <s v="Cancelled"/>
    <x v="0"/>
    <s v="Central"/>
    <n v="0.1"/>
    <x v="0"/>
    <n v="14580"/>
    <x v="0"/>
  </r>
  <r>
    <s v="ORD0056"/>
    <x v="53"/>
    <x v="1"/>
    <x v="1"/>
    <n v="5400"/>
    <x v="3"/>
    <x v="2"/>
    <s v="Active"/>
    <x v="1"/>
    <s v="Western"/>
    <n v="0.1"/>
    <x v="1"/>
    <n v="4860"/>
    <x v="1"/>
  </r>
  <r>
    <s v="ORD0057"/>
    <x v="54"/>
    <x v="1"/>
    <x v="1"/>
    <n v="5400"/>
    <x v="2"/>
    <x v="1"/>
    <s v="Cancelled"/>
    <x v="0"/>
    <s v="Western"/>
    <n v="0.1"/>
    <x v="1"/>
    <n v="4860"/>
    <x v="0"/>
  </r>
  <r>
    <s v="ORD0058"/>
    <x v="55"/>
    <x v="0"/>
    <x v="1"/>
    <n v="16200"/>
    <x v="0"/>
    <x v="1"/>
    <s v="Active"/>
    <x v="1"/>
    <s v="Savannah"/>
    <n v="0.1"/>
    <x v="3"/>
    <n v="14580"/>
    <x v="1"/>
  </r>
  <r>
    <s v="ORD0059"/>
    <x v="56"/>
    <x v="0"/>
    <x v="0"/>
    <n v="1500"/>
    <x v="0"/>
    <x v="2"/>
    <s v="Cancelled"/>
    <x v="0"/>
    <s v="Upper East"/>
    <n v="0"/>
    <x v="3"/>
    <n v="1500"/>
    <x v="0"/>
  </r>
  <r>
    <s v="ORD0060"/>
    <x v="57"/>
    <x v="1"/>
    <x v="0"/>
    <n v="500"/>
    <x v="1"/>
    <x v="1"/>
    <s v="Active"/>
    <x v="1"/>
    <s v="Western"/>
    <n v="0"/>
    <x v="1"/>
    <n v="500"/>
    <x v="1"/>
  </r>
  <r>
    <s v="ORD0061"/>
    <x v="58"/>
    <x v="0"/>
    <x v="1"/>
    <n v="16200"/>
    <x v="1"/>
    <x v="1"/>
    <s v="Cancelled"/>
    <x v="0"/>
    <s v="Central"/>
    <n v="0.1"/>
    <x v="0"/>
    <n v="14580"/>
    <x v="0"/>
  </r>
  <r>
    <s v="ORD0062"/>
    <x v="59"/>
    <x v="0"/>
    <x v="0"/>
    <n v="1500"/>
    <x v="1"/>
    <x v="2"/>
    <s v="Active"/>
    <x v="1"/>
    <s v="Greater Accra"/>
    <n v="0"/>
    <x v="0"/>
    <n v="1500"/>
    <x v="1"/>
  </r>
  <r>
    <s v="ORD0063"/>
    <x v="60"/>
    <x v="2"/>
    <x v="1"/>
    <n v="10800"/>
    <x v="1"/>
    <x v="1"/>
    <s v="Active"/>
    <x v="1"/>
    <s v="Greater Accra"/>
    <n v="0.1"/>
    <x v="0"/>
    <n v="9720"/>
    <x v="1"/>
  </r>
  <r>
    <s v="ORD0064"/>
    <x v="61"/>
    <x v="0"/>
    <x v="1"/>
    <n v="16200"/>
    <x v="1"/>
    <x v="1"/>
    <s v="Cancelled"/>
    <x v="0"/>
    <s v="Ashanti"/>
    <n v="0.1"/>
    <x v="1"/>
    <n v="14580"/>
    <x v="0"/>
  </r>
  <r>
    <s v="ORD0065"/>
    <x v="62"/>
    <x v="0"/>
    <x v="1"/>
    <n v="16200"/>
    <x v="0"/>
    <x v="1"/>
    <s v="Active"/>
    <x v="1"/>
    <s v="Ashanti"/>
    <n v="0.1"/>
    <x v="1"/>
    <n v="14580"/>
    <x v="1"/>
  </r>
  <r>
    <s v="ORD0066"/>
    <x v="63"/>
    <x v="1"/>
    <x v="1"/>
    <n v="5400"/>
    <x v="3"/>
    <x v="1"/>
    <s v="Active"/>
    <x v="1"/>
    <s v="Greater Accra"/>
    <n v="0.1"/>
    <x v="0"/>
    <n v="4860"/>
    <x v="1"/>
  </r>
  <r>
    <s v="ORD0067"/>
    <x v="64"/>
    <x v="0"/>
    <x v="1"/>
    <n v="16200"/>
    <x v="1"/>
    <x v="2"/>
    <s v="Active"/>
    <x v="1"/>
    <s v="Central"/>
    <n v="0.1"/>
    <x v="0"/>
    <n v="14580"/>
    <x v="1"/>
  </r>
  <r>
    <s v="ORD0068"/>
    <x v="65"/>
    <x v="0"/>
    <x v="1"/>
    <n v="16200"/>
    <x v="0"/>
    <x v="0"/>
    <s v="Cancelled"/>
    <x v="0"/>
    <s v="Greater Accra"/>
    <n v="0.1"/>
    <x v="0"/>
    <n v="14580"/>
    <x v="0"/>
  </r>
  <r>
    <s v="ORD0069"/>
    <x v="66"/>
    <x v="0"/>
    <x v="1"/>
    <n v="16200"/>
    <x v="1"/>
    <x v="2"/>
    <s v="Active"/>
    <x v="1"/>
    <s v="Western"/>
    <n v="0.1"/>
    <x v="1"/>
    <n v="14580"/>
    <x v="1"/>
  </r>
  <r>
    <s v="ORD0070"/>
    <x v="67"/>
    <x v="1"/>
    <x v="1"/>
    <n v="5400"/>
    <x v="1"/>
    <x v="1"/>
    <s v="Cancelled"/>
    <x v="0"/>
    <s v="Central"/>
    <n v="0.1"/>
    <x v="0"/>
    <n v="4860"/>
    <x v="0"/>
  </r>
  <r>
    <s v="ORD0071"/>
    <x v="68"/>
    <x v="2"/>
    <x v="0"/>
    <n v="1000"/>
    <x v="3"/>
    <x v="1"/>
    <s v="Cancelled"/>
    <x v="0"/>
    <s v="Oti"/>
    <n v="0"/>
    <x v="2"/>
    <n v="1000"/>
    <x v="0"/>
  </r>
  <r>
    <s v="ORD0072"/>
    <x v="69"/>
    <x v="0"/>
    <x v="1"/>
    <n v="16200"/>
    <x v="2"/>
    <x v="0"/>
    <s v="Cancelled"/>
    <x v="0"/>
    <s v="Northern"/>
    <n v="0.1"/>
    <x v="3"/>
    <n v="14580"/>
    <x v="0"/>
  </r>
  <r>
    <s v="ORD0073"/>
    <x v="70"/>
    <x v="0"/>
    <x v="0"/>
    <n v="1500"/>
    <x v="2"/>
    <x v="2"/>
    <s v="Cancelled"/>
    <x v="0"/>
    <s v="Bono"/>
    <n v="0"/>
    <x v="1"/>
    <n v="1500"/>
    <x v="0"/>
  </r>
  <r>
    <s v="ORD0074"/>
    <x v="71"/>
    <x v="0"/>
    <x v="1"/>
    <n v="16200"/>
    <x v="3"/>
    <x v="2"/>
    <s v="Cancelled"/>
    <x v="0"/>
    <s v="Eastern"/>
    <n v="0.1"/>
    <x v="2"/>
    <n v="14580"/>
    <x v="0"/>
  </r>
  <r>
    <s v="ORD0075"/>
    <x v="72"/>
    <x v="2"/>
    <x v="0"/>
    <n v="1000"/>
    <x v="0"/>
    <x v="2"/>
    <s v="Active"/>
    <x v="1"/>
    <s v="Greater Accra"/>
    <n v="0"/>
    <x v="0"/>
    <n v="1000"/>
    <x v="1"/>
  </r>
  <r>
    <s v="ORD0076"/>
    <x v="71"/>
    <x v="1"/>
    <x v="0"/>
    <n v="500"/>
    <x v="2"/>
    <x v="1"/>
    <s v="Active"/>
    <x v="1"/>
    <s v="Western"/>
    <n v="0"/>
    <x v="1"/>
    <n v="500"/>
    <x v="1"/>
  </r>
  <r>
    <s v="ORD0077"/>
    <x v="73"/>
    <x v="1"/>
    <x v="0"/>
    <n v="500"/>
    <x v="0"/>
    <x v="2"/>
    <s v="Cancelled"/>
    <x v="0"/>
    <s v="Savannah"/>
    <n v="0"/>
    <x v="3"/>
    <n v="500"/>
    <x v="0"/>
  </r>
  <r>
    <s v="ORD0078"/>
    <x v="74"/>
    <x v="0"/>
    <x v="1"/>
    <n v="16200"/>
    <x v="1"/>
    <x v="2"/>
    <s v="Active"/>
    <x v="1"/>
    <s v="Ashanti"/>
    <n v="0.1"/>
    <x v="1"/>
    <n v="14580"/>
    <x v="1"/>
  </r>
  <r>
    <s v="ORD0079"/>
    <x v="75"/>
    <x v="2"/>
    <x v="1"/>
    <n v="10800"/>
    <x v="3"/>
    <x v="2"/>
    <s v="Cancelled"/>
    <x v="0"/>
    <s v="Western"/>
    <n v="0.1"/>
    <x v="1"/>
    <n v="9720"/>
    <x v="0"/>
  </r>
  <r>
    <s v="ORD0080"/>
    <x v="76"/>
    <x v="2"/>
    <x v="1"/>
    <n v="10800"/>
    <x v="0"/>
    <x v="1"/>
    <s v="Active"/>
    <x v="1"/>
    <s v="Volta"/>
    <n v="0.1"/>
    <x v="2"/>
    <n v="9720"/>
    <x v="1"/>
  </r>
  <r>
    <s v="ORD0081"/>
    <x v="77"/>
    <x v="2"/>
    <x v="1"/>
    <n v="10800"/>
    <x v="1"/>
    <x v="2"/>
    <s v="Cancelled"/>
    <x v="0"/>
    <s v="Greater Accra"/>
    <n v="0.1"/>
    <x v="0"/>
    <n v="9720"/>
    <x v="0"/>
  </r>
  <r>
    <s v="ORD0082"/>
    <x v="78"/>
    <x v="1"/>
    <x v="0"/>
    <n v="500"/>
    <x v="0"/>
    <x v="1"/>
    <s v="Active"/>
    <x v="1"/>
    <s v="Volta"/>
    <n v="0"/>
    <x v="2"/>
    <n v="500"/>
    <x v="1"/>
  </r>
  <r>
    <s v="ORD0083"/>
    <x v="79"/>
    <x v="0"/>
    <x v="1"/>
    <n v="16200"/>
    <x v="1"/>
    <x v="1"/>
    <s v="Active"/>
    <x v="1"/>
    <s v="Central"/>
    <n v="0.1"/>
    <x v="0"/>
    <n v="14580"/>
    <x v="1"/>
  </r>
  <r>
    <s v="ORD0084"/>
    <x v="73"/>
    <x v="0"/>
    <x v="0"/>
    <n v="1500"/>
    <x v="0"/>
    <x v="1"/>
    <s v="Active"/>
    <x v="1"/>
    <s v="Savannah"/>
    <n v="0"/>
    <x v="3"/>
    <n v="1500"/>
    <x v="1"/>
  </r>
  <r>
    <s v="ORD0085"/>
    <x v="80"/>
    <x v="2"/>
    <x v="1"/>
    <n v="10800"/>
    <x v="3"/>
    <x v="2"/>
    <s v="Cancelled"/>
    <x v="0"/>
    <s v="Western"/>
    <n v="0.1"/>
    <x v="1"/>
    <n v="9720"/>
    <x v="0"/>
  </r>
  <r>
    <s v="ORD0086"/>
    <x v="81"/>
    <x v="2"/>
    <x v="0"/>
    <n v="1000"/>
    <x v="3"/>
    <x v="0"/>
    <s v="Cancelled"/>
    <x v="0"/>
    <s v="Eastern"/>
    <n v="0"/>
    <x v="2"/>
    <n v="1000"/>
    <x v="0"/>
  </r>
  <r>
    <s v="ORD0087"/>
    <x v="82"/>
    <x v="1"/>
    <x v="0"/>
    <n v="500"/>
    <x v="0"/>
    <x v="2"/>
    <s v="Cancelled"/>
    <x v="0"/>
    <s v="Savannah"/>
    <n v="0"/>
    <x v="3"/>
    <n v="500"/>
    <x v="0"/>
  </r>
  <r>
    <s v="ORD0088"/>
    <x v="83"/>
    <x v="0"/>
    <x v="0"/>
    <n v="1500"/>
    <x v="3"/>
    <x v="0"/>
    <s v="Cancelled"/>
    <x v="0"/>
    <s v="Eastern"/>
    <n v="0"/>
    <x v="2"/>
    <n v="1500"/>
    <x v="0"/>
  </r>
  <r>
    <s v="ORD0089"/>
    <x v="84"/>
    <x v="0"/>
    <x v="1"/>
    <n v="16200"/>
    <x v="1"/>
    <x v="1"/>
    <s v="Active"/>
    <x v="1"/>
    <s v="Ashanti"/>
    <n v="0.1"/>
    <x v="1"/>
    <n v="14580"/>
    <x v="1"/>
  </r>
  <r>
    <s v="ORD0090"/>
    <x v="85"/>
    <x v="0"/>
    <x v="1"/>
    <n v="16200"/>
    <x v="1"/>
    <x v="0"/>
    <s v="Cancelled"/>
    <x v="0"/>
    <s v="Western"/>
    <n v="0.1"/>
    <x v="1"/>
    <n v="14580"/>
    <x v="0"/>
  </r>
  <r>
    <s v="ORD0091"/>
    <x v="86"/>
    <x v="0"/>
    <x v="0"/>
    <n v="1500"/>
    <x v="2"/>
    <x v="1"/>
    <s v="Active"/>
    <x v="1"/>
    <s v="Western"/>
    <n v="0"/>
    <x v="1"/>
    <n v="1500"/>
    <x v="1"/>
  </r>
  <r>
    <s v="ORD0092"/>
    <x v="87"/>
    <x v="1"/>
    <x v="0"/>
    <n v="500"/>
    <x v="0"/>
    <x v="1"/>
    <s v="Active"/>
    <x v="1"/>
    <s v="Volta"/>
    <n v="0"/>
    <x v="2"/>
    <n v="500"/>
    <x v="1"/>
  </r>
  <r>
    <s v="ORD0093"/>
    <x v="88"/>
    <x v="0"/>
    <x v="1"/>
    <n v="16200"/>
    <x v="0"/>
    <x v="2"/>
    <s v="Active"/>
    <x v="1"/>
    <s v="Ashanti"/>
    <n v="0.1"/>
    <x v="1"/>
    <n v="14580"/>
    <x v="1"/>
  </r>
  <r>
    <s v="ORD0094"/>
    <x v="89"/>
    <x v="1"/>
    <x v="0"/>
    <n v="500"/>
    <x v="2"/>
    <x v="2"/>
    <s v="Active"/>
    <x v="1"/>
    <s v="Bono"/>
    <n v="0"/>
    <x v="1"/>
    <n v="500"/>
    <x v="1"/>
  </r>
  <r>
    <s v="ORD0095"/>
    <x v="90"/>
    <x v="2"/>
    <x v="1"/>
    <n v="10800"/>
    <x v="3"/>
    <x v="2"/>
    <s v="Cancelled"/>
    <x v="0"/>
    <s v="Ashanti"/>
    <n v="0.1"/>
    <x v="1"/>
    <n v="9720"/>
    <x v="0"/>
  </r>
  <r>
    <s v="ORD0096"/>
    <x v="91"/>
    <x v="1"/>
    <x v="0"/>
    <n v="500"/>
    <x v="0"/>
    <x v="2"/>
    <s v="Active"/>
    <x v="1"/>
    <s v="Savannah"/>
    <n v="0"/>
    <x v="3"/>
    <n v="500"/>
    <x v="1"/>
  </r>
  <r>
    <s v="ORD0097"/>
    <x v="92"/>
    <x v="2"/>
    <x v="0"/>
    <n v="1000"/>
    <x v="3"/>
    <x v="1"/>
    <s v="Active"/>
    <x v="1"/>
    <s v="Ahafo"/>
    <n v="0"/>
    <x v="1"/>
    <n v="1000"/>
    <x v="1"/>
  </r>
  <r>
    <s v="ORD0098"/>
    <x v="93"/>
    <x v="2"/>
    <x v="1"/>
    <n v="10800"/>
    <x v="0"/>
    <x v="2"/>
    <s v="Active"/>
    <x v="1"/>
    <s v="Savannah"/>
    <n v="0.1"/>
    <x v="3"/>
    <n v="9720"/>
    <x v="1"/>
  </r>
  <r>
    <s v="ORD0099"/>
    <x v="29"/>
    <x v="0"/>
    <x v="0"/>
    <n v="1500"/>
    <x v="1"/>
    <x v="2"/>
    <s v="Cancelled"/>
    <x v="0"/>
    <s v="Greater Accra"/>
    <n v="0"/>
    <x v="0"/>
    <n v="1500"/>
    <x v="0"/>
  </r>
  <r>
    <s v="ORD0100"/>
    <x v="59"/>
    <x v="1"/>
    <x v="1"/>
    <n v="5400"/>
    <x v="2"/>
    <x v="2"/>
    <s v="Cancelled"/>
    <x v="0"/>
    <s v="Western"/>
    <n v="0.1"/>
    <x v="1"/>
    <n v="4860"/>
    <x v="0"/>
  </r>
  <r>
    <s v="ORD0101"/>
    <x v="94"/>
    <x v="2"/>
    <x v="1"/>
    <n v="10800"/>
    <x v="2"/>
    <x v="2"/>
    <s v="Cancelled"/>
    <x v="0"/>
    <s v="Western"/>
    <n v="0.1"/>
    <x v="1"/>
    <n v="9720"/>
    <x v="0"/>
  </r>
  <r>
    <s v="ORD0102"/>
    <x v="95"/>
    <x v="0"/>
    <x v="1"/>
    <n v="16200"/>
    <x v="2"/>
    <x v="2"/>
    <s v="Cancelled"/>
    <x v="0"/>
    <s v="Western North"/>
    <n v="0.1"/>
    <x v="1"/>
    <n v="14580"/>
    <x v="0"/>
  </r>
  <r>
    <s v="ORD0103"/>
    <x v="96"/>
    <x v="0"/>
    <x v="0"/>
    <n v="1500"/>
    <x v="1"/>
    <x v="1"/>
    <s v="Active"/>
    <x v="1"/>
    <s v="Ashanti"/>
    <n v="0"/>
    <x v="1"/>
    <n v="1500"/>
    <x v="1"/>
  </r>
  <r>
    <s v="ORD0104"/>
    <x v="97"/>
    <x v="2"/>
    <x v="1"/>
    <n v="10800"/>
    <x v="1"/>
    <x v="2"/>
    <s v="Cancelled"/>
    <x v="0"/>
    <s v="Greater Accra"/>
    <n v="0.1"/>
    <x v="0"/>
    <n v="9720"/>
    <x v="0"/>
  </r>
  <r>
    <s v="ORD0105"/>
    <x v="98"/>
    <x v="0"/>
    <x v="0"/>
    <n v="1500"/>
    <x v="3"/>
    <x v="2"/>
    <s v="Cancelled"/>
    <x v="0"/>
    <s v="Greater Accra"/>
    <n v="0"/>
    <x v="0"/>
    <n v="1500"/>
    <x v="0"/>
  </r>
  <r>
    <s v="ORD0106"/>
    <x v="99"/>
    <x v="1"/>
    <x v="0"/>
    <n v="500"/>
    <x v="2"/>
    <x v="1"/>
    <s v="Active"/>
    <x v="1"/>
    <s v="Northern"/>
    <n v="0"/>
    <x v="3"/>
    <n v="500"/>
    <x v="1"/>
  </r>
  <r>
    <s v="ORD0107"/>
    <x v="100"/>
    <x v="2"/>
    <x v="0"/>
    <n v="1000"/>
    <x v="0"/>
    <x v="1"/>
    <s v="Active"/>
    <x v="1"/>
    <s v="Volta"/>
    <n v="0"/>
    <x v="2"/>
    <n v="1000"/>
    <x v="1"/>
  </r>
  <r>
    <s v="ORD0108"/>
    <x v="101"/>
    <x v="1"/>
    <x v="0"/>
    <n v="500"/>
    <x v="2"/>
    <x v="1"/>
    <s v="Active"/>
    <x v="1"/>
    <s v="Western"/>
    <n v="0"/>
    <x v="1"/>
    <n v="500"/>
    <x v="1"/>
  </r>
  <r>
    <s v="ORD0109"/>
    <x v="102"/>
    <x v="2"/>
    <x v="0"/>
    <n v="1000"/>
    <x v="3"/>
    <x v="2"/>
    <s v="Active"/>
    <x v="1"/>
    <s v="Ashanti"/>
    <n v="0"/>
    <x v="1"/>
    <n v="1000"/>
    <x v="1"/>
  </r>
  <r>
    <s v="ORD0110"/>
    <x v="57"/>
    <x v="1"/>
    <x v="0"/>
    <n v="500"/>
    <x v="1"/>
    <x v="1"/>
    <s v="Active"/>
    <x v="1"/>
    <s v="Greater Accra"/>
    <n v="0"/>
    <x v="0"/>
    <n v="500"/>
    <x v="1"/>
  </r>
  <r>
    <s v="ORD0111"/>
    <x v="103"/>
    <x v="0"/>
    <x v="0"/>
    <n v="1500"/>
    <x v="1"/>
    <x v="1"/>
    <s v="Cancelled"/>
    <x v="0"/>
    <s v="Ashanti"/>
    <n v="0"/>
    <x v="1"/>
    <n v="1500"/>
    <x v="0"/>
  </r>
  <r>
    <s v="ORD0112"/>
    <x v="104"/>
    <x v="0"/>
    <x v="1"/>
    <n v="16200"/>
    <x v="2"/>
    <x v="0"/>
    <s v="Cancelled"/>
    <x v="0"/>
    <s v="Western"/>
    <n v="0.1"/>
    <x v="1"/>
    <n v="14580"/>
    <x v="0"/>
  </r>
  <r>
    <s v="ORD0113"/>
    <x v="105"/>
    <x v="0"/>
    <x v="0"/>
    <n v="1500"/>
    <x v="3"/>
    <x v="0"/>
    <s v="Cancelled"/>
    <x v="0"/>
    <s v="Eastern"/>
    <n v="0"/>
    <x v="2"/>
    <n v="1500"/>
    <x v="0"/>
  </r>
  <r>
    <s v="ORD0114"/>
    <x v="106"/>
    <x v="1"/>
    <x v="1"/>
    <n v="5400"/>
    <x v="2"/>
    <x v="1"/>
    <s v="Active"/>
    <x v="1"/>
    <s v="Bono"/>
    <n v="0.1"/>
    <x v="1"/>
    <n v="4860"/>
    <x v="1"/>
  </r>
  <r>
    <s v="ORD0115"/>
    <x v="107"/>
    <x v="1"/>
    <x v="1"/>
    <n v="5400"/>
    <x v="1"/>
    <x v="2"/>
    <s v="Active"/>
    <x v="1"/>
    <s v="Central"/>
    <n v="0.1"/>
    <x v="0"/>
    <n v="4860"/>
    <x v="1"/>
  </r>
  <r>
    <s v="ORD0116"/>
    <x v="108"/>
    <x v="2"/>
    <x v="0"/>
    <n v="1000"/>
    <x v="2"/>
    <x v="1"/>
    <s v="Active"/>
    <x v="1"/>
    <s v="Eastern"/>
    <n v="0"/>
    <x v="2"/>
    <n v="1000"/>
    <x v="1"/>
  </r>
  <r>
    <s v="ORD0117"/>
    <x v="109"/>
    <x v="1"/>
    <x v="1"/>
    <n v="5400"/>
    <x v="1"/>
    <x v="1"/>
    <s v="Active"/>
    <x v="1"/>
    <s v="Greater Accra"/>
    <n v="0.1"/>
    <x v="0"/>
    <n v="4860"/>
    <x v="1"/>
  </r>
  <r>
    <s v="ORD0118"/>
    <x v="65"/>
    <x v="0"/>
    <x v="1"/>
    <n v="16200"/>
    <x v="3"/>
    <x v="0"/>
    <s v="Cancelled"/>
    <x v="0"/>
    <s v="Ashanti"/>
    <n v="0.1"/>
    <x v="1"/>
    <n v="14580"/>
    <x v="0"/>
  </r>
  <r>
    <s v="ORD0119"/>
    <x v="110"/>
    <x v="1"/>
    <x v="1"/>
    <n v="5400"/>
    <x v="1"/>
    <x v="1"/>
    <s v="Cancelled"/>
    <x v="0"/>
    <s v="Greater Accra"/>
    <n v="0.1"/>
    <x v="0"/>
    <n v="4860"/>
    <x v="0"/>
  </r>
  <r>
    <s v="ORD0120"/>
    <x v="111"/>
    <x v="1"/>
    <x v="1"/>
    <n v="5400"/>
    <x v="0"/>
    <x v="2"/>
    <s v="Active"/>
    <x v="1"/>
    <s v="Upper East"/>
    <n v="0.1"/>
    <x v="3"/>
    <n v="4860"/>
    <x v="1"/>
  </r>
  <r>
    <s v="ORD0121"/>
    <x v="112"/>
    <x v="1"/>
    <x v="0"/>
    <n v="500"/>
    <x v="3"/>
    <x v="1"/>
    <s v="Active"/>
    <x v="1"/>
    <s v="Ahafo"/>
    <n v="0"/>
    <x v="1"/>
    <n v="500"/>
    <x v="1"/>
  </r>
  <r>
    <s v="ORD0122"/>
    <x v="113"/>
    <x v="0"/>
    <x v="1"/>
    <n v="16200"/>
    <x v="2"/>
    <x v="2"/>
    <s v="Active"/>
    <x v="1"/>
    <s v="Western North"/>
    <n v="0.1"/>
    <x v="1"/>
    <n v="14580"/>
    <x v="1"/>
  </r>
  <r>
    <s v="ORD0123"/>
    <x v="114"/>
    <x v="1"/>
    <x v="0"/>
    <n v="500"/>
    <x v="2"/>
    <x v="2"/>
    <s v="Cancelled"/>
    <x v="0"/>
    <s v="Bono"/>
    <n v="0"/>
    <x v="1"/>
    <n v="500"/>
    <x v="0"/>
  </r>
  <r>
    <s v="ORD0124"/>
    <x v="115"/>
    <x v="0"/>
    <x v="1"/>
    <n v="16200"/>
    <x v="2"/>
    <x v="2"/>
    <s v="Active"/>
    <x v="1"/>
    <s v="Eastern"/>
    <n v="0.1"/>
    <x v="2"/>
    <n v="14580"/>
    <x v="1"/>
  </r>
  <r>
    <s v="ORD0125"/>
    <x v="116"/>
    <x v="2"/>
    <x v="1"/>
    <n v="10800"/>
    <x v="1"/>
    <x v="1"/>
    <s v="Cancelled"/>
    <x v="0"/>
    <s v="Greater Accra"/>
    <n v="0.1"/>
    <x v="0"/>
    <n v="9720"/>
    <x v="0"/>
  </r>
  <r>
    <s v="ORD0126"/>
    <x v="117"/>
    <x v="0"/>
    <x v="0"/>
    <n v="1500"/>
    <x v="3"/>
    <x v="1"/>
    <s v="Active"/>
    <x v="1"/>
    <s v="Greater Accra"/>
    <n v="0"/>
    <x v="0"/>
    <n v="1500"/>
    <x v="1"/>
  </r>
  <r>
    <s v="ORD0127"/>
    <x v="118"/>
    <x v="0"/>
    <x v="0"/>
    <n v="1500"/>
    <x v="3"/>
    <x v="2"/>
    <s v="Active"/>
    <x v="1"/>
    <s v="Greater Accra"/>
    <n v="0"/>
    <x v="0"/>
    <n v="1500"/>
    <x v="1"/>
  </r>
  <r>
    <s v="ORD0128"/>
    <x v="119"/>
    <x v="2"/>
    <x v="0"/>
    <n v="1000"/>
    <x v="2"/>
    <x v="2"/>
    <s v="Active"/>
    <x v="1"/>
    <s v="Western"/>
    <n v="0"/>
    <x v="1"/>
    <n v="1000"/>
    <x v="1"/>
  </r>
  <r>
    <s v="ORD0129"/>
    <x v="120"/>
    <x v="1"/>
    <x v="1"/>
    <n v="5400"/>
    <x v="0"/>
    <x v="0"/>
    <s v="Cancelled"/>
    <x v="0"/>
    <s v="Volta"/>
    <n v="0.1"/>
    <x v="2"/>
    <n v="4860"/>
    <x v="0"/>
  </r>
  <r>
    <s v="ORD0130"/>
    <x v="121"/>
    <x v="1"/>
    <x v="1"/>
    <n v="5400"/>
    <x v="0"/>
    <x v="1"/>
    <s v="Active"/>
    <x v="1"/>
    <s v="Greater Accra"/>
    <n v="0.1"/>
    <x v="0"/>
    <n v="4860"/>
    <x v="1"/>
  </r>
  <r>
    <s v="ORD0131"/>
    <x v="122"/>
    <x v="2"/>
    <x v="1"/>
    <n v="10800"/>
    <x v="0"/>
    <x v="2"/>
    <s v="Cancelled"/>
    <x v="0"/>
    <s v="Greater Accra"/>
    <n v="0.1"/>
    <x v="0"/>
    <n v="9720"/>
    <x v="0"/>
  </r>
  <r>
    <s v="ORD0132"/>
    <x v="123"/>
    <x v="1"/>
    <x v="0"/>
    <n v="500"/>
    <x v="1"/>
    <x v="2"/>
    <s v="Cancelled"/>
    <x v="0"/>
    <s v="Ashanti"/>
    <n v="0"/>
    <x v="1"/>
    <n v="500"/>
    <x v="0"/>
  </r>
  <r>
    <s v="ORD0133"/>
    <x v="124"/>
    <x v="0"/>
    <x v="1"/>
    <n v="16200"/>
    <x v="0"/>
    <x v="2"/>
    <s v="Active"/>
    <x v="1"/>
    <s v="Ashanti"/>
    <n v="0.1"/>
    <x v="1"/>
    <n v="14580"/>
    <x v="1"/>
  </r>
  <r>
    <s v="ORD0134"/>
    <x v="125"/>
    <x v="0"/>
    <x v="1"/>
    <n v="16200"/>
    <x v="2"/>
    <x v="1"/>
    <s v="Active"/>
    <x v="1"/>
    <s v="Western"/>
    <n v="0.1"/>
    <x v="1"/>
    <n v="14580"/>
    <x v="1"/>
  </r>
  <r>
    <s v="ORD0135"/>
    <x v="20"/>
    <x v="0"/>
    <x v="1"/>
    <n v="16200"/>
    <x v="3"/>
    <x v="1"/>
    <s v="Cancelled"/>
    <x v="0"/>
    <s v="Eastern"/>
    <n v="0.1"/>
    <x v="2"/>
    <n v="14580"/>
    <x v="0"/>
  </r>
  <r>
    <s v="ORD0136"/>
    <x v="126"/>
    <x v="2"/>
    <x v="0"/>
    <n v="1000"/>
    <x v="2"/>
    <x v="2"/>
    <s v="Active"/>
    <x v="1"/>
    <s v="Western North"/>
    <n v="0"/>
    <x v="1"/>
    <n v="1000"/>
    <x v="1"/>
  </r>
  <r>
    <s v="ORD0137"/>
    <x v="110"/>
    <x v="0"/>
    <x v="1"/>
    <n v="16200"/>
    <x v="3"/>
    <x v="1"/>
    <s v="Cancelled"/>
    <x v="0"/>
    <s v="Ahafo"/>
    <n v="0.1"/>
    <x v="1"/>
    <n v="14580"/>
    <x v="0"/>
  </r>
  <r>
    <s v="ORD0138"/>
    <x v="127"/>
    <x v="2"/>
    <x v="0"/>
    <n v="1000"/>
    <x v="2"/>
    <x v="1"/>
    <s v="Active"/>
    <x v="1"/>
    <s v="Western North"/>
    <n v="0"/>
    <x v="1"/>
    <n v="1000"/>
    <x v="1"/>
  </r>
  <r>
    <s v="ORD0139"/>
    <x v="128"/>
    <x v="2"/>
    <x v="0"/>
    <n v="1000"/>
    <x v="2"/>
    <x v="0"/>
    <s v="Cancelled"/>
    <x v="0"/>
    <s v="Northern"/>
    <n v="0"/>
    <x v="3"/>
    <n v="1000"/>
    <x v="0"/>
  </r>
  <r>
    <s v="ORD0140"/>
    <x v="129"/>
    <x v="1"/>
    <x v="0"/>
    <n v="500"/>
    <x v="0"/>
    <x v="1"/>
    <s v="Active"/>
    <x v="1"/>
    <s v="Volta"/>
    <n v="0"/>
    <x v="2"/>
    <n v="500"/>
    <x v="1"/>
  </r>
  <r>
    <s v="ORD0141"/>
    <x v="130"/>
    <x v="1"/>
    <x v="0"/>
    <n v="500"/>
    <x v="0"/>
    <x v="1"/>
    <s v="Cancelled"/>
    <x v="0"/>
    <s v="Volta"/>
    <n v="0"/>
    <x v="2"/>
    <n v="500"/>
    <x v="0"/>
  </r>
  <r>
    <s v="ORD0142"/>
    <x v="131"/>
    <x v="0"/>
    <x v="1"/>
    <n v="16200"/>
    <x v="1"/>
    <x v="1"/>
    <s v="Cancelled"/>
    <x v="0"/>
    <s v="Central"/>
    <n v="0.1"/>
    <x v="0"/>
    <n v="14580"/>
    <x v="0"/>
  </r>
  <r>
    <s v="ORD0143"/>
    <x v="132"/>
    <x v="0"/>
    <x v="0"/>
    <n v="1500"/>
    <x v="1"/>
    <x v="1"/>
    <s v="Active"/>
    <x v="1"/>
    <s v="Central"/>
    <n v="0"/>
    <x v="0"/>
    <n v="1500"/>
    <x v="1"/>
  </r>
  <r>
    <s v="ORD0144"/>
    <x v="133"/>
    <x v="1"/>
    <x v="0"/>
    <n v="500"/>
    <x v="1"/>
    <x v="2"/>
    <s v="Active"/>
    <x v="1"/>
    <s v="Greater Accra"/>
    <n v="0"/>
    <x v="0"/>
    <n v="500"/>
    <x v="1"/>
  </r>
  <r>
    <s v="ORD0145"/>
    <x v="134"/>
    <x v="2"/>
    <x v="0"/>
    <n v="1000"/>
    <x v="3"/>
    <x v="1"/>
    <s v="Active"/>
    <x v="1"/>
    <s v="Western"/>
    <n v="0"/>
    <x v="1"/>
    <n v="1000"/>
    <x v="1"/>
  </r>
  <r>
    <s v="ORD0146"/>
    <x v="57"/>
    <x v="1"/>
    <x v="0"/>
    <n v="500"/>
    <x v="0"/>
    <x v="1"/>
    <s v="Active"/>
    <x v="1"/>
    <s v="Savannah"/>
    <n v="0"/>
    <x v="3"/>
    <n v="500"/>
    <x v="1"/>
  </r>
  <r>
    <s v="ORD0147"/>
    <x v="135"/>
    <x v="2"/>
    <x v="0"/>
    <n v="1000"/>
    <x v="1"/>
    <x v="1"/>
    <s v="Active"/>
    <x v="1"/>
    <s v="Greater Accra"/>
    <n v="0"/>
    <x v="0"/>
    <n v="1000"/>
    <x v="1"/>
  </r>
  <r>
    <s v="ORD0148"/>
    <x v="31"/>
    <x v="0"/>
    <x v="1"/>
    <n v="16200"/>
    <x v="3"/>
    <x v="1"/>
    <s v="Cancelled"/>
    <x v="0"/>
    <s v="Oti"/>
    <n v="0.1"/>
    <x v="2"/>
    <n v="14580"/>
    <x v="0"/>
  </r>
  <r>
    <s v="ORD0149"/>
    <x v="69"/>
    <x v="0"/>
    <x v="0"/>
    <n v="1500"/>
    <x v="3"/>
    <x v="1"/>
    <s v="Active"/>
    <x v="1"/>
    <s v="Greater Accra"/>
    <n v="0"/>
    <x v="0"/>
    <n v="1500"/>
    <x v="1"/>
  </r>
  <r>
    <s v="ORD0150"/>
    <x v="136"/>
    <x v="0"/>
    <x v="0"/>
    <n v="1500"/>
    <x v="1"/>
    <x v="1"/>
    <s v="Active"/>
    <x v="1"/>
    <s v="Western"/>
    <n v="0"/>
    <x v="1"/>
    <n v="1500"/>
    <x v="1"/>
  </r>
  <r>
    <s v="ORD0151"/>
    <x v="137"/>
    <x v="2"/>
    <x v="1"/>
    <n v="10800"/>
    <x v="2"/>
    <x v="1"/>
    <s v="Cancelled"/>
    <x v="0"/>
    <s v="Western"/>
    <n v="0.1"/>
    <x v="1"/>
    <n v="9720"/>
    <x v="0"/>
  </r>
  <r>
    <s v="ORD0152"/>
    <x v="138"/>
    <x v="2"/>
    <x v="1"/>
    <n v="10800"/>
    <x v="2"/>
    <x v="0"/>
    <s v="Cancelled"/>
    <x v="0"/>
    <s v="Western"/>
    <n v="0.1"/>
    <x v="1"/>
    <n v="9720"/>
    <x v="0"/>
  </r>
  <r>
    <s v="ORD0153"/>
    <x v="139"/>
    <x v="0"/>
    <x v="1"/>
    <n v="16200"/>
    <x v="0"/>
    <x v="1"/>
    <s v="Active"/>
    <x v="1"/>
    <s v="Savannah"/>
    <n v="0.1"/>
    <x v="3"/>
    <n v="14580"/>
    <x v="1"/>
  </r>
  <r>
    <s v="ORD0154"/>
    <x v="140"/>
    <x v="2"/>
    <x v="1"/>
    <n v="10800"/>
    <x v="0"/>
    <x v="1"/>
    <s v="Active"/>
    <x v="1"/>
    <s v="Ashanti"/>
    <n v="0.1"/>
    <x v="1"/>
    <n v="9720"/>
    <x v="1"/>
  </r>
  <r>
    <s v="ORD0155"/>
    <x v="90"/>
    <x v="0"/>
    <x v="1"/>
    <n v="16200"/>
    <x v="3"/>
    <x v="2"/>
    <s v="Cancelled"/>
    <x v="0"/>
    <s v="Ahafo"/>
    <n v="0.1"/>
    <x v="1"/>
    <n v="14580"/>
    <x v="0"/>
  </r>
  <r>
    <s v="ORD0156"/>
    <x v="141"/>
    <x v="1"/>
    <x v="1"/>
    <n v="5400"/>
    <x v="2"/>
    <x v="1"/>
    <s v="Cancelled"/>
    <x v="0"/>
    <s v="Eastern"/>
    <n v="0.1"/>
    <x v="2"/>
    <n v="4860"/>
    <x v="0"/>
  </r>
  <r>
    <s v="ORD0157"/>
    <x v="142"/>
    <x v="0"/>
    <x v="1"/>
    <n v="16200"/>
    <x v="2"/>
    <x v="0"/>
    <s v="Cancelled"/>
    <x v="0"/>
    <s v="Bono"/>
    <n v="0.1"/>
    <x v="1"/>
    <n v="14580"/>
    <x v="0"/>
  </r>
  <r>
    <s v="ORD0158"/>
    <x v="143"/>
    <x v="2"/>
    <x v="0"/>
    <n v="1000"/>
    <x v="2"/>
    <x v="1"/>
    <s v="Active"/>
    <x v="1"/>
    <s v="Northern"/>
    <n v="0"/>
    <x v="3"/>
    <n v="1000"/>
    <x v="1"/>
  </r>
  <r>
    <s v="ORD0159"/>
    <x v="144"/>
    <x v="0"/>
    <x v="0"/>
    <n v="1500"/>
    <x v="0"/>
    <x v="2"/>
    <s v="Cancelled"/>
    <x v="0"/>
    <s v="Savannah"/>
    <n v="0"/>
    <x v="3"/>
    <n v="1500"/>
    <x v="0"/>
  </r>
  <r>
    <s v="ORD0160"/>
    <x v="25"/>
    <x v="1"/>
    <x v="0"/>
    <n v="500"/>
    <x v="3"/>
    <x v="1"/>
    <s v="Active"/>
    <x v="1"/>
    <s v="Ahafo"/>
    <n v="0"/>
    <x v="1"/>
    <n v="500"/>
    <x v="1"/>
  </r>
  <r>
    <s v="ORD0161"/>
    <x v="145"/>
    <x v="2"/>
    <x v="1"/>
    <n v="10800"/>
    <x v="2"/>
    <x v="2"/>
    <s v="Active"/>
    <x v="1"/>
    <s v="Northern"/>
    <n v="0.1"/>
    <x v="3"/>
    <n v="9720"/>
    <x v="1"/>
  </r>
  <r>
    <s v="ORD0162"/>
    <x v="146"/>
    <x v="0"/>
    <x v="0"/>
    <n v="1500"/>
    <x v="2"/>
    <x v="1"/>
    <s v="Cancelled"/>
    <x v="0"/>
    <s v="Bono"/>
    <n v="0"/>
    <x v="1"/>
    <n v="1500"/>
    <x v="0"/>
  </r>
  <r>
    <s v="ORD0163"/>
    <x v="147"/>
    <x v="2"/>
    <x v="1"/>
    <n v="10800"/>
    <x v="3"/>
    <x v="1"/>
    <s v="Cancelled"/>
    <x v="0"/>
    <s v="Western"/>
    <n v="0.1"/>
    <x v="1"/>
    <n v="9720"/>
    <x v="0"/>
  </r>
  <r>
    <s v="ORD0164"/>
    <x v="148"/>
    <x v="2"/>
    <x v="0"/>
    <n v="1000"/>
    <x v="0"/>
    <x v="1"/>
    <s v="Active"/>
    <x v="1"/>
    <s v="Upper East"/>
    <n v="0"/>
    <x v="3"/>
    <n v="1000"/>
    <x v="1"/>
  </r>
  <r>
    <s v="ORD0165"/>
    <x v="149"/>
    <x v="0"/>
    <x v="1"/>
    <n v="16200"/>
    <x v="0"/>
    <x v="2"/>
    <s v="Cancelled"/>
    <x v="0"/>
    <s v="Savannah"/>
    <n v="0.1"/>
    <x v="3"/>
    <n v="14580"/>
    <x v="0"/>
  </r>
  <r>
    <s v="ORD0166"/>
    <x v="150"/>
    <x v="2"/>
    <x v="1"/>
    <n v="10800"/>
    <x v="3"/>
    <x v="1"/>
    <s v="Cancelled"/>
    <x v="0"/>
    <s v="Oti"/>
    <n v="0.1"/>
    <x v="2"/>
    <n v="9720"/>
    <x v="0"/>
  </r>
  <r>
    <s v="ORD0167"/>
    <x v="151"/>
    <x v="0"/>
    <x v="1"/>
    <n v="16200"/>
    <x v="3"/>
    <x v="2"/>
    <s v="Active"/>
    <x v="1"/>
    <s v="Eastern"/>
    <n v="0.1"/>
    <x v="2"/>
    <n v="14580"/>
    <x v="1"/>
  </r>
  <r>
    <s v="ORD0168"/>
    <x v="17"/>
    <x v="2"/>
    <x v="0"/>
    <n v="1000"/>
    <x v="0"/>
    <x v="2"/>
    <s v="Active"/>
    <x v="1"/>
    <s v="Volta"/>
    <n v="0"/>
    <x v="2"/>
    <n v="1000"/>
    <x v="1"/>
  </r>
  <r>
    <s v="ORD0169"/>
    <x v="152"/>
    <x v="2"/>
    <x v="0"/>
    <n v="1000"/>
    <x v="2"/>
    <x v="1"/>
    <s v="Active"/>
    <x v="1"/>
    <s v="Western"/>
    <n v="0"/>
    <x v="1"/>
    <n v="1000"/>
    <x v="1"/>
  </r>
  <r>
    <s v="ORD0170"/>
    <x v="115"/>
    <x v="0"/>
    <x v="0"/>
    <n v="1500"/>
    <x v="2"/>
    <x v="2"/>
    <s v="Cancelled"/>
    <x v="0"/>
    <s v="Western"/>
    <n v="0"/>
    <x v="1"/>
    <n v="1500"/>
    <x v="0"/>
  </r>
  <r>
    <s v="ORD0171"/>
    <x v="153"/>
    <x v="1"/>
    <x v="0"/>
    <n v="500"/>
    <x v="2"/>
    <x v="0"/>
    <s v="Cancelled"/>
    <x v="0"/>
    <s v="Northern"/>
    <n v="0"/>
    <x v="3"/>
    <n v="500"/>
    <x v="0"/>
  </r>
  <r>
    <s v="ORD0172"/>
    <x v="99"/>
    <x v="0"/>
    <x v="1"/>
    <n v="16200"/>
    <x v="3"/>
    <x v="2"/>
    <s v="Cancelled"/>
    <x v="0"/>
    <s v="Eastern"/>
    <n v="0.1"/>
    <x v="2"/>
    <n v="14580"/>
    <x v="0"/>
  </r>
  <r>
    <s v="ORD0173"/>
    <x v="154"/>
    <x v="0"/>
    <x v="0"/>
    <n v="1500"/>
    <x v="1"/>
    <x v="1"/>
    <s v="Active"/>
    <x v="1"/>
    <s v="Western"/>
    <n v="0"/>
    <x v="1"/>
    <n v="1500"/>
    <x v="1"/>
  </r>
  <r>
    <s v="ORD0174"/>
    <x v="155"/>
    <x v="1"/>
    <x v="1"/>
    <n v="5400"/>
    <x v="1"/>
    <x v="1"/>
    <s v="Active"/>
    <x v="1"/>
    <s v="Ashanti"/>
    <n v="0.1"/>
    <x v="1"/>
    <n v="4860"/>
    <x v="1"/>
  </r>
  <r>
    <s v="ORD0175"/>
    <x v="156"/>
    <x v="2"/>
    <x v="0"/>
    <n v="1000"/>
    <x v="3"/>
    <x v="2"/>
    <s v="Cancelled"/>
    <x v="0"/>
    <s v="Western"/>
    <n v="0"/>
    <x v="1"/>
    <n v="1000"/>
    <x v="0"/>
  </r>
  <r>
    <s v="ORD0176"/>
    <x v="157"/>
    <x v="0"/>
    <x v="0"/>
    <n v="1500"/>
    <x v="0"/>
    <x v="2"/>
    <s v="Active"/>
    <x v="1"/>
    <s v="Savannah"/>
    <n v="0"/>
    <x v="3"/>
    <n v="1500"/>
    <x v="1"/>
  </r>
  <r>
    <s v="ORD0177"/>
    <x v="158"/>
    <x v="2"/>
    <x v="1"/>
    <n v="10800"/>
    <x v="2"/>
    <x v="1"/>
    <s v="Cancelled"/>
    <x v="0"/>
    <s v="Western"/>
    <n v="0.1"/>
    <x v="1"/>
    <n v="9720"/>
    <x v="0"/>
  </r>
  <r>
    <s v="ORD0178"/>
    <x v="159"/>
    <x v="2"/>
    <x v="1"/>
    <n v="10800"/>
    <x v="3"/>
    <x v="1"/>
    <s v="Active"/>
    <x v="1"/>
    <s v="Eastern"/>
    <n v="0.1"/>
    <x v="2"/>
    <n v="9720"/>
    <x v="1"/>
  </r>
  <r>
    <s v="ORD0179"/>
    <x v="46"/>
    <x v="1"/>
    <x v="1"/>
    <n v="5400"/>
    <x v="2"/>
    <x v="1"/>
    <s v="Active"/>
    <x v="1"/>
    <s v="Northern"/>
    <n v="0.1"/>
    <x v="3"/>
    <n v="4860"/>
    <x v="1"/>
  </r>
  <r>
    <s v="ORD0180"/>
    <x v="160"/>
    <x v="2"/>
    <x v="1"/>
    <n v="10800"/>
    <x v="3"/>
    <x v="2"/>
    <s v="Cancelled"/>
    <x v="0"/>
    <s v="Western"/>
    <n v="0.1"/>
    <x v="1"/>
    <n v="9720"/>
    <x v="0"/>
  </r>
  <r>
    <s v="ORD0181"/>
    <x v="161"/>
    <x v="1"/>
    <x v="0"/>
    <n v="500"/>
    <x v="1"/>
    <x v="2"/>
    <s v="Active"/>
    <x v="1"/>
    <s v="Greater Accra"/>
    <n v="0"/>
    <x v="0"/>
    <n v="500"/>
    <x v="1"/>
  </r>
  <r>
    <s v="ORD0182"/>
    <x v="162"/>
    <x v="0"/>
    <x v="0"/>
    <n v="1500"/>
    <x v="2"/>
    <x v="1"/>
    <s v="Active"/>
    <x v="1"/>
    <s v="Western North"/>
    <n v="0"/>
    <x v="1"/>
    <n v="1500"/>
    <x v="1"/>
  </r>
  <r>
    <s v="ORD0183"/>
    <x v="163"/>
    <x v="0"/>
    <x v="1"/>
    <n v="16200"/>
    <x v="2"/>
    <x v="2"/>
    <s v="Active"/>
    <x v="1"/>
    <s v="Eastern"/>
    <n v="0.1"/>
    <x v="2"/>
    <n v="14580"/>
    <x v="1"/>
  </r>
  <r>
    <s v="ORD0184"/>
    <x v="95"/>
    <x v="2"/>
    <x v="0"/>
    <n v="1000"/>
    <x v="0"/>
    <x v="1"/>
    <s v="Cancelled"/>
    <x v="0"/>
    <s v="Greater Accra"/>
    <n v="0"/>
    <x v="0"/>
    <n v="1000"/>
    <x v="0"/>
  </r>
  <r>
    <s v="ORD0185"/>
    <x v="164"/>
    <x v="0"/>
    <x v="1"/>
    <n v="16200"/>
    <x v="1"/>
    <x v="0"/>
    <s v="Cancelled"/>
    <x v="0"/>
    <s v="Greater Accra"/>
    <n v="0.1"/>
    <x v="0"/>
    <n v="14580"/>
    <x v="0"/>
  </r>
  <r>
    <s v="ORD0186"/>
    <x v="165"/>
    <x v="0"/>
    <x v="1"/>
    <n v="16200"/>
    <x v="1"/>
    <x v="0"/>
    <s v="Cancelled"/>
    <x v="0"/>
    <s v="Greater Accra"/>
    <n v="0.1"/>
    <x v="0"/>
    <n v="14580"/>
    <x v="0"/>
  </r>
  <r>
    <s v="ORD0187"/>
    <x v="166"/>
    <x v="2"/>
    <x v="1"/>
    <n v="10800"/>
    <x v="1"/>
    <x v="2"/>
    <s v="Cancelled"/>
    <x v="0"/>
    <s v="Greater Accra"/>
    <n v="0.1"/>
    <x v="0"/>
    <n v="9720"/>
    <x v="0"/>
  </r>
  <r>
    <s v="ORD0188"/>
    <x v="167"/>
    <x v="0"/>
    <x v="1"/>
    <n v="16200"/>
    <x v="0"/>
    <x v="2"/>
    <s v="Cancelled"/>
    <x v="0"/>
    <s v="Volta"/>
    <n v="0.1"/>
    <x v="2"/>
    <n v="14580"/>
    <x v="0"/>
  </r>
  <r>
    <s v="ORD0189"/>
    <x v="168"/>
    <x v="0"/>
    <x v="0"/>
    <n v="1500"/>
    <x v="1"/>
    <x v="2"/>
    <s v="Cancelled"/>
    <x v="0"/>
    <s v="Western"/>
    <n v="0"/>
    <x v="1"/>
    <n v="1500"/>
    <x v="0"/>
  </r>
  <r>
    <s v="ORD0190"/>
    <x v="169"/>
    <x v="2"/>
    <x v="1"/>
    <n v="10800"/>
    <x v="2"/>
    <x v="0"/>
    <s v="Cancelled"/>
    <x v="0"/>
    <s v="Eastern"/>
    <n v="0.1"/>
    <x v="2"/>
    <n v="9720"/>
    <x v="0"/>
  </r>
  <r>
    <s v="ORD0191"/>
    <x v="170"/>
    <x v="0"/>
    <x v="0"/>
    <n v="1500"/>
    <x v="2"/>
    <x v="0"/>
    <s v="Cancelled"/>
    <x v="0"/>
    <s v="Eastern"/>
    <n v="0"/>
    <x v="2"/>
    <n v="1500"/>
    <x v="0"/>
  </r>
  <r>
    <s v="ORD0192"/>
    <x v="87"/>
    <x v="0"/>
    <x v="1"/>
    <n v="16200"/>
    <x v="0"/>
    <x v="1"/>
    <s v="Cancelled"/>
    <x v="0"/>
    <s v="Ashanti"/>
    <n v="0.1"/>
    <x v="1"/>
    <n v="14580"/>
    <x v="0"/>
  </r>
  <r>
    <s v="ORD0193"/>
    <x v="171"/>
    <x v="1"/>
    <x v="0"/>
    <n v="500"/>
    <x v="0"/>
    <x v="1"/>
    <s v="Active"/>
    <x v="1"/>
    <s v="Ashanti"/>
    <n v="0"/>
    <x v="1"/>
    <n v="500"/>
    <x v="1"/>
  </r>
  <r>
    <s v="ORD0194"/>
    <x v="172"/>
    <x v="0"/>
    <x v="1"/>
    <n v="16200"/>
    <x v="3"/>
    <x v="1"/>
    <s v="Active"/>
    <x v="1"/>
    <s v="Ashanti"/>
    <n v="0.1"/>
    <x v="1"/>
    <n v="14580"/>
    <x v="1"/>
  </r>
  <r>
    <s v="ORD0195"/>
    <x v="173"/>
    <x v="1"/>
    <x v="1"/>
    <n v="5400"/>
    <x v="1"/>
    <x v="2"/>
    <s v="Active"/>
    <x v="1"/>
    <s v="Central"/>
    <n v="0.1"/>
    <x v="0"/>
    <n v="4860"/>
    <x v="1"/>
  </r>
  <r>
    <s v="ORD0196"/>
    <x v="174"/>
    <x v="2"/>
    <x v="1"/>
    <n v="10800"/>
    <x v="3"/>
    <x v="1"/>
    <s v="Active"/>
    <x v="1"/>
    <s v="Eastern"/>
    <n v="0.1"/>
    <x v="2"/>
    <n v="9720"/>
    <x v="1"/>
  </r>
  <r>
    <s v="ORD0197"/>
    <x v="175"/>
    <x v="0"/>
    <x v="0"/>
    <n v="1500"/>
    <x v="1"/>
    <x v="0"/>
    <s v="Cancelled"/>
    <x v="0"/>
    <s v="Ashanti"/>
    <n v="0"/>
    <x v="1"/>
    <n v="1500"/>
    <x v="0"/>
  </r>
  <r>
    <s v="ORD0198"/>
    <x v="46"/>
    <x v="0"/>
    <x v="0"/>
    <n v="1500"/>
    <x v="2"/>
    <x v="1"/>
    <s v="Cancelled"/>
    <x v="0"/>
    <s v="Western"/>
    <n v="0"/>
    <x v="1"/>
    <n v="1500"/>
    <x v="0"/>
  </r>
  <r>
    <s v="ORD0199"/>
    <x v="176"/>
    <x v="1"/>
    <x v="1"/>
    <n v="5400"/>
    <x v="0"/>
    <x v="1"/>
    <s v="Cancelled"/>
    <x v="0"/>
    <s v="Volta"/>
    <n v="0.1"/>
    <x v="2"/>
    <n v="4860"/>
    <x v="0"/>
  </r>
  <r>
    <s v="ORD0200"/>
    <x v="177"/>
    <x v="1"/>
    <x v="1"/>
    <n v="5400"/>
    <x v="1"/>
    <x v="0"/>
    <s v="Cancelled"/>
    <x v="0"/>
    <s v="Greater Accra"/>
    <n v="0.1"/>
    <x v="0"/>
    <n v="4860"/>
    <x v="0"/>
  </r>
  <r>
    <s v="ORD0201"/>
    <x v="178"/>
    <x v="0"/>
    <x v="0"/>
    <n v="1500"/>
    <x v="0"/>
    <x v="2"/>
    <s v="Cancelled"/>
    <x v="0"/>
    <s v="Upper East"/>
    <n v="0"/>
    <x v="3"/>
    <n v="1500"/>
    <x v="0"/>
  </r>
  <r>
    <s v="ORD0202"/>
    <x v="179"/>
    <x v="1"/>
    <x v="1"/>
    <n v="5400"/>
    <x v="3"/>
    <x v="1"/>
    <s v="Cancelled"/>
    <x v="0"/>
    <s v="Greater Accra"/>
    <n v="0.1"/>
    <x v="0"/>
    <n v="4860"/>
    <x v="0"/>
  </r>
  <r>
    <s v="ORD0203"/>
    <x v="33"/>
    <x v="1"/>
    <x v="0"/>
    <n v="500"/>
    <x v="3"/>
    <x v="1"/>
    <s v="Active"/>
    <x v="1"/>
    <s v="Western"/>
    <n v="0"/>
    <x v="1"/>
    <n v="500"/>
    <x v="1"/>
  </r>
  <r>
    <s v="ORD0204"/>
    <x v="180"/>
    <x v="2"/>
    <x v="1"/>
    <n v="10800"/>
    <x v="3"/>
    <x v="1"/>
    <s v="Active"/>
    <x v="1"/>
    <s v="Ashanti"/>
    <n v="0.1"/>
    <x v="1"/>
    <n v="9720"/>
    <x v="1"/>
  </r>
  <r>
    <s v="ORD0205"/>
    <x v="181"/>
    <x v="0"/>
    <x v="1"/>
    <n v="16200"/>
    <x v="3"/>
    <x v="2"/>
    <s v="Cancelled"/>
    <x v="0"/>
    <s v="Ahafo"/>
    <n v="0.1"/>
    <x v="1"/>
    <n v="14580"/>
    <x v="0"/>
  </r>
  <r>
    <s v="ORD0206"/>
    <x v="182"/>
    <x v="2"/>
    <x v="1"/>
    <n v="10800"/>
    <x v="0"/>
    <x v="2"/>
    <s v="Active"/>
    <x v="1"/>
    <s v="Volta"/>
    <n v="0.1"/>
    <x v="2"/>
    <n v="9720"/>
    <x v="1"/>
  </r>
  <r>
    <s v="ORD0207"/>
    <x v="183"/>
    <x v="2"/>
    <x v="1"/>
    <n v="10800"/>
    <x v="3"/>
    <x v="1"/>
    <s v="Active"/>
    <x v="1"/>
    <s v="Oti"/>
    <n v="0.1"/>
    <x v="2"/>
    <n v="9720"/>
    <x v="1"/>
  </r>
  <r>
    <s v="ORD0208"/>
    <x v="106"/>
    <x v="1"/>
    <x v="0"/>
    <n v="500"/>
    <x v="2"/>
    <x v="1"/>
    <s v="Active"/>
    <x v="1"/>
    <s v="Eastern"/>
    <n v="0"/>
    <x v="2"/>
    <n v="500"/>
    <x v="1"/>
  </r>
  <r>
    <s v="ORD0209"/>
    <x v="140"/>
    <x v="1"/>
    <x v="0"/>
    <n v="500"/>
    <x v="1"/>
    <x v="2"/>
    <s v="Active"/>
    <x v="1"/>
    <s v="Central"/>
    <n v="0"/>
    <x v="0"/>
    <n v="500"/>
    <x v="1"/>
  </r>
  <r>
    <s v="ORD0210"/>
    <x v="184"/>
    <x v="1"/>
    <x v="1"/>
    <n v="5400"/>
    <x v="1"/>
    <x v="0"/>
    <s v="Cancelled"/>
    <x v="0"/>
    <s v="Ashanti"/>
    <n v="0.1"/>
    <x v="1"/>
    <n v="4860"/>
    <x v="0"/>
  </r>
  <r>
    <s v="ORD0211"/>
    <x v="127"/>
    <x v="0"/>
    <x v="1"/>
    <n v="16200"/>
    <x v="2"/>
    <x v="2"/>
    <s v="Cancelled"/>
    <x v="0"/>
    <s v="Eastern"/>
    <n v="0.1"/>
    <x v="2"/>
    <n v="14580"/>
    <x v="0"/>
  </r>
  <r>
    <s v="ORD0212"/>
    <x v="185"/>
    <x v="1"/>
    <x v="0"/>
    <n v="500"/>
    <x v="2"/>
    <x v="2"/>
    <s v="Active"/>
    <x v="1"/>
    <s v="Eastern"/>
    <n v="0"/>
    <x v="2"/>
    <n v="500"/>
    <x v="1"/>
  </r>
  <r>
    <s v="ORD0213"/>
    <x v="186"/>
    <x v="0"/>
    <x v="1"/>
    <n v="16200"/>
    <x v="1"/>
    <x v="1"/>
    <s v="Active"/>
    <x v="1"/>
    <s v="Central"/>
    <n v="0.1"/>
    <x v="0"/>
    <n v="14580"/>
    <x v="1"/>
  </r>
  <r>
    <s v="ORD0214"/>
    <x v="47"/>
    <x v="0"/>
    <x v="1"/>
    <n v="16200"/>
    <x v="0"/>
    <x v="2"/>
    <s v="Cancelled"/>
    <x v="0"/>
    <s v="Ashanti"/>
    <n v="0.1"/>
    <x v="1"/>
    <n v="14580"/>
    <x v="0"/>
  </r>
  <r>
    <s v="ORD0215"/>
    <x v="161"/>
    <x v="0"/>
    <x v="1"/>
    <n v="16200"/>
    <x v="1"/>
    <x v="0"/>
    <s v="Cancelled"/>
    <x v="0"/>
    <s v="Greater Accra"/>
    <n v="0.1"/>
    <x v="0"/>
    <n v="14580"/>
    <x v="0"/>
  </r>
  <r>
    <s v="ORD0216"/>
    <x v="118"/>
    <x v="1"/>
    <x v="0"/>
    <n v="500"/>
    <x v="0"/>
    <x v="0"/>
    <s v="Cancelled"/>
    <x v="0"/>
    <s v="Ashanti"/>
    <n v="0"/>
    <x v="1"/>
    <n v="500"/>
    <x v="0"/>
  </r>
  <r>
    <s v="ORD0217"/>
    <x v="187"/>
    <x v="1"/>
    <x v="1"/>
    <n v="5400"/>
    <x v="1"/>
    <x v="2"/>
    <s v="Cancelled"/>
    <x v="0"/>
    <s v="Central"/>
    <n v="0.1"/>
    <x v="0"/>
    <n v="4860"/>
    <x v="0"/>
  </r>
  <r>
    <s v="ORD0218"/>
    <x v="21"/>
    <x v="1"/>
    <x v="0"/>
    <n v="500"/>
    <x v="1"/>
    <x v="2"/>
    <s v="Cancelled"/>
    <x v="0"/>
    <s v="Central"/>
    <n v="0"/>
    <x v="0"/>
    <n v="500"/>
    <x v="0"/>
  </r>
  <r>
    <s v="ORD0219"/>
    <x v="188"/>
    <x v="1"/>
    <x v="0"/>
    <n v="500"/>
    <x v="0"/>
    <x v="2"/>
    <s v="Cancelled"/>
    <x v="0"/>
    <s v="Savannah"/>
    <n v="0"/>
    <x v="3"/>
    <n v="500"/>
    <x v="0"/>
  </r>
  <r>
    <s v="ORD0220"/>
    <x v="189"/>
    <x v="1"/>
    <x v="0"/>
    <n v="500"/>
    <x v="0"/>
    <x v="1"/>
    <s v="Active"/>
    <x v="1"/>
    <s v="Upper East"/>
    <n v="0"/>
    <x v="3"/>
    <n v="500"/>
    <x v="1"/>
  </r>
  <r>
    <s v="ORD0221"/>
    <x v="190"/>
    <x v="1"/>
    <x v="0"/>
    <n v="500"/>
    <x v="0"/>
    <x v="2"/>
    <s v="Cancelled"/>
    <x v="0"/>
    <s v="Greater Accra"/>
    <n v="0"/>
    <x v="0"/>
    <n v="500"/>
    <x v="0"/>
  </r>
  <r>
    <s v="ORD0222"/>
    <x v="191"/>
    <x v="2"/>
    <x v="0"/>
    <n v="1000"/>
    <x v="1"/>
    <x v="2"/>
    <s v="Active"/>
    <x v="1"/>
    <s v="Greater Accra"/>
    <n v="0"/>
    <x v="0"/>
    <n v="1000"/>
    <x v="1"/>
  </r>
  <r>
    <s v="ORD0223"/>
    <x v="192"/>
    <x v="0"/>
    <x v="1"/>
    <n v="16200"/>
    <x v="3"/>
    <x v="1"/>
    <s v="Cancelled"/>
    <x v="0"/>
    <s v="Western"/>
    <n v="0.1"/>
    <x v="1"/>
    <n v="14580"/>
    <x v="0"/>
  </r>
  <r>
    <s v="ORD0224"/>
    <x v="178"/>
    <x v="2"/>
    <x v="0"/>
    <n v="1000"/>
    <x v="2"/>
    <x v="0"/>
    <s v="Cancelled"/>
    <x v="0"/>
    <s v="Western"/>
    <n v="0"/>
    <x v="1"/>
    <n v="1000"/>
    <x v="0"/>
  </r>
  <r>
    <s v="ORD0225"/>
    <x v="193"/>
    <x v="0"/>
    <x v="1"/>
    <n v="16200"/>
    <x v="3"/>
    <x v="0"/>
    <s v="Cancelled"/>
    <x v="0"/>
    <s v="Ahafo"/>
    <n v="0.1"/>
    <x v="1"/>
    <n v="14580"/>
    <x v="0"/>
  </r>
  <r>
    <s v="ORD0226"/>
    <x v="194"/>
    <x v="1"/>
    <x v="1"/>
    <n v="5400"/>
    <x v="1"/>
    <x v="1"/>
    <s v="Cancelled"/>
    <x v="0"/>
    <s v="Greater Accra"/>
    <n v="0.1"/>
    <x v="0"/>
    <n v="4860"/>
    <x v="0"/>
  </r>
  <r>
    <s v="ORD0227"/>
    <x v="195"/>
    <x v="1"/>
    <x v="1"/>
    <n v="5400"/>
    <x v="1"/>
    <x v="1"/>
    <s v="Active"/>
    <x v="1"/>
    <s v="Ashanti"/>
    <n v="0.1"/>
    <x v="1"/>
    <n v="4860"/>
    <x v="1"/>
  </r>
  <r>
    <s v="ORD0228"/>
    <x v="196"/>
    <x v="1"/>
    <x v="0"/>
    <n v="500"/>
    <x v="1"/>
    <x v="1"/>
    <s v="Active"/>
    <x v="1"/>
    <s v="Western"/>
    <n v="0"/>
    <x v="1"/>
    <n v="500"/>
    <x v="1"/>
  </r>
  <r>
    <s v="ORD0229"/>
    <x v="197"/>
    <x v="2"/>
    <x v="1"/>
    <n v="10800"/>
    <x v="0"/>
    <x v="2"/>
    <s v="Cancelled"/>
    <x v="0"/>
    <s v="Volta"/>
    <n v="0.1"/>
    <x v="2"/>
    <n v="9720"/>
    <x v="0"/>
  </r>
  <r>
    <s v="ORD0230"/>
    <x v="198"/>
    <x v="2"/>
    <x v="0"/>
    <n v="1000"/>
    <x v="2"/>
    <x v="1"/>
    <s v="Active"/>
    <x v="1"/>
    <s v="Western"/>
    <n v="0"/>
    <x v="1"/>
    <n v="1000"/>
    <x v="1"/>
  </r>
  <r>
    <s v="ORD0231"/>
    <x v="199"/>
    <x v="0"/>
    <x v="1"/>
    <n v="16200"/>
    <x v="2"/>
    <x v="1"/>
    <s v="Active"/>
    <x v="1"/>
    <s v="Northern"/>
    <n v="0.1"/>
    <x v="3"/>
    <n v="14580"/>
    <x v="1"/>
  </r>
  <r>
    <s v="ORD0232"/>
    <x v="200"/>
    <x v="1"/>
    <x v="0"/>
    <n v="500"/>
    <x v="1"/>
    <x v="2"/>
    <s v="Cancelled"/>
    <x v="0"/>
    <s v="Ashanti"/>
    <n v="0"/>
    <x v="1"/>
    <n v="500"/>
    <x v="0"/>
  </r>
  <r>
    <s v="ORD0233"/>
    <x v="201"/>
    <x v="0"/>
    <x v="0"/>
    <n v="1500"/>
    <x v="3"/>
    <x v="1"/>
    <s v="Active"/>
    <x v="1"/>
    <s v="Oti"/>
    <n v="0"/>
    <x v="2"/>
    <n v="1500"/>
    <x v="1"/>
  </r>
  <r>
    <s v="ORD0234"/>
    <x v="202"/>
    <x v="1"/>
    <x v="1"/>
    <n v="5400"/>
    <x v="1"/>
    <x v="1"/>
    <s v="Active"/>
    <x v="1"/>
    <s v="Western"/>
    <n v="0.1"/>
    <x v="1"/>
    <n v="4860"/>
    <x v="1"/>
  </r>
  <r>
    <s v="ORD0235"/>
    <x v="203"/>
    <x v="0"/>
    <x v="0"/>
    <n v="1500"/>
    <x v="0"/>
    <x v="1"/>
    <s v="Cancelled"/>
    <x v="0"/>
    <s v="Upper East"/>
    <n v="0"/>
    <x v="3"/>
    <n v="1500"/>
    <x v="0"/>
  </r>
  <r>
    <s v="ORD0236"/>
    <x v="45"/>
    <x v="1"/>
    <x v="1"/>
    <n v="5400"/>
    <x v="3"/>
    <x v="2"/>
    <s v="Cancelled"/>
    <x v="0"/>
    <s v="Eastern"/>
    <n v="0.1"/>
    <x v="2"/>
    <n v="4860"/>
    <x v="0"/>
  </r>
  <r>
    <s v="ORD0237"/>
    <x v="53"/>
    <x v="0"/>
    <x v="1"/>
    <n v="16200"/>
    <x v="1"/>
    <x v="2"/>
    <s v="Cancelled"/>
    <x v="0"/>
    <s v="Central"/>
    <n v="0.1"/>
    <x v="0"/>
    <n v="14580"/>
    <x v="0"/>
  </r>
  <r>
    <s v="ORD0238"/>
    <x v="2"/>
    <x v="1"/>
    <x v="0"/>
    <n v="500"/>
    <x v="1"/>
    <x v="1"/>
    <s v="Active"/>
    <x v="1"/>
    <s v="Central"/>
    <n v="0"/>
    <x v="0"/>
    <n v="500"/>
    <x v="1"/>
  </r>
  <r>
    <s v="ORD0239"/>
    <x v="204"/>
    <x v="2"/>
    <x v="1"/>
    <n v="10800"/>
    <x v="0"/>
    <x v="1"/>
    <s v="Active"/>
    <x v="1"/>
    <s v="Greater Accra"/>
    <n v="0.1"/>
    <x v="0"/>
    <n v="9720"/>
    <x v="1"/>
  </r>
  <r>
    <s v="ORD0240"/>
    <x v="205"/>
    <x v="2"/>
    <x v="1"/>
    <n v="10800"/>
    <x v="0"/>
    <x v="1"/>
    <s v="Active"/>
    <x v="1"/>
    <s v="Upper East"/>
    <n v="0.1"/>
    <x v="3"/>
    <n v="9720"/>
    <x v="1"/>
  </r>
  <r>
    <s v="ORD0241"/>
    <x v="206"/>
    <x v="0"/>
    <x v="0"/>
    <n v="1500"/>
    <x v="2"/>
    <x v="0"/>
    <s v="Cancelled"/>
    <x v="0"/>
    <s v="Western"/>
    <n v="0"/>
    <x v="1"/>
    <n v="1500"/>
    <x v="0"/>
  </r>
  <r>
    <s v="ORD0242"/>
    <x v="207"/>
    <x v="2"/>
    <x v="0"/>
    <n v="1000"/>
    <x v="2"/>
    <x v="2"/>
    <s v="Cancelled"/>
    <x v="0"/>
    <s v="Western"/>
    <n v="0"/>
    <x v="1"/>
    <n v="1000"/>
    <x v="0"/>
  </r>
  <r>
    <s v="ORD0243"/>
    <x v="208"/>
    <x v="2"/>
    <x v="0"/>
    <n v="1000"/>
    <x v="2"/>
    <x v="1"/>
    <s v="Active"/>
    <x v="1"/>
    <s v="Western North"/>
    <n v="0"/>
    <x v="1"/>
    <n v="1000"/>
    <x v="1"/>
  </r>
  <r>
    <s v="ORD0244"/>
    <x v="37"/>
    <x v="2"/>
    <x v="1"/>
    <n v="10800"/>
    <x v="3"/>
    <x v="0"/>
    <s v="Cancelled"/>
    <x v="0"/>
    <s v="Western"/>
    <n v="0.1"/>
    <x v="1"/>
    <n v="9720"/>
    <x v="0"/>
  </r>
  <r>
    <s v="ORD0245"/>
    <x v="209"/>
    <x v="2"/>
    <x v="1"/>
    <n v="10800"/>
    <x v="3"/>
    <x v="1"/>
    <s v="Active"/>
    <x v="1"/>
    <s v="Eastern"/>
    <n v="0.1"/>
    <x v="2"/>
    <n v="9720"/>
    <x v="1"/>
  </r>
  <r>
    <s v="ORD0246"/>
    <x v="178"/>
    <x v="0"/>
    <x v="1"/>
    <n v="16200"/>
    <x v="2"/>
    <x v="2"/>
    <s v="Cancelled"/>
    <x v="0"/>
    <s v="Western North"/>
    <n v="0.1"/>
    <x v="1"/>
    <n v="14580"/>
    <x v="0"/>
  </r>
  <r>
    <s v="ORD0247"/>
    <x v="210"/>
    <x v="0"/>
    <x v="1"/>
    <n v="16200"/>
    <x v="2"/>
    <x v="1"/>
    <s v="Active"/>
    <x v="1"/>
    <s v="Western"/>
    <n v="0.1"/>
    <x v="1"/>
    <n v="14580"/>
    <x v="1"/>
  </r>
  <r>
    <s v="ORD0248"/>
    <x v="211"/>
    <x v="2"/>
    <x v="0"/>
    <n v="1000"/>
    <x v="0"/>
    <x v="0"/>
    <s v="Cancelled"/>
    <x v="0"/>
    <s v="Savannah"/>
    <n v="0"/>
    <x v="3"/>
    <n v="1000"/>
    <x v="0"/>
  </r>
  <r>
    <s v="ORD0249"/>
    <x v="93"/>
    <x v="2"/>
    <x v="1"/>
    <n v="10800"/>
    <x v="0"/>
    <x v="1"/>
    <s v="Active"/>
    <x v="1"/>
    <s v="Volta"/>
    <n v="0.1"/>
    <x v="2"/>
    <n v="9720"/>
    <x v="1"/>
  </r>
  <r>
    <s v="ORD0250"/>
    <x v="212"/>
    <x v="1"/>
    <x v="1"/>
    <n v="5400"/>
    <x v="3"/>
    <x v="1"/>
    <s v="Active"/>
    <x v="1"/>
    <s v="Ashanti"/>
    <n v="0.1"/>
    <x v="1"/>
    <n v="4860"/>
    <x v="1"/>
  </r>
  <r>
    <s v="ORD0251"/>
    <x v="213"/>
    <x v="0"/>
    <x v="1"/>
    <n v="16200"/>
    <x v="0"/>
    <x v="0"/>
    <s v="Cancelled"/>
    <x v="0"/>
    <s v="Upper East"/>
    <n v="0.1"/>
    <x v="3"/>
    <n v="14580"/>
    <x v="0"/>
  </r>
  <r>
    <s v="ORD0252"/>
    <x v="214"/>
    <x v="0"/>
    <x v="0"/>
    <n v="1500"/>
    <x v="2"/>
    <x v="2"/>
    <s v="Cancelled"/>
    <x v="0"/>
    <s v="Western"/>
    <n v="0"/>
    <x v="1"/>
    <n v="1500"/>
    <x v="0"/>
  </r>
  <r>
    <s v="ORD0253"/>
    <x v="135"/>
    <x v="2"/>
    <x v="0"/>
    <n v="1000"/>
    <x v="3"/>
    <x v="1"/>
    <s v="Active"/>
    <x v="1"/>
    <s v="Western"/>
    <n v="0"/>
    <x v="1"/>
    <n v="1000"/>
    <x v="1"/>
  </r>
  <r>
    <s v="ORD0254"/>
    <x v="215"/>
    <x v="1"/>
    <x v="0"/>
    <n v="500"/>
    <x v="2"/>
    <x v="0"/>
    <s v="Cancelled"/>
    <x v="0"/>
    <s v="Northern"/>
    <n v="0"/>
    <x v="3"/>
    <n v="500"/>
    <x v="0"/>
  </r>
  <r>
    <s v="ORD0255"/>
    <x v="216"/>
    <x v="2"/>
    <x v="1"/>
    <n v="10800"/>
    <x v="2"/>
    <x v="1"/>
    <s v="Cancelled"/>
    <x v="0"/>
    <s v="Bono"/>
    <n v="0.1"/>
    <x v="1"/>
    <n v="9720"/>
    <x v="0"/>
  </r>
  <r>
    <s v="ORD0256"/>
    <x v="217"/>
    <x v="2"/>
    <x v="1"/>
    <n v="10800"/>
    <x v="3"/>
    <x v="1"/>
    <s v="Active"/>
    <x v="1"/>
    <s v="Greater Accra"/>
    <n v="0.1"/>
    <x v="0"/>
    <n v="9720"/>
    <x v="1"/>
  </r>
  <r>
    <s v="ORD0257"/>
    <x v="218"/>
    <x v="1"/>
    <x v="0"/>
    <n v="500"/>
    <x v="2"/>
    <x v="2"/>
    <s v="Cancelled"/>
    <x v="0"/>
    <s v="Eastern"/>
    <n v="0"/>
    <x v="2"/>
    <n v="500"/>
    <x v="0"/>
  </r>
  <r>
    <s v="ORD0258"/>
    <x v="219"/>
    <x v="2"/>
    <x v="0"/>
    <n v="1000"/>
    <x v="2"/>
    <x v="1"/>
    <s v="Active"/>
    <x v="1"/>
    <s v="Western"/>
    <n v="0"/>
    <x v="1"/>
    <n v="1000"/>
    <x v="1"/>
  </r>
  <r>
    <s v="ORD0259"/>
    <x v="144"/>
    <x v="2"/>
    <x v="0"/>
    <n v="1000"/>
    <x v="3"/>
    <x v="1"/>
    <s v="Active"/>
    <x v="1"/>
    <s v="Ahafo"/>
    <n v="0"/>
    <x v="1"/>
    <n v="1000"/>
    <x v="1"/>
  </r>
  <r>
    <s v="ORD0260"/>
    <x v="220"/>
    <x v="2"/>
    <x v="1"/>
    <n v="10800"/>
    <x v="1"/>
    <x v="2"/>
    <s v="Active"/>
    <x v="1"/>
    <s v="Central"/>
    <n v="0.1"/>
    <x v="0"/>
    <n v="9720"/>
    <x v="1"/>
  </r>
  <r>
    <s v="ORD0261"/>
    <x v="221"/>
    <x v="1"/>
    <x v="1"/>
    <n v="5400"/>
    <x v="0"/>
    <x v="1"/>
    <s v="Cancelled"/>
    <x v="0"/>
    <s v="Ashanti"/>
    <n v="0.1"/>
    <x v="1"/>
    <n v="4860"/>
    <x v="0"/>
  </r>
  <r>
    <s v="ORD0262"/>
    <x v="222"/>
    <x v="1"/>
    <x v="1"/>
    <n v="5400"/>
    <x v="2"/>
    <x v="1"/>
    <s v="Cancelled"/>
    <x v="0"/>
    <s v="Western"/>
    <n v="0.1"/>
    <x v="1"/>
    <n v="4860"/>
    <x v="0"/>
  </r>
  <r>
    <s v="ORD0263"/>
    <x v="223"/>
    <x v="0"/>
    <x v="1"/>
    <n v="16200"/>
    <x v="1"/>
    <x v="1"/>
    <s v="Active"/>
    <x v="1"/>
    <s v="Ashanti"/>
    <n v="0.1"/>
    <x v="1"/>
    <n v="14580"/>
    <x v="1"/>
  </r>
  <r>
    <s v="ORD0264"/>
    <x v="54"/>
    <x v="2"/>
    <x v="0"/>
    <n v="1000"/>
    <x v="3"/>
    <x v="0"/>
    <s v="Cancelled"/>
    <x v="0"/>
    <s v="Ashanti"/>
    <n v="0"/>
    <x v="1"/>
    <n v="1000"/>
    <x v="0"/>
  </r>
  <r>
    <s v="ORD0265"/>
    <x v="224"/>
    <x v="0"/>
    <x v="0"/>
    <n v="1500"/>
    <x v="2"/>
    <x v="2"/>
    <s v="Cancelled"/>
    <x v="0"/>
    <s v="Northern"/>
    <n v="0"/>
    <x v="3"/>
    <n v="1500"/>
    <x v="0"/>
  </r>
  <r>
    <s v="ORD0266"/>
    <x v="225"/>
    <x v="2"/>
    <x v="1"/>
    <n v="10800"/>
    <x v="1"/>
    <x v="2"/>
    <s v="Cancelled"/>
    <x v="0"/>
    <s v="Western"/>
    <n v="0.1"/>
    <x v="1"/>
    <n v="9720"/>
    <x v="0"/>
  </r>
  <r>
    <s v="ORD0267"/>
    <x v="226"/>
    <x v="0"/>
    <x v="0"/>
    <n v="1500"/>
    <x v="3"/>
    <x v="0"/>
    <s v="Cancelled"/>
    <x v="0"/>
    <s v="Oti"/>
    <n v="0"/>
    <x v="2"/>
    <n v="1500"/>
    <x v="0"/>
  </r>
  <r>
    <s v="ORD0268"/>
    <x v="227"/>
    <x v="1"/>
    <x v="0"/>
    <n v="500"/>
    <x v="0"/>
    <x v="0"/>
    <s v="Cancelled"/>
    <x v="0"/>
    <s v="Volta"/>
    <n v="0"/>
    <x v="2"/>
    <n v="500"/>
    <x v="0"/>
  </r>
  <r>
    <s v="ORD0269"/>
    <x v="228"/>
    <x v="2"/>
    <x v="1"/>
    <n v="10800"/>
    <x v="3"/>
    <x v="1"/>
    <s v="Cancelled"/>
    <x v="0"/>
    <s v="Oti"/>
    <n v="0.1"/>
    <x v="2"/>
    <n v="9720"/>
    <x v="0"/>
  </r>
  <r>
    <s v="ORD0270"/>
    <x v="229"/>
    <x v="1"/>
    <x v="0"/>
    <n v="500"/>
    <x v="1"/>
    <x v="1"/>
    <s v="Cancelled"/>
    <x v="0"/>
    <s v="Ashanti"/>
    <n v="0"/>
    <x v="1"/>
    <n v="500"/>
    <x v="0"/>
  </r>
  <r>
    <s v="ORD0271"/>
    <x v="14"/>
    <x v="0"/>
    <x v="1"/>
    <n v="16200"/>
    <x v="1"/>
    <x v="1"/>
    <s v="Active"/>
    <x v="1"/>
    <s v="Central"/>
    <n v="0.1"/>
    <x v="0"/>
    <n v="14580"/>
    <x v="1"/>
  </r>
  <r>
    <s v="ORD0272"/>
    <x v="230"/>
    <x v="1"/>
    <x v="0"/>
    <n v="500"/>
    <x v="2"/>
    <x v="1"/>
    <s v="Active"/>
    <x v="1"/>
    <s v="Western"/>
    <n v="0"/>
    <x v="1"/>
    <n v="500"/>
    <x v="1"/>
  </r>
  <r>
    <s v="ORD0273"/>
    <x v="231"/>
    <x v="1"/>
    <x v="0"/>
    <n v="500"/>
    <x v="2"/>
    <x v="0"/>
    <s v="Cancelled"/>
    <x v="0"/>
    <s v="Western"/>
    <n v="0"/>
    <x v="1"/>
    <n v="500"/>
    <x v="0"/>
  </r>
  <r>
    <s v="ORD0274"/>
    <x v="232"/>
    <x v="1"/>
    <x v="0"/>
    <n v="500"/>
    <x v="0"/>
    <x v="2"/>
    <s v="Cancelled"/>
    <x v="0"/>
    <s v="Ashanti"/>
    <n v="0"/>
    <x v="1"/>
    <n v="500"/>
    <x v="0"/>
  </r>
  <r>
    <s v="ORD0275"/>
    <x v="153"/>
    <x v="2"/>
    <x v="1"/>
    <n v="10800"/>
    <x v="1"/>
    <x v="0"/>
    <s v="Cancelled"/>
    <x v="0"/>
    <s v="Central"/>
    <n v="0.1"/>
    <x v="0"/>
    <n v="9720"/>
    <x v="0"/>
  </r>
  <r>
    <s v="ORD0276"/>
    <x v="233"/>
    <x v="0"/>
    <x v="0"/>
    <n v="1500"/>
    <x v="0"/>
    <x v="0"/>
    <s v="Cancelled"/>
    <x v="0"/>
    <s v="Volta"/>
    <n v="0"/>
    <x v="2"/>
    <n v="1500"/>
    <x v="0"/>
  </r>
  <r>
    <s v="ORD0277"/>
    <x v="54"/>
    <x v="1"/>
    <x v="0"/>
    <n v="500"/>
    <x v="1"/>
    <x v="1"/>
    <s v="Cancelled"/>
    <x v="0"/>
    <s v="Central"/>
    <n v="0"/>
    <x v="0"/>
    <n v="500"/>
    <x v="0"/>
  </r>
  <r>
    <s v="ORD0278"/>
    <x v="234"/>
    <x v="1"/>
    <x v="1"/>
    <n v="5400"/>
    <x v="0"/>
    <x v="1"/>
    <s v="Active"/>
    <x v="1"/>
    <s v="Savannah"/>
    <n v="0.1"/>
    <x v="3"/>
    <n v="4860"/>
    <x v="1"/>
  </r>
  <r>
    <s v="ORD0279"/>
    <x v="164"/>
    <x v="2"/>
    <x v="1"/>
    <n v="10800"/>
    <x v="1"/>
    <x v="1"/>
    <s v="Cancelled"/>
    <x v="0"/>
    <s v="Central"/>
    <n v="0.1"/>
    <x v="0"/>
    <n v="9720"/>
    <x v="0"/>
  </r>
  <r>
    <s v="ORD0280"/>
    <x v="87"/>
    <x v="1"/>
    <x v="0"/>
    <n v="500"/>
    <x v="2"/>
    <x v="2"/>
    <s v="Active"/>
    <x v="1"/>
    <s v="Western"/>
    <n v="0"/>
    <x v="1"/>
    <n v="500"/>
    <x v="1"/>
  </r>
  <r>
    <s v="ORD0281"/>
    <x v="235"/>
    <x v="0"/>
    <x v="0"/>
    <n v="1500"/>
    <x v="2"/>
    <x v="0"/>
    <s v="Cancelled"/>
    <x v="0"/>
    <s v="Eastern"/>
    <n v="0"/>
    <x v="2"/>
    <n v="1500"/>
    <x v="0"/>
  </r>
  <r>
    <s v="ORD0282"/>
    <x v="150"/>
    <x v="0"/>
    <x v="0"/>
    <n v="1500"/>
    <x v="3"/>
    <x v="0"/>
    <s v="Cancelled"/>
    <x v="0"/>
    <s v="Ashanti"/>
    <n v="0"/>
    <x v="1"/>
    <n v="1500"/>
    <x v="0"/>
  </r>
  <r>
    <s v="ORD0283"/>
    <x v="236"/>
    <x v="1"/>
    <x v="0"/>
    <n v="500"/>
    <x v="2"/>
    <x v="1"/>
    <s v="Active"/>
    <x v="1"/>
    <s v="Western"/>
    <n v="0"/>
    <x v="1"/>
    <n v="500"/>
    <x v="1"/>
  </r>
  <r>
    <s v="ORD0284"/>
    <x v="237"/>
    <x v="2"/>
    <x v="0"/>
    <n v="1000"/>
    <x v="1"/>
    <x v="1"/>
    <s v="Cancelled"/>
    <x v="0"/>
    <s v="Central"/>
    <n v="0"/>
    <x v="0"/>
    <n v="1000"/>
    <x v="0"/>
  </r>
  <r>
    <s v="ORD0285"/>
    <x v="238"/>
    <x v="1"/>
    <x v="1"/>
    <n v="5400"/>
    <x v="2"/>
    <x v="2"/>
    <s v="Active"/>
    <x v="1"/>
    <s v="Western"/>
    <n v="0.1"/>
    <x v="1"/>
    <n v="4860"/>
    <x v="1"/>
  </r>
  <r>
    <s v="ORD0286"/>
    <x v="137"/>
    <x v="0"/>
    <x v="1"/>
    <n v="16200"/>
    <x v="0"/>
    <x v="1"/>
    <s v="Active"/>
    <x v="1"/>
    <s v="Upper East"/>
    <n v="0.1"/>
    <x v="3"/>
    <n v="14580"/>
    <x v="1"/>
  </r>
  <r>
    <s v="ORD0287"/>
    <x v="36"/>
    <x v="1"/>
    <x v="0"/>
    <n v="500"/>
    <x v="1"/>
    <x v="0"/>
    <s v="Cancelled"/>
    <x v="0"/>
    <s v="Western"/>
    <n v="0"/>
    <x v="1"/>
    <n v="500"/>
    <x v="0"/>
  </r>
  <r>
    <s v="ORD0288"/>
    <x v="239"/>
    <x v="1"/>
    <x v="1"/>
    <n v="5400"/>
    <x v="3"/>
    <x v="1"/>
    <s v="Active"/>
    <x v="1"/>
    <s v="Ahafo"/>
    <n v="0.1"/>
    <x v="1"/>
    <n v="4860"/>
    <x v="1"/>
  </r>
  <r>
    <s v="ORD0289"/>
    <x v="240"/>
    <x v="1"/>
    <x v="0"/>
    <n v="500"/>
    <x v="3"/>
    <x v="2"/>
    <s v="Active"/>
    <x v="1"/>
    <s v="Greater Accra"/>
    <n v="0"/>
    <x v="0"/>
    <n v="500"/>
    <x v="1"/>
  </r>
  <r>
    <s v="ORD0290"/>
    <x v="241"/>
    <x v="0"/>
    <x v="1"/>
    <n v="16200"/>
    <x v="1"/>
    <x v="1"/>
    <s v="Active"/>
    <x v="1"/>
    <s v="Central"/>
    <n v="0.1"/>
    <x v="0"/>
    <n v="14580"/>
    <x v="1"/>
  </r>
  <r>
    <s v="ORD0291"/>
    <x v="242"/>
    <x v="1"/>
    <x v="0"/>
    <n v="500"/>
    <x v="0"/>
    <x v="2"/>
    <s v="Active"/>
    <x v="1"/>
    <s v="Volta"/>
    <n v="0"/>
    <x v="2"/>
    <n v="500"/>
    <x v="1"/>
  </r>
  <r>
    <s v="ORD0292"/>
    <x v="243"/>
    <x v="1"/>
    <x v="0"/>
    <n v="500"/>
    <x v="3"/>
    <x v="2"/>
    <s v="Active"/>
    <x v="1"/>
    <s v="Greater Accra"/>
    <n v="0"/>
    <x v="0"/>
    <n v="500"/>
    <x v="1"/>
  </r>
  <r>
    <s v="ORD0293"/>
    <x v="244"/>
    <x v="1"/>
    <x v="1"/>
    <n v="5400"/>
    <x v="3"/>
    <x v="1"/>
    <s v="Active"/>
    <x v="1"/>
    <s v="Ashanti"/>
    <n v="0.1"/>
    <x v="1"/>
    <n v="4860"/>
    <x v="1"/>
  </r>
  <r>
    <s v="ORD0294"/>
    <x v="203"/>
    <x v="2"/>
    <x v="1"/>
    <n v="10800"/>
    <x v="2"/>
    <x v="2"/>
    <s v="Active"/>
    <x v="1"/>
    <s v="Western North"/>
    <n v="0.1"/>
    <x v="1"/>
    <n v="9720"/>
    <x v="1"/>
  </r>
  <r>
    <s v="ORD0295"/>
    <x v="161"/>
    <x v="2"/>
    <x v="1"/>
    <n v="10800"/>
    <x v="2"/>
    <x v="1"/>
    <s v="Active"/>
    <x v="1"/>
    <s v="Western"/>
    <n v="0.1"/>
    <x v="1"/>
    <n v="9720"/>
    <x v="1"/>
  </r>
  <r>
    <s v="ORD0296"/>
    <x v="9"/>
    <x v="2"/>
    <x v="0"/>
    <n v="1000"/>
    <x v="3"/>
    <x v="0"/>
    <s v="Cancelled"/>
    <x v="0"/>
    <s v="Eastern"/>
    <n v="0"/>
    <x v="2"/>
    <n v="1000"/>
    <x v="0"/>
  </r>
  <r>
    <s v="ORD0297"/>
    <x v="137"/>
    <x v="2"/>
    <x v="1"/>
    <n v="10800"/>
    <x v="1"/>
    <x v="1"/>
    <s v="Active"/>
    <x v="1"/>
    <s v="Greater Accra"/>
    <n v="0.1"/>
    <x v="0"/>
    <n v="9720"/>
    <x v="1"/>
  </r>
  <r>
    <s v="ORD0298"/>
    <x v="245"/>
    <x v="0"/>
    <x v="0"/>
    <n v="1500"/>
    <x v="3"/>
    <x v="2"/>
    <s v="Cancelled"/>
    <x v="0"/>
    <s v="Greater Accra"/>
    <n v="0"/>
    <x v="0"/>
    <n v="1500"/>
    <x v="0"/>
  </r>
  <r>
    <s v="ORD0299"/>
    <x v="246"/>
    <x v="1"/>
    <x v="1"/>
    <n v="5400"/>
    <x v="0"/>
    <x v="1"/>
    <s v="Active"/>
    <x v="1"/>
    <s v="Volta"/>
    <n v="0.1"/>
    <x v="2"/>
    <n v="4860"/>
    <x v="1"/>
  </r>
  <r>
    <s v="ORD0300"/>
    <x v="224"/>
    <x v="0"/>
    <x v="0"/>
    <n v="1500"/>
    <x v="1"/>
    <x v="2"/>
    <s v="Cancelled"/>
    <x v="0"/>
    <s v="Central"/>
    <n v="0"/>
    <x v="0"/>
    <n v="1500"/>
    <x v="0"/>
  </r>
  <r>
    <s v="ORD0301"/>
    <x v="247"/>
    <x v="1"/>
    <x v="1"/>
    <n v="5400"/>
    <x v="3"/>
    <x v="1"/>
    <s v="Active"/>
    <x v="1"/>
    <s v="Ashanti"/>
    <n v="0.1"/>
    <x v="1"/>
    <n v="4860"/>
    <x v="1"/>
  </r>
  <r>
    <s v="ORD0302"/>
    <x v="248"/>
    <x v="2"/>
    <x v="1"/>
    <n v="10800"/>
    <x v="0"/>
    <x v="2"/>
    <s v="Active"/>
    <x v="1"/>
    <s v="Volta"/>
    <n v="0.1"/>
    <x v="2"/>
    <n v="9720"/>
    <x v="1"/>
  </r>
  <r>
    <s v="ORD0303"/>
    <x v="249"/>
    <x v="2"/>
    <x v="0"/>
    <n v="1000"/>
    <x v="3"/>
    <x v="1"/>
    <s v="Cancelled"/>
    <x v="0"/>
    <s v="Greater Accra"/>
    <n v="0"/>
    <x v="0"/>
    <n v="1000"/>
    <x v="0"/>
  </r>
  <r>
    <s v="ORD0304"/>
    <x v="250"/>
    <x v="2"/>
    <x v="0"/>
    <n v="1000"/>
    <x v="3"/>
    <x v="2"/>
    <s v="Active"/>
    <x v="1"/>
    <s v="Oti"/>
    <n v="0"/>
    <x v="2"/>
    <n v="1000"/>
    <x v="1"/>
  </r>
  <r>
    <s v="ORD0305"/>
    <x v="251"/>
    <x v="0"/>
    <x v="1"/>
    <n v="16200"/>
    <x v="3"/>
    <x v="2"/>
    <s v="Active"/>
    <x v="1"/>
    <s v="Ashanti"/>
    <n v="0.1"/>
    <x v="1"/>
    <n v="14580"/>
    <x v="1"/>
  </r>
  <r>
    <s v="ORD0306"/>
    <x v="156"/>
    <x v="0"/>
    <x v="1"/>
    <n v="16200"/>
    <x v="0"/>
    <x v="1"/>
    <s v="Active"/>
    <x v="1"/>
    <s v="Volta"/>
    <n v="0.1"/>
    <x v="2"/>
    <n v="14580"/>
    <x v="1"/>
  </r>
  <r>
    <s v="ORD0307"/>
    <x v="252"/>
    <x v="2"/>
    <x v="1"/>
    <n v="10800"/>
    <x v="0"/>
    <x v="0"/>
    <s v="Cancelled"/>
    <x v="0"/>
    <s v="Ashanti"/>
    <n v="0.1"/>
    <x v="1"/>
    <n v="9720"/>
    <x v="0"/>
  </r>
  <r>
    <s v="ORD0308"/>
    <x v="253"/>
    <x v="2"/>
    <x v="0"/>
    <n v="1000"/>
    <x v="2"/>
    <x v="1"/>
    <s v="Active"/>
    <x v="1"/>
    <s v="Western"/>
    <n v="0"/>
    <x v="1"/>
    <n v="1000"/>
    <x v="1"/>
  </r>
  <r>
    <s v="ORD0309"/>
    <x v="254"/>
    <x v="0"/>
    <x v="0"/>
    <n v="1500"/>
    <x v="2"/>
    <x v="2"/>
    <s v="Active"/>
    <x v="1"/>
    <s v="Western"/>
    <n v="0"/>
    <x v="1"/>
    <n v="1500"/>
    <x v="1"/>
  </r>
  <r>
    <s v="ORD0310"/>
    <x v="255"/>
    <x v="0"/>
    <x v="1"/>
    <n v="16200"/>
    <x v="2"/>
    <x v="2"/>
    <s v="Cancelled"/>
    <x v="0"/>
    <s v="Bono"/>
    <n v="0.1"/>
    <x v="1"/>
    <n v="14580"/>
    <x v="0"/>
  </r>
  <r>
    <s v="ORD0311"/>
    <x v="211"/>
    <x v="2"/>
    <x v="0"/>
    <n v="1000"/>
    <x v="0"/>
    <x v="1"/>
    <s v="Active"/>
    <x v="1"/>
    <s v="Upper East"/>
    <n v="0"/>
    <x v="3"/>
    <n v="1000"/>
    <x v="1"/>
  </r>
  <r>
    <s v="ORD0312"/>
    <x v="256"/>
    <x v="2"/>
    <x v="1"/>
    <n v="10800"/>
    <x v="0"/>
    <x v="2"/>
    <s v="Active"/>
    <x v="1"/>
    <s v="Greater Accra"/>
    <n v="0.1"/>
    <x v="0"/>
    <n v="9720"/>
    <x v="1"/>
  </r>
  <r>
    <s v="ORD0313"/>
    <x v="257"/>
    <x v="1"/>
    <x v="0"/>
    <n v="500"/>
    <x v="2"/>
    <x v="1"/>
    <s v="Active"/>
    <x v="1"/>
    <s v="Northern"/>
    <n v="0"/>
    <x v="3"/>
    <n v="500"/>
    <x v="1"/>
  </r>
  <r>
    <s v="ORD0314"/>
    <x v="188"/>
    <x v="2"/>
    <x v="1"/>
    <n v="10800"/>
    <x v="1"/>
    <x v="1"/>
    <s v="Active"/>
    <x v="1"/>
    <s v="Greater Accra"/>
    <n v="0.1"/>
    <x v="0"/>
    <n v="9720"/>
    <x v="1"/>
  </r>
  <r>
    <s v="ORD0315"/>
    <x v="76"/>
    <x v="0"/>
    <x v="1"/>
    <n v="16200"/>
    <x v="0"/>
    <x v="2"/>
    <s v="Cancelled"/>
    <x v="0"/>
    <s v="Savannah"/>
    <n v="0.1"/>
    <x v="3"/>
    <n v="14580"/>
    <x v="0"/>
  </r>
  <r>
    <s v="ORD0316"/>
    <x v="258"/>
    <x v="0"/>
    <x v="0"/>
    <n v="1500"/>
    <x v="2"/>
    <x v="0"/>
    <s v="Cancelled"/>
    <x v="0"/>
    <s v="Eastern"/>
    <n v="0"/>
    <x v="2"/>
    <n v="1500"/>
    <x v="0"/>
  </r>
  <r>
    <s v="ORD0317"/>
    <x v="259"/>
    <x v="2"/>
    <x v="0"/>
    <n v="1000"/>
    <x v="1"/>
    <x v="2"/>
    <s v="Cancelled"/>
    <x v="0"/>
    <s v="Ashanti"/>
    <n v="0"/>
    <x v="1"/>
    <n v="1000"/>
    <x v="0"/>
  </r>
  <r>
    <s v="ORD0318"/>
    <x v="56"/>
    <x v="2"/>
    <x v="1"/>
    <n v="10800"/>
    <x v="3"/>
    <x v="0"/>
    <s v="Cancelled"/>
    <x v="0"/>
    <s v="Ahafo"/>
    <n v="0.1"/>
    <x v="1"/>
    <n v="9720"/>
    <x v="0"/>
  </r>
  <r>
    <s v="ORD0319"/>
    <x v="260"/>
    <x v="1"/>
    <x v="1"/>
    <n v="5400"/>
    <x v="2"/>
    <x v="2"/>
    <s v="Active"/>
    <x v="1"/>
    <s v="Western"/>
    <n v="0.1"/>
    <x v="1"/>
    <n v="4860"/>
    <x v="1"/>
  </r>
  <r>
    <s v="ORD0320"/>
    <x v="261"/>
    <x v="1"/>
    <x v="1"/>
    <n v="5400"/>
    <x v="0"/>
    <x v="1"/>
    <s v="Active"/>
    <x v="1"/>
    <s v="Upper East"/>
    <n v="0.1"/>
    <x v="3"/>
    <n v="4860"/>
    <x v="1"/>
  </r>
  <r>
    <s v="ORD0321"/>
    <x v="262"/>
    <x v="1"/>
    <x v="1"/>
    <n v="5400"/>
    <x v="2"/>
    <x v="1"/>
    <s v="Active"/>
    <x v="1"/>
    <s v="Northern"/>
    <n v="0.1"/>
    <x v="3"/>
    <n v="4860"/>
    <x v="1"/>
  </r>
  <r>
    <s v="ORD0322"/>
    <x v="263"/>
    <x v="1"/>
    <x v="1"/>
    <n v="5400"/>
    <x v="1"/>
    <x v="2"/>
    <s v="Cancelled"/>
    <x v="0"/>
    <s v="Central"/>
    <n v="0.1"/>
    <x v="0"/>
    <n v="4860"/>
    <x v="0"/>
  </r>
  <r>
    <s v="ORD0323"/>
    <x v="3"/>
    <x v="0"/>
    <x v="1"/>
    <n v="16200"/>
    <x v="1"/>
    <x v="2"/>
    <s v="Cancelled"/>
    <x v="0"/>
    <s v="Ashanti"/>
    <n v="0.1"/>
    <x v="1"/>
    <n v="14580"/>
    <x v="0"/>
  </r>
  <r>
    <s v="ORD0324"/>
    <x v="233"/>
    <x v="1"/>
    <x v="0"/>
    <n v="500"/>
    <x v="1"/>
    <x v="1"/>
    <s v="Active"/>
    <x v="1"/>
    <s v="Central"/>
    <n v="0"/>
    <x v="0"/>
    <n v="500"/>
    <x v="1"/>
  </r>
  <r>
    <s v="ORD0325"/>
    <x v="132"/>
    <x v="0"/>
    <x v="1"/>
    <n v="16200"/>
    <x v="2"/>
    <x v="0"/>
    <s v="Cancelled"/>
    <x v="0"/>
    <s v="Western"/>
    <n v="0.1"/>
    <x v="1"/>
    <n v="14580"/>
    <x v="0"/>
  </r>
  <r>
    <s v="ORD0326"/>
    <x v="264"/>
    <x v="2"/>
    <x v="0"/>
    <n v="1000"/>
    <x v="0"/>
    <x v="1"/>
    <s v="Cancelled"/>
    <x v="0"/>
    <s v="Volta"/>
    <n v="0"/>
    <x v="2"/>
    <n v="1000"/>
    <x v="0"/>
  </r>
  <r>
    <s v="ORD0327"/>
    <x v="170"/>
    <x v="0"/>
    <x v="0"/>
    <n v="1500"/>
    <x v="0"/>
    <x v="2"/>
    <s v="Active"/>
    <x v="1"/>
    <s v="Savannah"/>
    <n v="0"/>
    <x v="3"/>
    <n v="1500"/>
    <x v="1"/>
  </r>
  <r>
    <s v="ORD0328"/>
    <x v="8"/>
    <x v="1"/>
    <x v="1"/>
    <n v="5400"/>
    <x v="3"/>
    <x v="1"/>
    <s v="Cancelled"/>
    <x v="0"/>
    <s v="Greater Accra"/>
    <n v="0.1"/>
    <x v="0"/>
    <n v="4860"/>
    <x v="0"/>
  </r>
  <r>
    <s v="ORD0329"/>
    <x v="265"/>
    <x v="2"/>
    <x v="0"/>
    <n v="1000"/>
    <x v="2"/>
    <x v="1"/>
    <s v="Active"/>
    <x v="1"/>
    <s v="Western"/>
    <n v="0"/>
    <x v="1"/>
    <n v="1000"/>
    <x v="1"/>
  </r>
  <r>
    <s v="ORD0330"/>
    <x v="266"/>
    <x v="0"/>
    <x v="1"/>
    <n v="16200"/>
    <x v="3"/>
    <x v="2"/>
    <s v="Active"/>
    <x v="1"/>
    <s v="Oti"/>
    <n v="0.1"/>
    <x v="2"/>
    <n v="14580"/>
    <x v="1"/>
  </r>
  <r>
    <s v="ORD0331"/>
    <x v="140"/>
    <x v="0"/>
    <x v="1"/>
    <n v="16200"/>
    <x v="3"/>
    <x v="0"/>
    <s v="Cancelled"/>
    <x v="0"/>
    <s v="Oti"/>
    <n v="0.1"/>
    <x v="2"/>
    <n v="14580"/>
    <x v="0"/>
  </r>
  <r>
    <s v="ORD0332"/>
    <x v="267"/>
    <x v="1"/>
    <x v="0"/>
    <n v="500"/>
    <x v="1"/>
    <x v="1"/>
    <s v="Active"/>
    <x v="1"/>
    <s v="Greater Accra"/>
    <n v="0"/>
    <x v="0"/>
    <n v="500"/>
    <x v="1"/>
  </r>
  <r>
    <s v="ORD0333"/>
    <x v="111"/>
    <x v="0"/>
    <x v="1"/>
    <n v="16200"/>
    <x v="2"/>
    <x v="0"/>
    <s v="Cancelled"/>
    <x v="0"/>
    <s v="Northern"/>
    <n v="0.1"/>
    <x v="3"/>
    <n v="14580"/>
    <x v="0"/>
  </r>
  <r>
    <s v="ORD0334"/>
    <x v="196"/>
    <x v="2"/>
    <x v="1"/>
    <n v="10800"/>
    <x v="2"/>
    <x v="1"/>
    <s v="Cancelled"/>
    <x v="0"/>
    <s v="Bono"/>
    <n v="0.1"/>
    <x v="1"/>
    <n v="9720"/>
    <x v="0"/>
  </r>
  <r>
    <s v="ORD0335"/>
    <x v="268"/>
    <x v="1"/>
    <x v="1"/>
    <n v="5400"/>
    <x v="2"/>
    <x v="2"/>
    <s v="Cancelled"/>
    <x v="0"/>
    <s v="Western North"/>
    <n v="0.1"/>
    <x v="1"/>
    <n v="4860"/>
    <x v="0"/>
  </r>
  <r>
    <s v="ORD0336"/>
    <x v="269"/>
    <x v="0"/>
    <x v="1"/>
    <n v="16200"/>
    <x v="0"/>
    <x v="2"/>
    <s v="Cancelled"/>
    <x v="0"/>
    <s v="Ashanti"/>
    <n v="0.1"/>
    <x v="1"/>
    <n v="14580"/>
    <x v="0"/>
  </r>
  <r>
    <s v="ORD0337"/>
    <x v="270"/>
    <x v="1"/>
    <x v="1"/>
    <n v="5400"/>
    <x v="0"/>
    <x v="2"/>
    <s v="Cancelled"/>
    <x v="0"/>
    <s v="Savannah"/>
    <n v="0.1"/>
    <x v="3"/>
    <n v="4860"/>
    <x v="0"/>
  </r>
  <r>
    <s v="ORD0338"/>
    <x v="271"/>
    <x v="2"/>
    <x v="0"/>
    <n v="1000"/>
    <x v="3"/>
    <x v="0"/>
    <s v="Cancelled"/>
    <x v="0"/>
    <s v="Ashanti"/>
    <n v="0"/>
    <x v="1"/>
    <n v="1000"/>
    <x v="0"/>
  </r>
  <r>
    <s v="ORD0339"/>
    <x v="272"/>
    <x v="0"/>
    <x v="0"/>
    <n v="1500"/>
    <x v="3"/>
    <x v="2"/>
    <s v="Active"/>
    <x v="1"/>
    <s v="Western"/>
    <n v="0"/>
    <x v="1"/>
    <n v="1500"/>
    <x v="1"/>
  </r>
  <r>
    <s v="ORD0340"/>
    <x v="90"/>
    <x v="1"/>
    <x v="0"/>
    <n v="500"/>
    <x v="1"/>
    <x v="1"/>
    <s v="Active"/>
    <x v="1"/>
    <s v="Central"/>
    <n v="0"/>
    <x v="0"/>
    <n v="500"/>
    <x v="1"/>
  </r>
  <r>
    <s v="ORD0341"/>
    <x v="273"/>
    <x v="1"/>
    <x v="1"/>
    <n v="5400"/>
    <x v="2"/>
    <x v="1"/>
    <s v="Active"/>
    <x v="1"/>
    <s v="Western"/>
    <n v="0.1"/>
    <x v="1"/>
    <n v="4860"/>
    <x v="1"/>
  </r>
  <r>
    <s v="ORD0342"/>
    <x v="99"/>
    <x v="0"/>
    <x v="0"/>
    <n v="1500"/>
    <x v="3"/>
    <x v="0"/>
    <s v="Cancelled"/>
    <x v="0"/>
    <s v="Ashanti"/>
    <n v="0"/>
    <x v="1"/>
    <n v="1500"/>
    <x v="0"/>
  </r>
  <r>
    <s v="ORD0343"/>
    <x v="138"/>
    <x v="1"/>
    <x v="0"/>
    <n v="500"/>
    <x v="2"/>
    <x v="2"/>
    <s v="Cancelled"/>
    <x v="0"/>
    <s v="Northern"/>
    <n v="0"/>
    <x v="3"/>
    <n v="500"/>
    <x v="0"/>
  </r>
  <r>
    <s v="ORD0344"/>
    <x v="142"/>
    <x v="2"/>
    <x v="1"/>
    <n v="10800"/>
    <x v="0"/>
    <x v="2"/>
    <s v="Cancelled"/>
    <x v="0"/>
    <s v="Volta"/>
    <n v="0.1"/>
    <x v="2"/>
    <n v="9720"/>
    <x v="0"/>
  </r>
  <r>
    <s v="ORD0345"/>
    <x v="274"/>
    <x v="2"/>
    <x v="0"/>
    <n v="1000"/>
    <x v="3"/>
    <x v="1"/>
    <s v="Cancelled"/>
    <x v="0"/>
    <s v="Ahafo"/>
    <n v="0"/>
    <x v="1"/>
    <n v="1000"/>
    <x v="0"/>
  </r>
  <r>
    <s v="ORD0346"/>
    <x v="275"/>
    <x v="1"/>
    <x v="1"/>
    <n v="5400"/>
    <x v="2"/>
    <x v="2"/>
    <s v="Active"/>
    <x v="1"/>
    <s v="Western"/>
    <n v="0.1"/>
    <x v="1"/>
    <n v="4860"/>
    <x v="1"/>
  </r>
  <r>
    <s v="ORD0347"/>
    <x v="276"/>
    <x v="0"/>
    <x v="0"/>
    <n v="1500"/>
    <x v="2"/>
    <x v="2"/>
    <s v="Active"/>
    <x v="1"/>
    <s v="Western"/>
    <n v="0"/>
    <x v="1"/>
    <n v="1500"/>
    <x v="1"/>
  </r>
  <r>
    <s v="ORD0348"/>
    <x v="30"/>
    <x v="1"/>
    <x v="1"/>
    <n v="5400"/>
    <x v="3"/>
    <x v="2"/>
    <s v="Cancelled"/>
    <x v="0"/>
    <s v="Ahafo"/>
    <n v="0.1"/>
    <x v="1"/>
    <n v="4860"/>
    <x v="0"/>
  </r>
  <r>
    <s v="ORD0349"/>
    <x v="277"/>
    <x v="2"/>
    <x v="0"/>
    <n v="1000"/>
    <x v="2"/>
    <x v="2"/>
    <s v="Cancelled"/>
    <x v="0"/>
    <s v="Western"/>
    <n v="0"/>
    <x v="1"/>
    <n v="1000"/>
    <x v="0"/>
  </r>
  <r>
    <s v="ORD0350"/>
    <x v="278"/>
    <x v="2"/>
    <x v="1"/>
    <n v="10800"/>
    <x v="2"/>
    <x v="0"/>
    <s v="Cancelled"/>
    <x v="0"/>
    <s v="Western"/>
    <n v="0.1"/>
    <x v="1"/>
    <n v="9720"/>
    <x v="0"/>
  </r>
  <r>
    <s v="ORD0351"/>
    <x v="279"/>
    <x v="1"/>
    <x v="0"/>
    <n v="500"/>
    <x v="3"/>
    <x v="1"/>
    <s v="Active"/>
    <x v="1"/>
    <s v="Ahafo"/>
    <n v="0"/>
    <x v="1"/>
    <n v="500"/>
    <x v="1"/>
  </r>
  <r>
    <s v="ORD0352"/>
    <x v="254"/>
    <x v="1"/>
    <x v="1"/>
    <n v="5400"/>
    <x v="2"/>
    <x v="1"/>
    <s v="Active"/>
    <x v="1"/>
    <s v="Western"/>
    <n v="0.1"/>
    <x v="1"/>
    <n v="4860"/>
    <x v="1"/>
  </r>
  <r>
    <s v="ORD0353"/>
    <x v="176"/>
    <x v="1"/>
    <x v="1"/>
    <n v="5400"/>
    <x v="0"/>
    <x v="1"/>
    <s v="Cancelled"/>
    <x v="0"/>
    <s v="Upper East"/>
    <n v="0.1"/>
    <x v="3"/>
    <n v="4860"/>
    <x v="0"/>
  </r>
  <r>
    <s v="ORD0354"/>
    <x v="18"/>
    <x v="2"/>
    <x v="1"/>
    <n v="10800"/>
    <x v="0"/>
    <x v="1"/>
    <s v="Active"/>
    <x v="1"/>
    <s v="Ashanti"/>
    <n v="0.1"/>
    <x v="1"/>
    <n v="9720"/>
    <x v="1"/>
  </r>
  <r>
    <s v="ORD0355"/>
    <x v="280"/>
    <x v="2"/>
    <x v="0"/>
    <n v="1000"/>
    <x v="3"/>
    <x v="1"/>
    <s v="Cancelled"/>
    <x v="0"/>
    <s v="Ahafo"/>
    <n v="0"/>
    <x v="1"/>
    <n v="1000"/>
    <x v="0"/>
  </r>
  <r>
    <s v="ORD0356"/>
    <x v="281"/>
    <x v="2"/>
    <x v="0"/>
    <n v="1000"/>
    <x v="1"/>
    <x v="1"/>
    <s v="Active"/>
    <x v="1"/>
    <s v="Greater Accra"/>
    <n v="0"/>
    <x v="0"/>
    <n v="1000"/>
    <x v="1"/>
  </r>
  <r>
    <s v="ORD0357"/>
    <x v="228"/>
    <x v="2"/>
    <x v="0"/>
    <n v="1000"/>
    <x v="0"/>
    <x v="2"/>
    <s v="Active"/>
    <x v="1"/>
    <s v="Volta"/>
    <n v="0"/>
    <x v="2"/>
    <n v="1000"/>
    <x v="1"/>
  </r>
  <r>
    <s v="ORD0358"/>
    <x v="93"/>
    <x v="2"/>
    <x v="1"/>
    <n v="10800"/>
    <x v="1"/>
    <x v="0"/>
    <s v="Cancelled"/>
    <x v="0"/>
    <s v="Central"/>
    <n v="0.1"/>
    <x v="0"/>
    <n v="9720"/>
    <x v="0"/>
  </r>
  <r>
    <s v="ORD0359"/>
    <x v="282"/>
    <x v="2"/>
    <x v="0"/>
    <n v="1000"/>
    <x v="0"/>
    <x v="1"/>
    <s v="Active"/>
    <x v="1"/>
    <s v="Upper East"/>
    <n v="0"/>
    <x v="3"/>
    <n v="1000"/>
    <x v="1"/>
  </r>
  <r>
    <s v="ORD0360"/>
    <x v="50"/>
    <x v="2"/>
    <x v="1"/>
    <n v="10800"/>
    <x v="2"/>
    <x v="0"/>
    <s v="Cancelled"/>
    <x v="0"/>
    <s v="Eastern"/>
    <n v="0.1"/>
    <x v="2"/>
    <n v="9720"/>
    <x v="0"/>
  </r>
  <r>
    <s v="ORD0361"/>
    <x v="283"/>
    <x v="2"/>
    <x v="0"/>
    <n v="1000"/>
    <x v="2"/>
    <x v="1"/>
    <s v="Cancelled"/>
    <x v="0"/>
    <s v="Eastern"/>
    <n v="0"/>
    <x v="2"/>
    <n v="1000"/>
    <x v="0"/>
  </r>
  <r>
    <s v="ORD0362"/>
    <x v="210"/>
    <x v="0"/>
    <x v="1"/>
    <n v="16200"/>
    <x v="0"/>
    <x v="0"/>
    <s v="Cancelled"/>
    <x v="0"/>
    <s v="Volta"/>
    <n v="0.1"/>
    <x v="2"/>
    <n v="14580"/>
    <x v="0"/>
  </r>
  <r>
    <s v="ORD0363"/>
    <x v="284"/>
    <x v="1"/>
    <x v="1"/>
    <n v="5400"/>
    <x v="2"/>
    <x v="1"/>
    <s v="Active"/>
    <x v="1"/>
    <s v="Eastern"/>
    <n v="0.1"/>
    <x v="2"/>
    <n v="4860"/>
    <x v="1"/>
  </r>
  <r>
    <s v="ORD0364"/>
    <x v="241"/>
    <x v="2"/>
    <x v="1"/>
    <n v="10800"/>
    <x v="1"/>
    <x v="0"/>
    <s v="Cancelled"/>
    <x v="0"/>
    <s v="Western"/>
    <n v="0.1"/>
    <x v="1"/>
    <n v="9720"/>
    <x v="0"/>
  </r>
  <r>
    <s v="ORD0365"/>
    <x v="285"/>
    <x v="0"/>
    <x v="1"/>
    <n v="16200"/>
    <x v="0"/>
    <x v="1"/>
    <s v="Cancelled"/>
    <x v="0"/>
    <s v="Greater Accra"/>
    <n v="0.1"/>
    <x v="0"/>
    <n v="14580"/>
    <x v="0"/>
  </r>
  <r>
    <s v="ORD0366"/>
    <x v="286"/>
    <x v="1"/>
    <x v="0"/>
    <n v="500"/>
    <x v="0"/>
    <x v="1"/>
    <s v="Active"/>
    <x v="1"/>
    <s v="Greater Accra"/>
    <n v="0"/>
    <x v="0"/>
    <n v="500"/>
    <x v="1"/>
  </r>
  <r>
    <s v="ORD0367"/>
    <x v="100"/>
    <x v="2"/>
    <x v="1"/>
    <n v="10800"/>
    <x v="1"/>
    <x v="1"/>
    <s v="Active"/>
    <x v="1"/>
    <s v="Western"/>
    <n v="0.1"/>
    <x v="1"/>
    <n v="9720"/>
    <x v="1"/>
  </r>
  <r>
    <s v="ORD0368"/>
    <x v="24"/>
    <x v="2"/>
    <x v="1"/>
    <n v="10800"/>
    <x v="0"/>
    <x v="1"/>
    <s v="Active"/>
    <x v="1"/>
    <s v="Savannah"/>
    <n v="0.1"/>
    <x v="3"/>
    <n v="9720"/>
    <x v="1"/>
  </r>
  <r>
    <s v="ORD0369"/>
    <x v="287"/>
    <x v="1"/>
    <x v="0"/>
    <n v="500"/>
    <x v="0"/>
    <x v="1"/>
    <s v="Active"/>
    <x v="1"/>
    <s v="Upper East"/>
    <n v="0"/>
    <x v="3"/>
    <n v="500"/>
    <x v="1"/>
  </r>
  <r>
    <s v="ORD0370"/>
    <x v="288"/>
    <x v="1"/>
    <x v="1"/>
    <n v="5400"/>
    <x v="0"/>
    <x v="1"/>
    <s v="Cancelled"/>
    <x v="0"/>
    <s v="Volta"/>
    <n v="0.1"/>
    <x v="2"/>
    <n v="4860"/>
    <x v="0"/>
  </r>
  <r>
    <s v="ORD0371"/>
    <x v="289"/>
    <x v="2"/>
    <x v="0"/>
    <n v="1000"/>
    <x v="0"/>
    <x v="1"/>
    <s v="Active"/>
    <x v="1"/>
    <s v="Volta"/>
    <n v="0"/>
    <x v="2"/>
    <n v="1000"/>
    <x v="1"/>
  </r>
  <r>
    <s v="ORD0372"/>
    <x v="149"/>
    <x v="0"/>
    <x v="1"/>
    <n v="16200"/>
    <x v="0"/>
    <x v="1"/>
    <s v="Cancelled"/>
    <x v="0"/>
    <s v="Upper East"/>
    <n v="0.1"/>
    <x v="3"/>
    <n v="14580"/>
    <x v="0"/>
  </r>
  <r>
    <s v="ORD0373"/>
    <x v="290"/>
    <x v="1"/>
    <x v="0"/>
    <n v="500"/>
    <x v="0"/>
    <x v="0"/>
    <s v="Cancelled"/>
    <x v="0"/>
    <s v="Greater Accra"/>
    <n v="0"/>
    <x v="0"/>
    <n v="500"/>
    <x v="0"/>
  </r>
  <r>
    <s v="ORD0374"/>
    <x v="291"/>
    <x v="1"/>
    <x v="0"/>
    <n v="500"/>
    <x v="0"/>
    <x v="2"/>
    <s v="Active"/>
    <x v="1"/>
    <s v="Volta"/>
    <n v="0"/>
    <x v="2"/>
    <n v="500"/>
    <x v="1"/>
  </r>
  <r>
    <s v="ORD0375"/>
    <x v="286"/>
    <x v="0"/>
    <x v="0"/>
    <n v="1500"/>
    <x v="0"/>
    <x v="0"/>
    <s v="Cancelled"/>
    <x v="0"/>
    <s v="Volta"/>
    <n v="0"/>
    <x v="2"/>
    <n v="1500"/>
    <x v="0"/>
  </r>
  <r>
    <s v="ORD0376"/>
    <x v="268"/>
    <x v="2"/>
    <x v="1"/>
    <n v="10800"/>
    <x v="1"/>
    <x v="1"/>
    <s v="Active"/>
    <x v="1"/>
    <s v="Ashanti"/>
    <n v="0.1"/>
    <x v="1"/>
    <n v="9720"/>
    <x v="1"/>
  </r>
  <r>
    <s v="ORD0377"/>
    <x v="292"/>
    <x v="2"/>
    <x v="0"/>
    <n v="1000"/>
    <x v="1"/>
    <x v="2"/>
    <s v="Active"/>
    <x v="1"/>
    <s v="Greater Accra"/>
    <n v="0"/>
    <x v="0"/>
    <n v="1000"/>
    <x v="1"/>
  </r>
  <r>
    <s v="ORD0378"/>
    <x v="293"/>
    <x v="2"/>
    <x v="1"/>
    <n v="10800"/>
    <x v="1"/>
    <x v="2"/>
    <s v="Cancelled"/>
    <x v="0"/>
    <s v="Ashanti"/>
    <n v="0.1"/>
    <x v="1"/>
    <n v="9720"/>
    <x v="0"/>
  </r>
  <r>
    <s v="ORD0379"/>
    <x v="294"/>
    <x v="2"/>
    <x v="0"/>
    <n v="1000"/>
    <x v="2"/>
    <x v="1"/>
    <s v="Active"/>
    <x v="1"/>
    <s v="Western North"/>
    <n v="0"/>
    <x v="1"/>
    <n v="1000"/>
    <x v="1"/>
  </r>
  <r>
    <s v="ORD0380"/>
    <x v="295"/>
    <x v="2"/>
    <x v="0"/>
    <n v="1000"/>
    <x v="0"/>
    <x v="1"/>
    <s v="Active"/>
    <x v="1"/>
    <s v="Greater Accra"/>
    <n v="0"/>
    <x v="0"/>
    <n v="1000"/>
    <x v="1"/>
  </r>
  <r>
    <s v="ORD0381"/>
    <x v="43"/>
    <x v="0"/>
    <x v="1"/>
    <n v="16200"/>
    <x v="3"/>
    <x v="2"/>
    <s v="Active"/>
    <x v="1"/>
    <s v="Eastern"/>
    <n v="0.1"/>
    <x v="2"/>
    <n v="14580"/>
    <x v="1"/>
  </r>
  <r>
    <s v="ORD0382"/>
    <x v="296"/>
    <x v="2"/>
    <x v="1"/>
    <n v="10800"/>
    <x v="1"/>
    <x v="1"/>
    <s v="Cancelled"/>
    <x v="0"/>
    <s v="Western"/>
    <n v="0.1"/>
    <x v="1"/>
    <n v="9720"/>
    <x v="0"/>
  </r>
  <r>
    <s v="ORD0383"/>
    <x v="14"/>
    <x v="0"/>
    <x v="0"/>
    <n v="1500"/>
    <x v="2"/>
    <x v="2"/>
    <s v="Active"/>
    <x v="1"/>
    <s v="Northern"/>
    <n v="0"/>
    <x v="3"/>
    <n v="1500"/>
    <x v="1"/>
  </r>
  <r>
    <s v="ORD0384"/>
    <x v="16"/>
    <x v="0"/>
    <x v="0"/>
    <n v="1500"/>
    <x v="1"/>
    <x v="0"/>
    <s v="Cancelled"/>
    <x v="0"/>
    <s v="Central"/>
    <n v="0"/>
    <x v="0"/>
    <n v="1500"/>
    <x v="0"/>
  </r>
  <r>
    <s v="ORD0385"/>
    <x v="297"/>
    <x v="1"/>
    <x v="1"/>
    <n v="5400"/>
    <x v="2"/>
    <x v="1"/>
    <s v="Active"/>
    <x v="1"/>
    <s v="Western North"/>
    <n v="0.1"/>
    <x v="1"/>
    <n v="4860"/>
    <x v="1"/>
  </r>
  <r>
    <s v="ORD0386"/>
    <x v="207"/>
    <x v="0"/>
    <x v="0"/>
    <n v="1500"/>
    <x v="1"/>
    <x v="1"/>
    <s v="Cancelled"/>
    <x v="0"/>
    <s v="Central"/>
    <n v="0"/>
    <x v="0"/>
    <n v="1500"/>
    <x v="0"/>
  </r>
  <r>
    <s v="ORD0387"/>
    <x v="298"/>
    <x v="1"/>
    <x v="1"/>
    <n v="5400"/>
    <x v="3"/>
    <x v="1"/>
    <s v="Cancelled"/>
    <x v="0"/>
    <s v="Ashanti"/>
    <n v="0.1"/>
    <x v="1"/>
    <n v="4860"/>
    <x v="0"/>
  </r>
  <r>
    <s v="ORD0388"/>
    <x v="55"/>
    <x v="2"/>
    <x v="0"/>
    <n v="1000"/>
    <x v="2"/>
    <x v="0"/>
    <s v="Cancelled"/>
    <x v="0"/>
    <s v="Eastern"/>
    <n v="0"/>
    <x v="2"/>
    <n v="1000"/>
    <x v="0"/>
  </r>
  <r>
    <s v="ORD0389"/>
    <x v="299"/>
    <x v="0"/>
    <x v="0"/>
    <n v="1500"/>
    <x v="0"/>
    <x v="2"/>
    <s v="Cancelled"/>
    <x v="0"/>
    <s v="Greater Accra"/>
    <n v="0"/>
    <x v="0"/>
    <n v="1500"/>
    <x v="0"/>
  </r>
  <r>
    <s v="ORD0390"/>
    <x v="287"/>
    <x v="2"/>
    <x v="1"/>
    <n v="10800"/>
    <x v="2"/>
    <x v="1"/>
    <s v="Cancelled"/>
    <x v="0"/>
    <s v="Northern"/>
    <n v="0.1"/>
    <x v="3"/>
    <n v="9720"/>
    <x v="0"/>
  </r>
  <r>
    <s v="ORD0391"/>
    <x v="82"/>
    <x v="2"/>
    <x v="0"/>
    <n v="1000"/>
    <x v="0"/>
    <x v="1"/>
    <s v="Active"/>
    <x v="1"/>
    <s v="Volta"/>
    <n v="0"/>
    <x v="2"/>
    <n v="1000"/>
    <x v="1"/>
  </r>
  <r>
    <s v="ORD0392"/>
    <x v="300"/>
    <x v="2"/>
    <x v="1"/>
    <n v="10800"/>
    <x v="3"/>
    <x v="1"/>
    <s v="Cancelled"/>
    <x v="0"/>
    <s v="Eastern"/>
    <n v="0.1"/>
    <x v="2"/>
    <n v="9720"/>
    <x v="0"/>
  </r>
  <r>
    <s v="ORD0393"/>
    <x v="301"/>
    <x v="0"/>
    <x v="0"/>
    <n v="1500"/>
    <x v="3"/>
    <x v="1"/>
    <s v="Active"/>
    <x v="1"/>
    <s v="Ashanti"/>
    <n v="0"/>
    <x v="1"/>
    <n v="1500"/>
    <x v="1"/>
  </r>
  <r>
    <s v="ORD0394"/>
    <x v="98"/>
    <x v="1"/>
    <x v="0"/>
    <n v="500"/>
    <x v="1"/>
    <x v="2"/>
    <s v="Cancelled"/>
    <x v="0"/>
    <s v="Greater Accra"/>
    <n v="0"/>
    <x v="0"/>
    <n v="500"/>
    <x v="0"/>
  </r>
  <r>
    <s v="ORD0395"/>
    <x v="164"/>
    <x v="1"/>
    <x v="0"/>
    <n v="500"/>
    <x v="3"/>
    <x v="0"/>
    <s v="Cancelled"/>
    <x v="0"/>
    <s v="Western"/>
    <n v="0"/>
    <x v="1"/>
    <n v="500"/>
    <x v="0"/>
  </r>
  <r>
    <s v="ORD0396"/>
    <x v="302"/>
    <x v="1"/>
    <x v="0"/>
    <n v="500"/>
    <x v="3"/>
    <x v="2"/>
    <s v="Cancelled"/>
    <x v="0"/>
    <s v="Oti"/>
    <n v="0"/>
    <x v="2"/>
    <n v="500"/>
    <x v="0"/>
  </r>
  <r>
    <s v="ORD0397"/>
    <x v="303"/>
    <x v="0"/>
    <x v="1"/>
    <n v="16200"/>
    <x v="3"/>
    <x v="2"/>
    <s v="Cancelled"/>
    <x v="0"/>
    <s v="Eastern"/>
    <n v="0.1"/>
    <x v="2"/>
    <n v="14580"/>
    <x v="0"/>
  </r>
  <r>
    <s v="ORD0398"/>
    <x v="146"/>
    <x v="0"/>
    <x v="1"/>
    <n v="16200"/>
    <x v="0"/>
    <x v="0"/>
    <s v="Cancelled"/>
    <x v="0"/>
    <s v="Ashanti"/>
    <n v="0.1"/>
    <x v="1"/>
    <n v="14580"/>
    <x v="0"/>
  </r>
  <r>
    <s v="ORD0399"/>
    <x v="304"/>
    <x v="0"/>
    <x v="1"/>
    <n v="16200"/>
    <x v="2"/>
    <x v="1"/>
    <s v="Active"/>
    <x v="1"/>
    <s v="Western"/>
    <n v="0.1"/>
    <x v="1"/>
    <n v="14580"/>
    <x v="1"/>
  </r>
  <r>
    <s v="ORD0400"/>
    <x v="305"/>
    <x v="0"/>
    <x v="1"/>
    <n v="16200"/>
    <x v="0"/>
    <x v="1"/>
    <s v="Cancelled"/>
    <x v="0"/>
    <s v="Savannah"/>
    <n v="0.1"/>
    <x v="3"/>
    <n v="14580"/>
    <x v="0"/>
  </r>
  <r>
    <s v="ORD0401"/>
    <x v="306"/>
    <x v="0"/>
    <x v="1"/>
    <n v="16200"/>
    <x v="1"/>
    <x v="2"/>
    <s v="Active"/>
    <x v="1"/>
    <s v="Central"/>
    <n v="0.1"/>
    <x v="0"/>
    <n v="14580"/>
    <x v="1"/>
  </r>
  <r>
    <s v="ORD0402"/>
    <x v="307"/>
    <x v="0"/>
    <x v="0"/>
    <n v="1500"/>
    <x v="1"/>
    <x v="0"/>
    <s v="Cancelled"/>
    <x v="0"/>
    <s v="Central"/>
    <n v="0"/>
    <x v="0"/>
    <n v="1500"/>
    <x v="0"/>
  </r>
  <r>
    <s v="ORD0403"/>
    <x v="213"/>
    <x v="0"/>
    <x v="0"/>
    <n v="1500"/>
    <x v="3"/>
    <x v="2"/>
    <s v="Active"/>
    <x v="1"/>
    <s v="Ashanti"/>
    <n v="0"/>
    <x v="1"/>
    <n v="1500"/>
    <x v="1"/>
  </r>
  <r>
    <s v="ORD0404"/>
    <x v="308"/>
    <x v="1"/>
    <x v="1"/>
    <n v="5400"/>
    <x v="1"/>
    <x v="1"/>
    <s v="Active"/>
    <x v="1"/>
    <s v="Greater Accra"/>
    <n v="0.1"/>
    <x v="0"/>
    <n v="4860"/>
    <x v="1"/>
  </r>
  <r>
    <s v="ORD0405"/>
    <x v="309"/>
    <x v="1"/>
    <x v="1"/>
    <n v="5400"/>
    <x v="0"/>
    <x v="2"/>
    <s v="Cancelled"/>
    <x v="0"/>
    <s v="Ashanti"/>
    <n v="0.1"/>
    <x v="1"/>
    <n v="4860"/>
    <x v="0"/>
  </r>
  <r>
    <s v="ORD0406"/>
    <x v="310"/>
    <x v="2"/>
    <x v="0"/>
    <n v="1000"/>
    <x v="2"/>
    <x v="1"/>
    <s v="Cancelled"/>
    <x v="0"/>
    <s v="Eastern"/>
    <n v="0"/>
    <x v="2"/>
    <n v="1000"/>
    <x v="0"/>
  </r>
  <r>
    <s v="ORD0407"/>
    <x v="311"/>
    <x v="0"/>
    <x v="0"/>
    <n v="1500"/>
    <x v="1"/>
    <x v="1"/>
    <s v="Active"/>
    <x v="1"/>
    <s v="Greater Accra"/>
    <n v="0"/>
    <x v="0"/>
    <n v="1500"/>
    <x v="1"/>
  </r>
  <r>
    <s v="ORD0408"/>
    <x v="312"/>
    <x v="2"/>
    <x v="0"/>
    <n v="1000"/>
    <x v="2"/>
    <x v="1"/>
    <s v="Active"/>
    <x v="1"/>
    <s v="Eastern"/>
    <n v="0"/>
    <x v="2"/>
    <n v="1000"/>
    <x v="1"/>
  </r>
  <r>
    <s v="ORD0409"/>
    <x v="207"/>
    <x v="0"/>
    <x v="0"/>
    <n v="1500"/>
    <x v="0"/>
    <x v="1"/>
    <s v="Active"/>
    <x v="1"/>
    <s v="Volta"/>
    <n v="0"/>
    <x v="2"/>
    <n v="1500"/>
    <x v="1"/>
  </r>
  <r>
    <s v="ORD0410"/>
    <x v="37"/>
    <x v="1"/>
    <x v="1"/>
    <n v="5400"/>
    <x v="2"/>
    <x v="2"/>
    <s v="Active"/>
    <x v="1"/>
    <s v="Western"/>
    <n v="0.1"/>
    <x v="1"/>
    <n v="4860"/>
    <x v="1"/>
  </r>
  <r>
    <s v="ORD0411"/>
    <x v="23"/>
    <x v="2"/>
    <x v="1"/>
    <n v="10800"/>
    <x v="3"/>
    <x v="1"/>
    <s v="Active"/>
    <x v="1"/>
    <s v="Ahafo"/>
    <n v="0.1"/>
    <x v="1"/>
    <n v="9720"/>
    <x v="1"/>
  </r>
  <r>
    <s v="ORD0412"/>
    <x v="251"/>
    <x v="0"/>
    <x v="1"/>
    <n v="16200"/>
    <x v="1"/>
    <x v="1"/>
    <s v="Cancelled"/>
    <x v="0"/>
    <s v="Central"/>
    <n v="0.1"/>
    <x v="0"/>
    <n v="14580"/>
    <x v="0"/>
  </r>
  <r>
    <s v="ORD0413"/>
    <x v="223"/>
    <x v="0"/>
    <x v="1"/>
    <n v="16200"/>
    <x v="1"/>
    <x v="1"/>
    <s v="Active"/>
    <x v="1"/>
    <s v="Western"/>
    <n v="0.1"/>
    <x v="1"/>
    <n v="14580"/>
    <x v="1"/>
  </r>
  <r>
    <s v="ORD0414"/>
    <x v="19"/>
    <x v="2"/>
    <x v="0"/>
    <n v="1000"/>
    <x v="3"/>
    <x v="1"/>
    <s v="Cancelled"/>
    <x v="0"/>
    <s v="Ashanti"/>
    <n v="0"/>
    <x v="1"/>
    <n v="1000"/>
    <x v="0"/>
  </r>
  <r>
    <s v="ORD0415"/>
    <x v="313"/>
    <x v="0"/>
    <x v="0"/>
    <n v="1500"/>
    <x v="2"/>
    <x v="1"/>
    <s v="Active"/>
    <x v="1"/>
    <s v="Northern"/>
    <n v="0"/>
    <x v="3"/>
    <n v="1500"/>
    <x v="1"/>
  </r>
  <r>
    <s v="ORD0416"/>
    <x v="314"/>
    <x v="2"/>
    <x v="0"/>
    <n v="1000"/>
    <x v="2"/>
    <x v="1"/>
    <s v="Active"/>
    <x v="1"/>
    <s v="Bono"/>
    <n v="0"/>
    <x v="1"/>
    <n v="1000"/>
    <x v="1"/>
  </r>
  <r>
    <s v="ORD0417"/>
    <x v="207"/>
    <x v="2"/>
    <x v="1"/>
    <n v="10800"/>
    <x v="0"/>
    <x v="2"/>
    <s v="Cancelled"/>
    <x v="0"/>
    <s v="Volta"/>
    <n v="0.1"/>
    <x v="2"/>
    <n v="9720"/>
    <x v="0"/>
  </r>
  <r>
    <s v="ORD0418"/>
    <x v="315"/>
    <x v="2"/>
    <x v="0"/>
    <n v="1000"/>
    <x v="3"/>
    <x v="0"/>
    <s v="Cancelled"/>
    <x v="0"/>
    <s v="Oti"/>
    <n v="0"/>
    <x v="2"/>
    <n v="1000"/>
    <x v="0"/>
  </r>
  <r>
    <s v="ORD0419"/>
    <x v="316"/>
    <x v="1"/>
    <x v="0"/>
    <n v="500"/>
    <x v="2"/>
    <x v="1"/>
    <s v="Active"/>
    <x v="1"/>
    <s v="Western"/>
    <n v="0"/>
    <x v="1"/>
    <n v="500"/>
    <x v="1"/>
  </r>
  <r>
    <s v="ORD0420"/>
    <x v="26"/>
    <x v="0"/>
    <x v="0"/>
    <n v="1500"/>
    <x v="0"/>
    <x v="1"/>
    <s v="Active"/>
    <x v="1"/>
    <s v="Savannah"/>
    <n v="0"/>
    <x v="3"/>
    <n v="1500"/>
    <x v="1"/>
  </r>
  <r>
    <s v="ORD0421"/>
    <x v="315"/>
    <x v="2"/>
    <x v="1"/>
    <n v="10800"/>
    <x v="0"/>
    <x v="0"/>
    <s v="Cancelled"/>
    <x v="0"/>
    <s v="Volta"/>
    <n v="0.1"/>
    <x v="2"/>
    <n v="9720"/>
    <x v="0"/>
  </r>
  <r>
    <s v="ORD0422"/>
    <x v="188"/>
    <x v="0"/>
    <x v="0"/>
    <n v="1500"/>
    <x v="0"/>
    <x v="2"/>
    <s v="Cancelled"/>
    <x v="0"/>
    <s v="Volta"/>
    <n v="0"/>
    <x v="2"/>
    <n v="1500"/>
    <x v="0"/>
  </r>
  <r>
    <s v="ORD0423"/>
    <x v="317"/>
    <x v="0"/>
    <x v="0"/>
    <n v="1500"/>
    <x v="0"/>
    <x v="1"/>
    <s v="Active"/>
    <x v="1"/>
    <s v="Greater Accra"/>
    <n v="0"/>
    <x v="0"/>
    <n v="1500"/>
    <x v="1"/>
  </r>
  <r>
    <s v="ORD0424"/>
    <x v="3"/>
    <x v="0"/>
    <x v="1"/>
    <n v="16200"/>
    <x v="0"/>
    <x v="2"/>
    <s v="Cancelled"/>
    <x v="0"/>
    <s v="Upper East"/>
    <n v="0.1"/>
    <x v="3"/>
    <n v="14580"/>
    <x v="0"/>
  </r>
  <r>
    <s v="ORD0425"/>
    <x v="318"/>
    <x v="1"/>
    <x v="0"/>
    <n v="500"/>
    <x v="2"/>
    <x v="1"/>
    <s v="Active"/>
    <x v="1"/>
    <s v="Eastern"/>
    <n v="0"/>
    <x v="2"/>
    <n v="500"/>
    <x v="1"/>
  </r>
  <r>
    <s v="ORD0426"/>
    <x v="319"/>
    <x v="0"/>
    <x v="0"/>
    <n v="1500"/>
    <x v="3"/>
    <x v="1"/>
    <s v="Cancelled"/>
    <x v="0"/>
    <s v="Oti"/>
    <n v="0"/>
    <x v="2"/>
    <n v="1500"/>
    <x v="0"/>
  </r>
  <r>
    <s v="ORD0427"/>
    <x v="316"/>
    <x v="1"/>
    <x v="0"/>
    <n v="500"/>
    <x v="2"/>
    <x v="1"/>
    <s v="Active"/>
    <x v="1"/>
    <s v="Bono"/>
    <n v="0"/>
    <x v="1"/>
    <n v="500"/>
    <x v="1"/>
  </r>
  <r>
    <s v="ORD0428"/>
    <x v="320"/>
    <x v="2"/>
    <x v="0"/>
    <n v="1000"/>
    <x v="0"/>
    <x v="2"/>
    <s v="Active"/>
    <x v="1"/>
    <s v="Savannah"/>
    <n v="0"/>
    <x v="3"/>
    <n v="1000"/>
    <x v="1"/>
  </r>
  <r>
    <s v="ORD0429"/>
    <x v="254"/>
    <x v="0"/>
    <x v="1"/>
    <n v="16200"/>
    <x v="1"/>
    <x v="0"/>
    <s v="Cancelled"/>
    <x v="0"/>
    <s v="Ashanti"/>
    <n v="0.1"/>
    <x v="1"/>
    <n v="14580"/>
    <x v="0"/>
  </r>
  <r>
    <s v="ORD0430"/>
    <x v="321"/>
    <x v="0"/>
    <x v="1"/>
    <n v="16200"/>
    <x v="3"/>
    <x v="1"/>
    <s v="Cancelled"/>
    <x v="0"/>
    <s v="Greater Accra"/>
    <n v="0.1"/>
    <x v="0"/>
    <n v="14580"/>
    <x v="0"/>
  </r>
  <r>
    <s v="ORD0431"/>
    <x v="322"/>
    <x v="1"/>
    <x v="1"/>
    <n v="5400"/>
    <x v="3"/>
    <x v="1"/>
    <s v="Active"/>
    <x v="1"/>
    <s v="Eastern"/>
    <n v="0.1"/>
    <x v="2"/>
    <n v="4860"/>
    <x v="1"/>
  </r>
  <r>
    <s v="ORD0432"/>
    <x v="323"/>
    <x v="0"/>
    <x v="0"/>
    <n v="1500"/>
    <x v="1"/>
    <x v="0"/>
    <s v="Cancelled"/>
    <x v="0"/>
    <s v="Western"/>
    <n v="0"/>
    <x v="1"/>
    <n v="1500"/>
    <x v="0"/>
  </r>
  <r>
    <s v="ORD0433"/>
    <x v="324"/>
    <x v="0"/>
    <x v="0"/>
    <n v="1500"/>
    <x v="3"/>
    <x v="1"/>
    <s v="Cancelled"/>
    <x v="0"/>
    <s v="Ahafo"/>
    <n v="0"/>
    <x v="1"/>
    <n v="1500"/>
    <x v="0"/>
  </r>
  <r>
    <s v="ORD0434"/>
    <x v="325"/>
    <x v="2"/>
    <x v="1"/>
    <n v="10800"/>
    <x v="3"/>
    <x v="0"/>
    <s v="Cancelled"/>
    <x v="0"/>
    <s v="Oti"/>
    <n v="0.1"/>
    <x v="2"/>
    <n v="9720"/>
    <x v="0"/>
  </r>
  <r>
    <s v="ORD0435"/>
    <x v="241"/>
    <x v="2"/>
    <x v="0"/>
    <n v="1000"/>
    <x v="0"/>
    <x v="1"/>
    <s v="Cancelled"/>
    <x v="0"/>
    <s v="Volta"/>
    <n v="0"/>
    <x v="2"/>
    <n v="1000"/>
    <x v="0"/>
  </r>
  <r>
    <s v="ORD0436"/>
    <x v="229"/>
    <x v="2"/>
    <x v="1"/>
    <n v="10800"/>
    <x v="0"/>
    <x v="2"/>
    <s v="Active"/>
    <x v="1"/>
    <s v="Volta"/>
    <n v="0.1"/>
    <x v="2"/>
    <n v="9720"/>
    <x v="1"/>
  </r>
  <r>
    <s v="ORD0437"/>
    <x v="326"/>
    <x v="0"/>
    <x v="1"/>
    <n v="16200"/>
    <x v="2"/>
    <x v="0"/>
    <s v="Cancelled"/>
    <x v="0"/>
    <s v="Western North"/>
    <n v="0.1"/>
    <x v="1"/>
    <n v="14580"/>
    <x v="0"/>
  </r>
  <r>
    <s v="ORD0438"/>
    <x v="15"/>
    <x v="0"/>
    <x v="0"/>
    <n v="1500"/>
    <x v="1"/>
    <x v="0"/>
    <s v="Cancelled"/>
    <x v="0"/>
    <s v="Ashanti"/>
    <n v="0"/>
    <x v="1"/>
    <n v="1500"/>
    <x v="0"/>
  </r>
  <r>
    <s v="ORD0439"/>
    <x v="327"/>
    <x v="2"/>
    <x v="1"/>
    <n v="10800"/>
    <x v="0"/>
    <x v="2"/>
    <s v="Cancelled"/>
    <x v="0"/>
    <s v="Volta"/>
    <n v="0.1"/>
    <x v="2"/>
    <n v="9720"/>
    <x v="0"/>
  </r>
  <r>
    <s v="ORD0440"/>
    <x v="328"/>
    <x v="0"/>
    <x v="0"/>
    <n v="1500"/>
    <x v="0"/>
    <x v="2"/>
    <s v="Cancelled"/>
    <x v="0"/>
    <s v="Ashanti"/>
    <n v="0"/>
    <x v="1"/>
    <n v="1500"/>
    <x v="0"/>
  </r>
  <r>
    <s v="ORD0441"/>
    <x v="329"/>
    <x v="2"/>
    <x v="0"/>
    <n v="1000"/>
    <x v="2"/>
    <x v="0"/>
    <s v="Cancelled"/>
    <x v="0"/>
    <s v="Eastern"/>
    <n v="0"/>
    <x v="2"/>
    <n v="1000"/>
    <x v="0"/>
  </r>
  <r>
    <s v="ORD0442"/>
    <x v="304"/>
    <x v="1"/>
    <x v="0"/>
    <n v="500"/>
    <x v="3"/>
    <x v="1"/>
    <s v="Active"/>
    <x v="1"/>
    <s v="Ashanti"/>
    <n v="0"/>
    <x v="1"/>
    <n v="500"/>
    <x v="1"/>
  </r>
  <r>
    <s v="ORD0443"/>
    <x v="330"/>
    <x v="1"/>
    <x v="0"/>
    <n v="500"/>
    <x v="0"/>
    <x v="1"/>
    <s v="Active"/>
    <x v="1"/>
    <s v="Greater Accra"/>
    <n v="0"/>
    <x v="0"/>
    <n v="500"/>
    <x v="1"/>
  </r>
  <r>
    <s v="ORD0444"/>
    <x v="331"/>
    <x v="1"/>
    <x v="0"/>
    <n v="500"/>
    <x v="1"/>
    <x v="1"/>
    <s v="Active"/>
    <x v="1"/>
    <s v="Central"/>
    <n v="0"/>
    <x v="0"/>
    <n v="500"/>
    <x v="1"/>
  </r>
  <r>
    <s v="ORD0445"/>
    <x v="235"/>
    <x v="1"/>
    <x v="0"/>
    <n v="500"/>
    <x v="2"/>
    <x v="1"/>
    <s v="Active"/>
    <x v="1"/>
    <s v="Western North"/>
    <n v="0"/>
    <x v="1"/>
    <n v="500"/>
    <x v="1"/>
  </r>
  <r>
    <s v="ORD0446"/>
    <x v="332"/>
    <x v="2"/>
    <x v="0"/>
    <n v="1000"/>
    <x v="0"/>
    <x v="0"/>
    <s v="Cancelled"/>
    <x v="0"/>
    <s v="Volta"/>
    <n v="0"/>
    <x v="2"/>
    <n v="1000"/>
    <x v="0"/>
  </r>
  <r>
    <s v="ORD0447"/>
    <x v="333"/>
    <x v="2"/>
    <x v="0"/>
    <n v="1000"/>
    <x v="3"/>
    <x v="2"/>
    <s v="Cancelled"/>
    <x v="0"/>
    <s v="Eastern"/>
    <n v="0"/>
    <x v="2"/>
    <n v="1000"/>
    <x v="0"/>
  </r>
  <r>
    <s v="ORD0448"/>
    <x v="334"/>
    <x v="1"/>
    <x v="0"/>
    <n v="500"/>
    <x v="2"/>
    <x v="2"/>
    <s v="Active"/>
    <x v="1"/>
    <s v="Northern"/>
    <n v="0"/>
    <x v="3"/>
    <n v="500"/>
    <x v="1"/>
  </r>
  <r>
    <s v="ORD0449"/>
    <x v="335"/>
    <x v="2"/>
    <x v="0"/>
    <n v="1000"/>
    <x v="0"/>
    <x v="1"/>
    <s v="Active"/>
    <x v="1"/>
    <s v="Ashanti"/>
    <n v="0"/>
    <x v="1"/>
    <n v="1000"/>
    <x v="1"/>
  </r>
  <r>
    <s v="ORD0450"/>
    <x v="191"/>
    <x v="0"/>
    <x v="1"/>
    <n v="16200"/>
    <x v="0"/>
    <x v="1"/>
    <s v="Active"/>
    <x v="1"/>
    <s v="Volta"/>
    <n v="0.1"/>
    <x v="2"/>
    <n v="14580"/>
    <x v="1"/>
  </r>
  <r>
    <s v="ORD0451"/>
    <x v="336"/>
    <x v="2"/>
    <x v="0"/>
    <n v="1000"/>
    <x v="0"/>
    <x v="2"/>
    <s v="Cancelled"/>
    <x v="0"/>
    <s v="Greater Accra"/>
    <n v="0"/>
    <x v="0"/>
    <n v="1000"/>
    <x v="0"/>
  </r>
  <r>
    <s v="ORD0452"/>
    <x v="337"/>
    <x v="1"/>
    <x v="1"/>
    <n v="5400"/>
    <x v="0"/>
    <x v="2"/>
    <s v="Cancelled"/>
    <x v="0"/>
    <s v="Ashanti"/>
    <n v="0.1"/>
    <x v="1"/>
    <n v="4860"/>
    <x v="0"/>
  </r>
  <r>
    <s v="ORD0453"/>
    <x v="329"/>
    <x v="2"/>
    <x v="1"/>
    <n v="10800"/>
    <x v="1"/>
    <x v="1"/>
    <s v="Cancelled"/>
    <x v="0"/>
    <s v="Ashanti"/>
    <n v="0.1"/>
    <x v="1"/>
    <n v="9720"/>
    <x v="0"/>
  </r>
  <r>
    <s v="ORD0454"/>
    <x v="338"/>
    <x v="0"/>
    <x v="1"/>
    <n v="16200"/>
    <x v="3"/>
    <x v="2"/>
    <s v="Active"/>
    <x v="1"/>
    <s v="Ashanti"/>
    <n v="0.1"/>
    <x v="1"/>
    <n v="14580"/>
    <x v="1"/>
  </r>
  <r>
    <s v="ORD0455"/>
    <x v="339"/>
    <x v="0"/>
    <x v="0"/>
    <n v="1500"/>
    <x v="3"/>
    <x v="1"/>
    <s v="Cancelled"/>
    <x v="0"/>
    <s v="Western"/>
    <n v="0"/>
    <x v="1"/>
    <n v="1500"/>
    <x v="0"/>
  </r>
  <r>
    <s v="ORD0456"/>
    <x v="94"/>
    <x v="1"/>
    <x v="0"/>
    <n v="500"/>
    <x v="1"/>
    <x v="2"/>
    <s v="Active"/>
    <x v="1"/>
    <s v="Western"/>
    <n v="0"/>
    <x v="1"/>
    <n v="500"/>
    <x v="1"/>
  </r>
  <r>
    <s v="ORD0457"/>
    <x v="282"/>
    <x v="1"/>
    <x v="0"/>
    <n v="500"/>
    <x v="2"/>
    <x v="1"/>
    <s v="Active"/>
    <x v="1"/>
    <s v="Western"/>
    <n v="0"/>
    <x v="1"/>
    <n v="500"/>
    <x v="1"/>
  </r>
  <r>
    <s v="ORD0458"/>
    <x v="327"/>
    <x v="2"/>
    <x v="1"/>
    <n v="10800"/>
    <x v="3"/>
    <x v="0"/>
    <s v="Cancelled"/>
    <x v="0"/>
    <s v="Eastern"/>
    <n v="0.1"/>
    <x v="2"/>
    <n v="9720"/>
    <x v="0"/>
  </r>
  <r>
    <s v="ORD0459"/>
    <x v="340"/>
    <x v="0"/>
    <x v="0"/>
    <n v="1500"/>
    <x v="2"/>
    <x v="0"/>
    <s v="Cancelled"/>
    <x v="0"/>
    <s v="Western North"/>
    <n v="0"/>
    <x v="1"/>
    <n v="1500"/>
    <x v="0"/>
  </r>
  <r>
    <s v="ORD0460"/>
    <x v="341"/>
    <x v="1"/>
    <x v="0"/>
    <n v="500"/>
    <x v="3"/>
    <x v="1"/>
    <s v="Active"/>
    <x v="1"/>
    <s v="Western"/>
    <n v="0"/>
    <x v="1"/>
    <n v="500"/>
    <x v="1"/>
  </r>
  <r>
    <s v="ORD0461"/>
    <x v="175"/>
    <x v="2"/>
    <x v="1"/>
    <n v="10800"/>
    <x v="3"/>
    <x v="1"/>
    <s v="Active"/>
    <x v="1"/>
    <s v="Ashanti"/>
    <n v="0.1"/>
    <x v="1"/>
    <n v="9720"/>
    <x v="1"/>
  </r>
  <r>
    <s v="ORD0462"/>
    <x v="342"/>
    <x v="1"/>
    <x v="1"/>
    <n v="5400"/>
    <x v="3"/>
    <x v="0"/>
    <s v="Cancelled"/>
    <x v="0"/>
    <s v="Ashanti"/>
    <n v="0.1"/>
    <x v="1"/>
    <n v="4860"/>
    <x v="0"/>
  </r>
  <r>
    <s v="ORD0463"/>
    <x v="343"/>
    <x v="1"/>
    <x v="1"/>
    <n v="5400"/>
    <x v="2"/>
    <x v="1"/>
    <s v="Active"/>
    <x v="1"/>
    <s v="Western"/>
    <n v="0.1"/>
    <x v="1"/>
    <n v="4860"/>
    <x v="1"/>
  </r>
  <r>
    <s v="ORD0464"/>
    <x v="263"/>
    <x v="2"/>
    <x v="0"/>
    <n v="1000"/>
    <x v="0"/>
    <x v="2"/>
    <s v="Active"/>
    <x v="1"/>
    <s v="Greater Accra"/>
    <n v="0"/>
    <x v="0"/>
    <n v="1000"/>
    <x v="1"/>
  </r>
  <r>
    <s v="ORD0465"/>
    <x v="166"/>
    <x v="0"/>
    <x v="0"/>
    <n v="1500"/>
    <x v="2"/>
    <x v="2"/>
    <s v="Cancelled"/>
    <x v="0"/>
    <s v="Eastern"/>
    <n v="0"/>
    <x v="2"/>
    <n v="1500"/>
    <x v="0"/>
  </r>
  <r>
    <s v="ORD0466"/>
    <x v="344"/>
    <x v="2"/>
    <x v="0"/>
    <n v="1000"/>
    <x v="3"/>
    <x v="1"/>
    <s v="Cancelled"/>
    <x v="0"/>
    <s v="Greater Accra"/>
    <n v="0"/>
    <x v="0"/>
    <n v="1000"/>
    <x v="0"/>
  </r>
  <r>
    <s v="ORD0467"/>
    <x v="345"/>
    <x v="0"/>
    <x v="0"/>
    <n v="1500"/>
    <x v="0"/>
    <x v="2"/>
    <s v="Cancelled"/>
    <x v="0"/>
    <s v="Volta"/>
    <n v="0"/>
    <x v="2"/>
    <n v="1500"/>
    <x v="0"/>
  </r>
  <r>
    <s v="ORD0468"/>
    <x v="215"/>
    <x v="0"/>
    <x v="1"/>
    <n v="16200"/>
    <x v="1"/>
    <x v="0"/>
    <s v="Cancelled"/>
    <x v="0"/>
    <s v="Central"/>
    <n v="0.1"/>
    <x v="0"/>
    <n v="14580"/>
    <x v="0"/>
  </r>
  <r>
    <s v="ORD0469"/>
    <x v="12"/>
    <x v="1"/>
    <x v="0"/>
    <n v="500"/>
    <x v="2"/>
    <x v="1"/>
    <s v="Cancelled"/>
    <x v="0"/>
    <s v="Eastern"/>
    <n v="0"/>
    <x v="2"/>
    <n v="500"/>
    <x v="0"/>
  </r>
  <r>
    <s v="ORD0470"/>
    <x v="346"/>
    <x v="1"/>
    <x v="0"/>
    <n v="500"/>
    <x v="2"/>
    <x v="1"/>
    <s v="Cancelled"/>
    <x v="0"/>
    <s v="Bono"/>
    <n v="0"/>
    <x v="1"/>
    <n v="500"/>
    <x v="0"/>
  </r>
  <r>
    <s v="ORD0471"/>
    <x v="60"/>
    <x v="2"/>
    <x v="1"/>
    <n v="10800"/>
    <x v="2"/>
    <x v="1"/>
    <s v="Cancelled"/>
    <x v="0"/>
    <s v="Western North"/>
    <n v="0.1"/>
    <x v="1"/>
    <n v="9720"/>
    <x v="0"/>
  </r>
  <r>
    <s v="ORD0472"/>
    <x v="347"/>
    <x v="0"/>
    <x v="0"/>
    <n v="1500"/>
    <x v="1"/>
    <x v="0"/>
    <s v="Cancelled"/>
    <x v="0"/>
    <s v="Western"/>
    <n v="0"/>
    <x v="1"/>
    <n v="1500"/>
    <x v="0"/>
  </r>
  <r>
    <s v="ORD0473"/>
    <x v="348"/>
    <x v="1"/>
    <x v="1"/>
    <n v="5400"/>
    <x v="3"/>
    <x v="2"/>
    <s v="Active"/>
    <x v="1"/>
    <s v="Oti"/>
    <n v="0.1"/>
    <x v="2"/>
    <n v="4860"/>
    <x v="1"/>
  </r>
  <r>
    <s v="ORD0474"/>
    <x v="349"/>
    <x v="1"/>
    <x v="0"/>
    <n v="500"/>
    <x v="0"/>
    <x v="2"/>
    <s v="Active"/>
    <x v="1"/>
    <s v="Volta"/>
    <n v="0"/>
    <x v="2"/>
    <n v="500"/>
    <x v="1"/>
  </r>
  <r>
    <s v="ORD0475"/>
    <x v="350"/>
    <x v="2"/>
    <x v="1"/>
    <n v="10800"/>
    <x v="2"/>
    <x v="0"/>
    <s v="Cancelled"/>
    <x v="0"/>
    <s v="Western North"/>
    <n v="0.1"/>
    <x v="1"/>
    <n v="9720"/>
    <x v="0"/>
  </r>
  <r>
    <s v="ORD0476"/>
    <x v="351"/>
    <x v="0"/>
    <x v="1"/>
    <n v="16200"/>
    <x v="0"/>
    <x v="1"/>
    <s v="Active"/>
    <x v="1"/>
    <s v="Upper East"/>
    <n v="0.1"/>
    <x v="3"/>
    <n v="14580"/>
    <x v="1"/>
  </r>
  <r>
    <s v="ORD0477"/>
    <x v="185"/>
    <x v="2"/>
    <x v="0"/>
    <n v="1000"/>
    <x v="3"/>
    <x v="1"/>
    <s v="Cancelled"/>
    <x v="0"/>
    <s v="Eastern"/>
    <n v="0"/>
    <x v="2"/>
    <n v="1000"/>
    <x v="0"/>
  </r>
  <r>
    <s v="ORD0478"/>
    <x v="152"/>
    <x v="1"/>
    <x v="1"/>
    <n v="5400"/>
    <x v="3"/>
    <x v="1"/>
    <s v="Active"/>
    <x v="1"/>
    <s v="Greater Accra"/>
    <n v="0.1"/>
    <x v="0"/>
    <n v="4860"/>
    <x v="1"/>
  </r>
  <r>
    <s v="ORD0479"/>
    <x v="234"/>
    <x v="2"/>
    <x v="0"/>
    <n v="1000"/>
    <x v="2"/>
    <x v="1"/>
    <s v="Active"/>
    <x v="1"/>
    <s v="Eastern"/>
    <n v="0"/>
    <x v="2"/>
    <n v="1000"/>
    <x v="1"/>
  </r>
  <r>
    <s v="ORD0480"/>
    <x v="352"/>
    <x v="0"/>
    <x v="0"/>
    <n v="1500"/>
    <x v="1"/>
    <x v="0"/>
    <s v="Cancelled"/>
    <x v="0"/>
    <s v="Central"/>
    <n v="0"/>
    <x v="0"/>
    <n v="1500"/>
    <x v="0"/>
  </r>
  <r>
    <s v="ORD0481"/>
    <x v="280"/>
    <x v="1"/>
    <x v="1"/>
    <n v="5400"/>
    <x v="0"/>
    <x v="1"/>
    <s v="Cancelled"/>
    <x v="0"/>
    <s v="Upper East"/>
    <n v="0.1"/>
    <x v="3"/>
    <n v="4860"/>
    <x v="0"/>
  </r>
  <r>
    <s v="ORD0482"/>
    <x v="353"/>
    <x v="2"/>
    <x v="1"/>
    <n v="10800"/>
    <x v="3"/>
    <x v="0"/>
    <s v="Cancelled"/>
    <x v="0"/>
    <s v="Eastern"/>
    <n v="0.1"/>
    <x v="2"/>
    <n v="9720"/>
    <x v="0"/>
  </r>
  <r>
    <s v="ORD0483"/>
    <x v="75"/>
    <x v="0"/>
    <x v="0"/>
    <n v="1500"/>
    <x v="0"/>
    <x v="0"/>
    <s v="Cancelled"/>
    <x v="0"/>
    <s v="Volta"/>
    <n v="0"/>
    <x v="2"/>
    <n v="1500"/>
    <x v="0"/>
  </r>
  <r>
    <s v="ORD0484"/>
    <x v="172"/>
    <x v="1"/>
    <x v="0"/>
    <n v="500"/>
    <x v="3"/>
    <x v="0"/>
    <s v="Cancelled"/>
    <x v="0"/>
    <s v="Oti"/>
    <n v="0"/>
    <x v="2"/>
    <n v="500"/>
    <x v="0"/>
  </r>
  <r>
    <s v="ORD0485"/>
    <x v="354"/>
    <x v="0"/>
    <x v="1"/>
    <n v="16200"/>
    <x v="0"/>
    <x v="1"/>
    <s v="Cancelled"/>
    <x v="0"/>
    <s v="Savannah"/>
    <n v="0.1"/>
    <x v="3"/>
    <n v="14580"/>
    <x v="0"/>
  </r>
  <r>
    <s v="ORD0486"/>
    <x v="345"/>
    <x v="0"/>
    <x v="0"/>
    <n v="1500"/>
    <x v="2"/>
    <x v="2"/>
    <s v="Cancelled"/>
    <x v="0"/>
    <s v="Western"/>
    <n v="0"/>
    <x v="1"/>
    <n v="1500"/>
    <x v="0"/>
  </r>
  <r>
    <s v="ORD0487"/>
    <x v="92"/>
    <x v="1"/>
    <x v="0"/>
    <n v="500"/>
    <x v="3"/>
    <x v="0"/>
    <s v="Cancelled"/>
    <x v="0"/>
    <s v="Western"/>
    <n v="0"/>
    <x v="1"/>
    <n v="500"/>
    <x v="0"/>
  </r>
  <r>
    <s v="ORD0488"/>
    <x v="292"/>
    <x v="2"/>
    <x v="1"/>
    <n v="10800"/>
    <x v="0"/>
    <x v="0"/>
    <s v="Cancelled"/>
    <x v="0"/>
    <s v="Ashanti"/>
    <n v="0.1"/>
    <x v="1"/>
    <n v="9720"/>
    <x v="0"/>
  </r>
  <r>
    <s v="ORD0489"/>
    <x v="227"/>
    <x v="0"/>
    <x v="0"/>
    <n v="1500"/>
    <x v="2"/>
    <x v="1"/>
    <s v="Active"/>
    <x v="1"/>
    <s v="Northern"/>
    <n v="0"/>
    <x v="3"/>
    <n v="1500"/>
    <x v="1"/>
  </r>
  <r>
    <s v="ORD0490"/>
    <x v="355"/>
    <x v="0"/>
    <x v="0"/>
    <n v="1500"/>
    <x v="3"/>
    <x v="1"/>
    <s v="Active"/>
    <x v="1"/>
    <s v="Ahafo"/>
    <n v="0"/>
    <x v="1"/>
    <n v="1500"/>
    <x v="1"/>
  </r>
  <r>
    <s v="ORD0491"/>
    <x v="356"/>
    <x v="0"/>
    <x v="0"/>
    <n v="1500"/>
    <x v="1"/>
    <x v="1"/>
    <s v="Active"/>
    <x v="1"/>
    <s v="Ashanti"/>
    <n v="0"/>
    <x v="1"/>
    <n v="1500"/>
    <x v="1"/>
  </r>
  <r>
    <s v="ORD0492"/>
    <x v="357"/>
    <x v="0"/>
    <x v="1"/>
    <n v="16200"/>
    <x v="1"/>
    <x v="2"/>
    <s v="Cancelled"/>
    <x v="0"/>
    <s v="Ashanti"/>
    <n v="0.1"/>
    <x v="1"/>
    <n v="14580"/>
    <x v="0"/>
  </r>
  <r>
    <s v="ORD0493"/>
    <x v="358"/>
    <x v="2"/>
    <x v="0"/>
    <n v="1000"/>
    <x v="1"/>
    <x v="2"/>
    <s v="Active"/>
    <x v="1"/>
    <s v="Greater Accra"/>
    <n v="0"/>
    <x v="0"/>
    <n v="1000"/>
    <x v="1"/>
  </r>
  <r>
    <s v="ORD0494"/>
    <x v="130"/>
    <x v="0"/>
    <x v="0"/>
    <n v="1500"/>
    <x v="1"/>
    <x v="2"/>
    <s v="Active"/>
    <x v="1"/>
    <s v="Central"/>
    <n v="0"/>
    <x v="0"/>
    <n v="1500"/>
    <x v="1"/>
  </r>
  <r>
    <s v="ORD0495"/>
    <x v="359"/>
    <x v="0"/>
    <x v="0"/>
    <n v="1500"/>
    <x v="2"/>
    <x v="1"/>
    <s v="Active"/>
    <x v="1"/>
    <s v="Eastern"/>
    <n v="0"/>
    <x v="2"/>
    <n v="1500"/>
    <x v="1"/>
  </r>
  <r>
    <s v="ORD0496"/>
    <x v="59"/>
    <x v="2"/>
    <x v="1"/>
    <n v="10800"/>
    <x v="2"/>
    <x v="2"/>
    <s v="Active"/>
    <x v="1"/>
    <s v="Bono"/>
    <n v="0.1"/>
    <x v="1"/>
    <n v="9720"/>
    <x v="1"/>
  </r>
  <r>
    <s v="ORD0497"/>
    <x v="360"/>
    <x v="0"/>
    <x v="1"/>
    <n v="16200"/>
    <x v="3"/>
    <x v="1"/>
    <s v="Active"/>
    <x v="1"/>
    <s v="Oti"/>
    <n v="0.1"/>
    <x v="2"/>
    <n v="14580"/>
    <x v="1"/>
  </r>
  <r>
    <s v="ORD0498"/>
    <x v="361"/>
    <x v="2"/>
    <x v="1"/>
    <n v="10800"/>
    <x v="2"/>
    <x v="2"/>
    <s v="Cancelled"/>
    <x v="0"/>
    <s v="Western"/>
    <n v="0.1"/>
    <x v="1"/>
    <n v="9720"/>
    <x v="0"/>
  </r>
  <r>
    <s v="ORD0499"/>
    <x v="284"/>
    <x v="2"/>
    <x v="1"/>
    <n v="10800"/>
    <x v="2"/>
    <x v="2"/>
    <s v="Cancelled"/>
    <x v="0"/>
    <s v="Western"/>
    <n v="0.1"/>
    <x v="1"/>
    <n v="9720"/>
    <x v="0"/>
  </r>
  <r>
    <s v="ORD0500"/>
    <x v="362"/>
    <x v="1"/>
    <x v="1"/>
    <n v="5400"/>
    <x v="1"/>
    <x v="1"/>
    <s v="Active"/>
    <x v="1"/>
    <s v="Western"/>
    <n v="0.1"/>
    <x v="1"/>
    <n v="4860"/>
    <x v="1"/>
  </r>
  <r>
    <s v="ORD0501"/>
    <x v="290"/>
    <x v="1"/>
    <x v="1"/>
    <n v="5400"/>
    <x v="2"/>
    <x v="2"/>
    <s v="Cancelled"/>
    <x v="0"/>
    <s v="Bono"/>
    <n v="0.1"/>
    <x v="1"/>
    <n v="4860"/>
    <x v="0"/>
  </r>
  <r>
    <s v="ORD0502"/>
    <x v="164"/>
    <x v="2"/>
    <x v="1"/>
    <n v="10800"/>
    <x v="0"/>
    <x v="0"/>
    <s v="Cancelled"/>
    <x v="0"/>
    <s v="Savannah"/>
    <n v="0.1"/>
    <x v="3"/>
    <n v="9720"/>
    <x v="0"/>
  </r>
  <r>
    <s v="ORD0503"/>
    <x v="92"/>
    <x v="2"/>
    <x v="1"/>
    <n v="10800"/>
    <x v="2"/>
    <x v="1"/>
    <s v="Active"/>
    <x v="1"/>
    <s v="Eastern"/>
    <n v="0.1"/>
    <x v="2"/>
    <n v="9720"/>
    <x v="1"/>
  </r>
  <r>
    <s v="ORD0504"/>
    <x v="363"/>
    <x v="0"/>
    <x v="1"/>
    <n v="16200"/>
    <x v="1"/>
    <x v="2"/>
    <s v="Cancelled"/>
    <x v="0"/>
    <s v="Greater Accra"/>
    <n v="0.1"/>
    <x v="0"/>
    <n v="14580"/>
    <x v="0"/>
  </r>
  <r>
    <s v="ORD0505"/>
    <x v="76"/>
    <x v="1"/>
    <x v="0"/>
    <n v="500"/>
    <x v="2"/>
    <x v="1"/>
    <s v="Active"/>
    <x v="1"/>
    <s v="Western"/>
    <n v="0"/>
    <x v="1"/>
    <n v="500"/>
    <x v="1"/>
  </r>
  <r>
    <s v="ORD0506"/>
    <x v="46"/>
    <x v="0"/>
    <x v="1"/>
    <n v="16200"/>
    <x v="1"/>
    <x v="1"/>
    <s v="Active"/>
    <x v="1"/>
    <s v="Greater Accra"/>
    <n v="0.1"/>
    <x v="0"/>
    <n v="14580"/>
    <x v="1"/>
  </r>
  <r>
    <s v="ORD0507"/>
    <x v="364"/>
    <x v="0"/>
    <x v="0"/>
    <n v="1500"/>
    <x v="3"/>
    <x v="2"/>
    <s v="Active"/>
    <x v="1"/>
    <s v="Western"/>
    <n v="0"/>
    <x v="1"/>
    <n v="1500"/>
    <x v="1"/>
  </r>
  <r>
    <s v="ORD0508"/>
    <x v="365"/>
    <x v="2"/>
    <x v="1"/>
    <n v="10800"/>
    <x v="3"/>
    <x v="1"/>
    <s v="Active"/>
    <x v="1"/>
    <s v="Greater Accra"/>
    <n v="0.1"/>
    <x v="0"/>
    <n v="9720"/>
    <x v="1"/>
  </r>
  <r>
    <s v="ORD0509"/>
    <x v="366"/>
    <x v="2"/>
    <x v="0"/>
    <n v="1000"/>
    <x v="1"/>
    <x v="1"/>
    <s v="Cancelled"/>
    <x v="0"/>
    <s v="Central"/>
    <n v="0"/>
    <x v="0"/>
    <n v="1000"/>
    <x v="0"/>
  </r>
  <r>
    <s v="ORD0510"/>
    <x v="367"/>
    <x v="1"/>
    <x v="0"/>
    <n v="500"/>
    <x v="2"/>
    <x v="1"/>
    <s v="Cancelled"/>
    <x v="0"/>
    <s v="Northern"/>
    <n v="0"/>
    <x v="3"/>
    <n v="500"/>
    <x v="0"/>
  </r>
  <r>
    <s v="ORD0511"/>
    <x v="241"/>
    <x v="2"/>
    <x v="0"/>
    <n v="1000"/>
    <x v="0"/>
    <x v="1"/>
    <s v="Cancelled"/>
    <x v="0"/>
    <s v="Savannah"/>
    <n v="0"/>
    <x v="3"/>
    <n v="1000"/>
    <x v="0"/>
  </r>
  <r>
    <s v="ORD0512"/>
    <x v="332"/>
    <x v="2"/>
    <x v="1"/>
    <n v="10800"/>
    <x v="3"/>
    <x v="1"/>
    <s v="Cancelled"/>
    <x v="0"/>
    <s v="Eastern"/>
    <n v="0.1"/>
    <x v="2"/>
    <n v="9720"/>
    <x v="0"/>
  </r>
  <r>
    <s v="ORD0513"/>
    <x v="368"/>
    <x v="1"/>
    <x v="0"/>
    <n v="500"/>
    <x v="0"/>
    <x v="2"/>
    <s v="Active"/>
    <x v="1"/>
    <s v="Upper East"/>
    <n v="0"/>
    <x v="3"/>
    <n v="500"/>
    <x v="1"/>
  </r>
  <r>
    <s v="ORD0514"/>
    <x v="200"/>
    <x v="0"/>
    <x v="0"/>
    <n v="1500"/>
    <x v="1"/>
    <x v="2"/>
    <s v="Active"/>
    <x v="1"/>
    <s v="Central"/>
    <n v="0"/>
    <x v="0"/>
    <n v="1500"/>
    <x v="1"/>
  </r>
  <r>
    <s v="ORD0515"/>
    <x v="369"/>
    <x v="2"/>
    <x v="0"/>
    <n v="1000"/>
    <x v="0"/>
    <x v="1"/>
    <s v="Active"/>
    <x v="1"/>
    <s v="Volta"/>
    <n v="0"/>
    <x v="2"/>
    <n v="1000"/>
    <x v="1"/>
  </r>
  <r>
    <s v="ORD0516"/>
    <x v="370"/>
    <x v="1"/>
    <x v="0"/>
    <n v="500"/>
    <x v="3"/>
    <x v="1"/>
    <s v="Cancelled"/>
    <x v="0"/>
    <s v="Eastern"/>
    <n v="0"/>
    <x v="2"/>
    <n v="500"/>
    <x v="0"/>
  </r>
  <r>
    <s v="ORD0517"/>
    <x v="371"/>
    <x v="2"/>
    <x v="1"/>
    <n v="10800"/>
    <x v="2"/>
    <x v="2"/>
    <s v="Active"/>
    <x v="1"/>
    <s v="Western"/>
    <n v="0.1"/>
    <x v="1"/>
    <n v="9720"/>
    <x v="1"/>
  </r>
  <r>
    <s v="ORD0518"/>
    <x v="372"/>
    <x v="0"/>
    <x v="1"/>
    <n v="16200"/>
    <x v="2"/>
    <x v="1"/>
    <s v="Active"/>
    <x v="1"/>
    <s v="Western"/>
    <n v="0.1"/>
    <x v="1"/>
    <n v="14580"/>
    <x v="1"/>
  </r>
  <r>
    <s v="ORD0519"/>
    <x v="373"/>
    <x v="2"/>
    <x v="0"/>
    <n v="1000"/>
    <x v="3"/>
    <x v="1"/>
    <s v="Cancelled"/>
    <x v="0"/>
    <s v="Ahafo"/>
    <n v="0"/>
    <x v="1"/>
    <n v="1000"/>
    <x v="0"/>
  </r>
  <r>
    <s v="ORD0520"/>
    <x v="374"/>
    <x v="2"/>
    <x v="1"/>
    <n v="10800"/>
    <x v="0"/>
    <x v="1"/>
    <s v="Cancelled"/>
    <x v="0"/>
    <s v="Ashanti"/>
    <n v="0.1"/>
    <x v="1"/>
    <n v="9720"/>
    <x v="0"/>
  </r>
  <r>
    <s v="ORD0521"/>
    <x v="192"/>
    <x v="0"/>
    <x v="0"/>
    <n v="1500"/>
    <x v="1"/>
    <x v="2"/>
    <s v="Cancelled"/>
    <x v="0"/>
    <s v="Western"/>
    <n v="0"/>
    <x v="1"/>
    <n v="1500"/>
    <x v="0"/>
  </r>
  <r>
    <s v="ORD0522"/>
    <x v="375"/>
    <x v="2"/>
    <x v="1"/>
    <n v="10800"/>
    <x v="0"/>
    <x v="1"/>
    <s v="Active"/>
    <x v="1"/>
    <s v="Volta"/>
    <n v="0.1"/>
    <x v="2"/>
    <n v="9720"/>
    <x v="1"/>
  </r>
  <r>
    <s v="ORD0523"/>
    <x v="29"/>
    <x v="0"/>
    <x v="0"/>
    <n v="1500"/>
    <x v="1"/>
    <x v="1"/>
    <s v="Cancelled"/>
    <x v="0"/>
    <s v="Ashanti"/>
    <n v="0"/>
    <x v="1"/>
    <n v="1500"/>
    <x v="0"/>
  </r>
  <r>
    <s v="ORD0524"/>
    <x v="13"/>
    <x v="2"/>
    <x v="1"/>
    <n v="10800"/>
    <x v="3"/>
    <x v="1"/>
    <s v="Cancelled"/>
    <x v="0"/>
    <s v="Western"/>
    <n v="0.1"/>
    <x v="1"/>
    <n v="9720"/>
    <x v="0"/>
  </r>
  <r>
    <s v="ORD0525"/>
    <x v="376"/>
    <x v="1"/>
    <x v="1"/>
    <n v="5400"/>
    <x v="2"/>
    <x v="2"/>
    <s v="Cancelled"/>
    <x v="0"/>
    <s v="Western"/>
    <n v="0.1"/>
    <x v="1"/>
    <n v="4860"/>
    <x v="0"/>
  </r>
  <r>
    <s v="ORD0526"/>
    <x v="373"/>
    <x v="2"/>
    <x v="0"/>
    <n v="1000"/>
    <x v="2"/>
    <x v="1"/>
    <s v="Cancelled"/>
    <x v="0"/>
    <s v="Western"/>
    <n v="0"/>
    <x v="1"/>
    <n v="1000"/>
    <x v="0"/>
  </r>
  <r>
    <s v="ORD0527"/>
    <x v="268"/>
    <x v="1"/>
    <x v="0"/>
    <n v="500"/>
    <x v="2"/>
    <x v="0"/>
    <s v="Cancelled"/>
    <x v="0"/>
    <s v="Western"/>
    <n v="0"/>
    <x v="1"/>
    <n v="500"/>
    <x v="0"/>
  </r>
  <r>
    <s v="ORD0528"/>
    <x v="332"/>
    <x v="2"/>
    <x v="0"/>
    <n v="1000"/>
    <x v="1"/>
    <x v="1"/>
    <s v="Active"/>
    <x v="1"/>
    <s v="Greater Accra"/>
    <n v="0"/>
    <x v="0"/>
    <n v="1000"/>
    <x v="1"/>
  </r>
  <r>
    <s v="ORD0529"/>
    <x v="259"/>
    <x v="2"/>
    <x v="0"/>
    <n v="1000"/>
    <x v="2"/>
    <x v="1"/>
    <s v="Active"/>
    <x v="1"/>
    <s v="Eastern"/>
    <n v="0"/>
    <x v="2"/>
    <n v="1000"/>
    <x v="1"/>
  </r>
  <r>
    <s v="ORD0530"/>
    <x v="126"/>
    <x v="0"/>
    <x v="1"/>
    <n v="16200"/>
    <x v="3"/>
    <x v="2"/>
    <s v="Active"/>
    <x v="1"/>
    <s v="Western"/>
    <n v="0.1"/>
    <x v="1"/>
    <n v="14580"/>
    <x v="1"/>
  </r>
  <r>
    <s v="ORD0531"/>
    <x v="34"/>
    <x v="2"/>
    <x v="0"/>
    <n v="1000"/>
    <x v="0"/>
    <x v="2"/>
    <s v="Active"/>
    <x v="1"/>
    <s v="Volta"/>
    <n v="0"/>
    <x v="2"/>
    <n v="1000"/>
    <x v="1"/>
  </r>
  <r>
    <s v="ORD0532"/>
    <x v="61"/>
    <x v="0"/>
    <x v="1"/>
    <n v="16200"/>
    <x v="3"/>
    <x v="2"/>
    <s v="Active"/>
    <x v="1"/>
    <s v="Oti"/>
    <n v="0.1"/>
    <x v="2"/>
    <n v="14580"/>
    <x v="1"/>
  </r>
  <r>
    <s v="ORD0533"/>
    <x v="377"/>
    <x v="1"/>
    <x v="1"/>
    <n v="5400"/>
    <x v="2"/>
    <x v="2"/>
    <s v="Cancelled"/>
    <x v="0"/>
    <s v="Western"/>
    <n v="0.1"/>
    <x v="1"/>
    <n v="4860"/>
    <x v="0"/>
  </r>
  <r>
    <s v="ORD0534"/>
    <x v="374"/>
    <x v="2"/>
    <x v="1"/>
    <n v="10800"/>
    <x v="3"/>
    <x v="1"/>
    <s v="Cancelled"/>
    <x v="0"/>
    <s v="Oti"/>
    <n v="0.1"/>
    <x v="2"/>
    <n v="9720"/>
    <x v="0"/>
  </r>
  <r>
    <s v="ORD0535"/>
    <x v="39"/>
    <x v="1"/>
    <x v="1"/>
    <n v="5400"/>
    <x v="3"/>
    <x v="2"/>
    <s v="Active"/>
    <x v="1"/>
    <s v="Oti"/>
    <n v="0.1"/>
    <x v="2"/>
    <n v="4860"/>
    <x v="1"/>
  </r>
  <r>
    <s v="ORD0536"/>
    <x v="378"/>
    <x v="0"/>
    <x v="0"/>
    <n v="1500"/>
    <x v="2"/>
    <x v="2"/>
    <s v="Cancelled"/>
    <x v="0"/>
    <s v="Western North"/>
    <n v="0"/>
    <x v="1"/>
    <n v="1500"/>
    <x v="0"/>
  </r>
  <r>
    <s v="ORD0537"/>
    <x v="379"/>
    <x v="0"/>
    <x v="0"/>
    <n v="1500"/>
    <x v="1"/>
    <x v="2"/>
    <s v="Active"/>
    <x v="1"/>
    <s v="Western"/>
    <n v="0"/>
    <x v="1"/>
    <n v="1500"/>
    <x v="1"/>
  </r>
  <r>
    <s v="ORD0538"/>
    <x v="132"/>
    <x v="0"/>
    <x v="1"/>
    <n v="16200"/>
    <x v="3"/>
    <x v="1"/>
    <s v="Cancelled"/>
    <x v="0"/>
    <s v="Greater Accra"/>
    <n v="0.1"/>
    <x v="0"/>
    <n v="14580"/>
    <x v="0"/>
  </r>
  <r>
    <s v="ORD0539"/>
    <x v="29"/>
    <x v="0"/>
    <x v="1"/>
    <n v="16200"/>
    <x v="2"/>
    <x v="1"/>
    <s v="Active"/>
    <x v="1"/>
    <s v="Western North"/>
    <n v="0.1"/>
    <x v="1"/>
    <n v="14580"/>
    <x v="1"/>
  </r>
  <r>
    <s v="ORD0540"/>
    <x v="380"/>
    <x v="2"/>
    <x v="1"/>
    <n v="10800"/>
    <x v="1"/>
    <x v="0"/>
    <s v="Cancelled"/>
    <x v="0"/>
    <s v="Central"/>
    <n v="0.1"/>
    <x v="0"/>
    <n v="9720"/>
    <x v="0"/>
  </r>
  <r>
    <s v="ORD0541"/>
    <x v="381"/>
    <x v="2"/>
    <x v="1"/>
    <n v="10800"/>
    <x v="0"/>
    <x v="2"/>
    <s v="Cancelled"/>
    <x v="0"/>
    <s v="Savannah"/>
    <n v="0.1"/>
    <x v="3"/>
    <n v="9720"/>
    <x v="0"/>
  </r>
  <r>
    <s v="ORD0542"/>
    <x v="184"/>
    <x v="1"/>
    <x v="0"/>
    <n v="500"/>
    <x v="0"/>
    <x v="1"/>
    <s v="Cancelled"/>
    <x v="0"/>
    <s v="Volta"/>
    <n v="0"/>
    <x v="2"/>
    <n v="500"/>
    <x v="0"/>
  </r>
  <r>
    <s v="ORD0543"/>
    <x v="382"/>
    <x v="0"/>
    <x v="1"/>
    <n v="16200"/>
    <x v="3"/>
    <x v="0"/>
    <s v="Cancelled"/>
    <x v="0"/>
    <s v="Western"/>
    <n v="0.1"/>
    <x v="1"/>
    <n v="14580"/>
    <x v="0"/>
  </r>
  <r>
    <s v="ORD0544"/>
    <x v="383"/>
    <x v="2"/>
    <x v="1"/>
    <n v="10800"/>
    <x v="0"/>
    <x v="0"/>
    <s v="Cancelled"/>
    <x v="0"/>
    <s v="Savannah"/>
    <n v="0.1"/>
    <x v="3"/>
    <n v="9720"/>
    <x v="0"/>
  </r>
  <r>
    <s v="ORD0545"/>
    <x v="281"/>
    <x v="2"/>
    <x v="1"/>
    <n v="10800"/>
    <x v="0"/>
    <x v="1"/>
    <s v="Active"/>
    <x v="1"/>
    <s v="Savannah"/>
    <n v="0.1"/>
    <x v="3"/>
    <n v="9720"/>
    <x v="1"/>
  </r>
  <r>
    <s v="ORD0546"/>
    <x v="384"/>
    <x v="2"/>
    <x v="1"/>
    <n v="10800"/>
    <x v="3"/>
    <x v="2"/>
    <s v="Active"/>
    <x v="1"/>
    <s v="Eastern"/>
    <n v="0.1"/>
    <x v="2"/>
    <n v="9720"/>
    <x v="1"/>
  </r>
  <r>
    <s v="ORD0547"/>
    <x v="280"/>
    <x v="1"/>
    <x v="0"/>
    <n v="500"/>
    <x v="1"/>
    <x v="1"/>
    <s v="Active"/>
    <x v="1"/>
    <s v="Central"/>
    <n v="0"/>
    <x v="0"/>
    <n v="500"/>
    <x v="1"/>
  </r>
  <r>
    <s v="ORD0548"/>
    <x v="63"/>
    <x v="0"/>
    <x v="0"/>
    <n v="1500"/>
    <x v="3"/>
    <x v="1"/>
    <s v="Active"/>
    <x v="1"/>
    <s v="Eastern"/>
    <n v="0"/>
    <x v="2"/>
    <n v="1500"/>
    <x v="1"/>
  </r>
  <r>
    <s v="ORD0549"/>
    <x v="318"/>
    <x v="2"/>
    <x v="0"/>
    <n v="1000"/>
    <x v="3"/>
    <x v="2"/>
    <s v="Active"/>
    <x v="1"/>
    <s v="Oti"/>
    <n v="0"/>
    <x v="2"/>
    <n v="1000"/>
    <x v="1"/>
  </r>
  <r>
    <s v="ORD0550"/>
    <x v="385"/>
    <x v="1"/>
    <x v="0"/>
    <n v="500"/>
    <x v="0"/>
    <x v="1"/>
    <s v="Cancelled"/>
    <x v="0"/>
    <s v="Volta"/>
    <n v="0"/>
    <x v="2"/>
    <n v="500"/>
    <x v="0"/>
  </r>
  <r>
    <s v="ORD0551"/>
    <x v="386"/>
    <x v="2"/>
    <x v="1"/>
    <n v="10800"/>
    <x v="2"/>
    <x v="2"/>
    <s v="Active"/>
    <x v="1"/>
    <s v="Eastern"/>
    <n v="0.1"/>
    <x v="2"/>
    <n v="9720"/>
    <x v="1"/>
  </r>
  <r>
    <s v="ORD0552"/>
    <x v="387"/>
    <x v="0"/>
    <x v="0"/>
    <n v="1500"/>
    <x v="3"/>
    <x v="2"/>
    <s v="Active"/>
    <x v="1"/>
    <s v="Western"/>
    <n v="0"/>
    <x v="1"/>
    <n v="1500"/>
    <x v="1"/>
  </r>
  <r>
    <s v="ORD0553"/>
    <x v="388"/>
    <x v="0"/>
    <x v="0"/>
    <n v="1500"/>
    <x v="2"/>
    <x v="0"/>
    <s v="Cancelled"/>
    <x v="0"/>
    <s v="Bono"/>
    <n v="0"/>
    <x v="1"/>
    <n v="1500"/>
    <x v="0"/>
  </r>
  <r>
    <s v="ORD0554"/>
    <x v="389"/>
    <x v="1"/>
    <x v="0"/>
    <n v="500"/>
    <x v="3"/>
    <x v="0"/>
    <s v="Cancelled"/>
    <x v="0"/>
    <s v="Greater Accra"/>
    <n v="0"/>
    <x v="0"/>
    <n v="500"/>
    <x v="0"/>
  </r>
  <r>
    <s v="ORD0555"/>
    <x v="390"/>
    <x v="0"/>
    <x v="1"/>
    <n v="16200"/>
    <x v="1"/>
    <x v="1"/>
    <s v="Active"/>
    <x v="1"/>
    <s v="Greater Accra"/>
    <n v="0.1"/>
    <x v="0"/>
    <n v="14580"/>
    <x v="1"/>
  </r>
  <r>
    <s v="ORD0556"/>
    <x v="391"/>
    <x v="2"/>
    <x v="0"/>
    <n v="1000"/>
    <x v="1"/>
    <x v="0"/>
    <s v="Cancelled"/>
    <x v="0"/>
    <s v="Central"/>
    <n v="0"/>
    <x v="0"/>
    <n v="1000"/>
    <x v="0"/>
  </r>
  <r>
    <s v="ORD0557"/>
    <x v="287"/>
    <x v="0"/>
    <x v="0"/>
    <n v="1500"/>
    <x v="0"/>
    <x v="1"/>
    <s v="Active"/>
    <x v="1"/>
    <s v="Volta"/>
    <n v="0"/>
    <x v="2"/>
    <n v="1500"/>
    <x v="1"/>
  </r>
  <r>
    <s v="ORD0558"/>
    <x v="392"/>
    <x v="1"/>
    <x v="0"/>
    <n v="500"/>
    <x v="0"/>
    <x v="1"/>
    <s v="Active"/>
    <x v="1"/>
    <s v="Volta"/>
    <n v="0"/>
    <x v="2"/>
    <n v="500"/>
    <x v="1"/>
  </r>
  <r>
    <s v="ORD0559"/>
    <x v="393"/>
    <x v="0"/>
    <x v="0"/>
    <n v="1500"/>
    <x v="1"/>
    <x v="2"/>
    <s v="Active"/>
    <x v="1"/>
    <s v="Central"/>
    <n v="0"/>
    <x v="0"/>
    <n v="1500"/>
    <x v="1"/>
  </r>
  <r>
    <s v="ORD0560"/>
    <x v="76"/>
    <x v="2"/>
    <x v="0"/>
    <n v="1000"/>
    <x v="0"/>
    <x v="1"/>
    <s v="Cancelled"/>
    <x v="0"/>
    <s v="Ashanti"/>
    <n v="0"/>
    <x v="1"/>
    <n v="1000"/>
    <x v="0"/>
  </r>
  <r>
    <s v="ORD0561"/>
    <x v="136"/>
    <x v="2"/>
    <x v="1"/>
    <n v="10800"/>
    <x v="1"/>
    <x v="1"/>
    <s v="Active"/>
    <x v="1"/>
    <s v="Greater Accra"/>
    <n v="0.1"/>
    <x v="0"/>
    <n v="9720"/>
    <x v="1"/>
  </r>
  <r>
    <s v="ORD0562"/>
    <x v="47"/>
    <x v="2"/>
    <x v="1"/>
    <n v="10800"/>
    <x v="1"/>
    <x v="0"/>
    <s v="Cancelled"/>
    <x v="0"/>
    <s v="Central"/>
    <n v="0.1"/>
    <x v="0"/>
    <n v="9720"/>
    <x v="0"/>
  </r>
  <r>
    <s v="ORD0563"/>
    <x v="363"/>
    <x v="2"/>
    <x v="0"/>
    <n v="1000"/>
    <x v="3"/>
    <x v="2"/>
    <s v="Active"/>
    <x v="1"/>
    <s v="Ahafo"/>
    <n v="0"/>
    <x v="1"/>
    <n v="1000"/>
    <x v="1"/>
  </r>
  <r>
    <s v="ORD0564"/>
    <x v="394"/>
    <x v="0"/>
    <x v="1"/>
    <n v="16200"/>
    <x v="3"/>
    <x v="2"/>
    <s v="Cancelled"/>
    <x v="0"/>
    <s v="Western"/>
    <n v="0.1"/>
    <x v="1"/>
    <n v="14580"/>
    <x v="0"/>
  </r>
  <r>
    <s v="ORD0565"/>
    <x v="395"/>
    <x v="1"/>
    <x v="1"/>
    <n v="5400"/>
    <x v="1"/>
    <x v="0"/>
    <s v="Cancelled"/>
    <x v="0"/>
    <s v="Central"/>
    <n v="0.1"/>
    <x v="0"/>
    <n v="4860"/>
    <x v="0"/>
  </r>
  <r>
    <s v="ORD0566"/>
    <x v="396"/>
    <x v="2"/>
    <x v="1"/>
    <n v="10800"/>
    <x v="2"/>
    <x v="0"/>
    <s v="Cancelled"/>
    <x v="0"/>
    <s v="Northern"/>
    <n v="0.1"/>
    <x v="3"/>
    <n v="9720"/>
    <x v="0"/>
  </r>
  <r>
    <s v="ORD0567"/>
    <x v="228"/>
    <x v="2"/>
    <x v="1"/>
    <n v="10800"/>
    <x v="0"/>
    <x v="2"/>
    <s v="Cancelled"/>
    <x v="0"/>
    <s v="Upper East"/>
    <n v="0.1"/>
    <x v="3"/>
    <n v="9720"/>
    <x v="0"/>
  </r>
  <r>
    <s v="ORD0568"/>
    <x v="397"/>
    <x v="2"/>
    <x v="0"/>
    <n v="1000"/>
    <x v="2"/>
    <x v="1"/>
    <s v="Active"/>
    <x v="1"/>
    <s v="Eastern"/>
    <n v="0"/>
    <x v="2"/>
    <n v="1000"/>
    <x v="1"/>
  </r>
  <r>
    <s v="ORD0569"/>
    <x v="303"/>
    <x v="0"/>
    <x v="0"/>
    <n v="1500"/>
    <x v="2"/>
    <x v="1"/>
    <s v="Active"/>
    <x v="1"/>
    <s v="Western North"/>
    <n v="0"/>
    <x v="1"/>
    <n v="1500"/>
    <x v="1"/>
  </r>
  <r>
    <s v="ORD0570"/>
    <x v="66"/>
    <x v="0"/>
    <x v="1"/>
    <n v="16200"/>
    <x v="1"/>
    <x v="1"/>
    <s v="Cancelled"/>
    <x v="0"/>
    <s v="Greater Accra"/>
    <n v="0.1"/>
    <x v="0"/>
    <n v="14580"/>
    <x v="0"/>
  </r>
  <r>
    <s v="ORD0571"/>
    <x v="398"/>
    <x v="2"/>
    <x v="0"/>
    <n v="1000"/>
    <x v="3"/>
    <x v="2"/>
    <s v="Active"/>
    <x v="1"/>
    <s v="Western"/>
    <n v="0"/>
    <x v="1"/>
    <n v="1000"/>
    <x v="1"/>
  </r>
  <r>
    <s v="ORD0572"/>
    <x v="141"/>
    <x v="0"/>
    <x v="0"/>
    <n v="1500"/>
    <x v="0"/>
    <x v="1"/>
    <s v="Active"/>
    <x v="1"/>
    <s v="Volta"/>
    <n v="0"/>
    <x v="2"/>
    <n v="1500"/>
    <x v="1"/>
  </r>
  <r>
    <s v="ORD0573"/>
    <x v="252"/>
    <x v="1"/>
    <x v="1"/>
    <n v="5400"/>
    <x v="0"/>
    <x v="2"/>
    <s v="Cancelled"/>
    <x v="0"/>
    <s v="Greater Accra"/>
    <n v="0.1"/>
    <x v="0"/>
    <n v="4860"/>
    <x v="0"/>
  </r>
  <r>
    <s v="ORD0574"/>
    <x v="7"/>
    <x v="1"/>
    <x v="0"/>
    <n v="500"/>
    <x v="3"/>
    <x v="2"/>
    <s v="Active"/>
    <x v="1"/>
    <s v="Ahafo"/>
    <n v="0"/>
    <x v="1"/>
    <n v="500"/>
    <x v="1"/>
  </r>
  <r>
    <s v="ORD0575"/>
    <x v="399"/>
    <x v="1"/>
    <x v="1"/>
    <n v="5400"/>
    <x v="3"/>
    <x v="1"/>
    <s v="Active"/>
    <x v="1"/>
    <s v="Western"/>
    <n v="0.1"/>
    <x v="1"/>
    <n v="4860"/>
    <x v="1"/>
  </r>
  <r>
    <s v="ORD0576"/>
    <x v="172"/>
    <x v="1"/>
    <x v="0"/>
    <n v="500"/>
    <x v="3"/>
    <x v="2"/>
    <s v="Active"/>
    <x v="1"/>
    <s v="Western"/>
    <n v="0"/>
    <x v="1"/>
    <n v="500"/>
    <x v="1"/>
  </r>
  <r>
    <s v="ORD0577"/>
    <x v="213"/>
    <x v="1"/>
    <x v="1"/>
    <n v="5400"/>
    <x v="0"/>
    <x v="0"/>
    <s v="Cancelled"/>
    <x v="0"/>
    <s v="Volta"/>
    <n v="0.1"/>
    <x v="2"/>
    <n v="4860"/>
    <x v="0"/>
  </r>
  <r>
    <s v="ORD0578"/>
    <x v="308"/>
    <x v="0"/>
    <x v="0"/>
    <n v="1500"/>
    <x v="1"/>
    <x v="0"/>
    <s v="Cancelled"/>
    <x v="0"/>
    <s v="Central"/>
    <n v="0"/>
    <x v="0"/>
    <n v="1500"/>
    <x v="0"/>
  </r>
  <r>
    <s v="ORD0579"/>
    <x v="400"/>
    <x v="0"/>
    <x v="1"/>
    <n v="16200"/>
    <x v="0"/>
    <x v="1"/>
    <s v="Cancelled"/>
    <x v="0"/>
    <s v="Volta"/>
    <n v="0.1"/>
    <x v="2"/>
    <n v="14580"/>
    <x v="0"/>
  </r>
  <r>
    <s v="ORD0580"/>
    <x v="401"/>
    <x v="2"/>
    <x v="0"/>
    <n v="1000"/>
    <x v="1"/>
    <x v="1"/>
    <s v="Cancelled"/>
    <x v="0"/>
    <s v="Central"/>
    <n v="0"/>
    <x v="0"/>
    <n v="1000"/>
    <x v="0"/>
  </r>
  <r>
    <s v="ORD0581"/>
    <x v="33"/>
    <x v="2"/>
    <x v="1"/>
    <n v="10800"/>
    <x v="2"/>
    <x v="2"/>
    <s v="Cancelled"/>
    <x v="0"/>
    <s v="Western"/>
    <n v="0.1"/>
    <x v="1"/>
    <n v="9720"/>
    <x v="0"/>
  </r>
  <r>
    <s v="ORD0582"/>
    <x v="402"/>
    <x v="1"/>
    <x v="0"/>
    <n v="500"/>
    <x v="3"/>
    <x v="1"/>
    <s v="Active"/>
    <x v="1"/>
    <s v="Ashanti"/>
    <n v="0"/>
    <x v="1"/>
    <n v="500"/>
    <x v="1"/>
  </r>
  <r>
    <s v="ORD0583"/>
    <x v="403"/>
    <x v="2"/>
    <x v="1"/>
    <n v="10800"/>
    <x v="0"/>
    <x v="1"/>
    <s v="Active"/>
    <x v="1"/>
    <s v="Ashanti"/>
    <n v="0.1"/>
    <x v="1"/>
    <n v="9720"/>
    <x v="1"/>
  </r>
  <r>
    <s v="ORD0584"/>
    <x v="209"/>
    <x v="2"/>
    <x v="1"/>
    <n v="10800"/>
    <x v="1"/>
    <x v="2"/>
    <s v="Cancelled"/>
    <x v="0"/>
    <s v="Western"/>
    <n v="0.1"/>
    <x v="1"/>
    <n v="9720"/>
    <x v="0"/>
  </r>
  <r>
    <s v="ORD0585"/>
    <x v="404"/>
    <x v="1"/>
    <x v="1"/>
    <n v="5400"/>
    <x v="0"/>
    <x v="1"/>
    <s v="Cancelled"/>
    <x v="0"/>
    <s v="Upper East"/>
    <n v="0.1"/>
    <x v="3"/>
    <n v="4860"/>
    <x v="0"/>
  </r>
  <r>
    <s v="ORD0586"/>
    <x v="405"/>
    <x v="2"/>
    <x v="0"/>
    <n v="1000"/>
    <x v="0"/>
    <x v="0"/>
    <s v="Cancelled"/>
    <x v="0"/>
    <s v="Volta"/>
    <n v="0"/>
    <x v="2"/>
    <n v="1000"/>
    <x v="0"/>
  </r>
  <r>
    <s v="ORD0587"/>
    <x v="406"/>
    <x v="2"/>
    <x v="1"/>
    <n v="10800"/>
    <x v="2"/>
    <x v="1"/>
    <s v="Active"/>
    <x v="1"/>
    <s v="Western"/>
    <n v="0.1"/>
    <x v="1"/>
    <n v="9720"/>
    <x v="1"/>
  </r>
  <r>
    <s v="ORD0588"/>
    <x v="90"/>
    <x v="2"/>
    <x v="0"/>
    <n v="1000"/>
    <x v="1"/>
    <x v="1"/>
    <s v="Active"/>
    <x v="1"/>
    <s v="Ashanti"/>
    <n v="0"/>
    <x v="1"/>
    <n v="1000"/>
    <x v="1"/>
  </r>
  <r>
    <s v="ORD0589"/>
    <x v="407"/>
    <x v="0"/>
    <x v="0"/>
    <n v="1500"/>
    <x v="1"/>
    <x v="2"/>
    <s v="Active"/>
    <x v="1"/>
    <s v="Greater Accra"/>
    <n v="0"/>
    <x v="0"/>
    <n v="1500"/>
    <x v="1"/>
  </r>
  <r>
    <s v="ORD0590"/>
    <x v="25"/>
    <x v="1"/>
    <x v="0"/>
    <n v="500"/>
    <x v="0"/>
    <x v="1"/>
    <s v="Active"/>
    <x v="1"/>
    <s v="Volta"/>
    <n v="0"/>
    <x v="2"/>
    <n v="500"/>
    <x v="1"/>
  </r>
  <r>
    <s v="ORD0591"/>
    <x v="408"/>
    <x v="0"/>
    <x v="1"/>
    <n v="16200"/>
    <x v="0"/>
    <x v="1"/>
    <s v="Active"/>
    <x v="1"/>
    <s v="Savannah"/>
    <n v="0.1"/>
    <x v="3"/>
    <n v="14580"/>
    <x v="1"/>
  </r>
  <r>
    <s v="ORD0592"/>
    <x v="167"/>
    <x v="1"/>
    <x v="1"/>
    <n v="5400"/>
    <x v="3"/>
    <x v="0"/>
    <s v="Cancelled"/>
    <x v="0"/>
    <s v="Ahafo"/>
    <n v="0.1"/>
    <x v="1"/>
    <n v="4860"/>
    <x v="0"/>
  </r>
  <r>
    <s v="ORD0593"/>
    <x v="19"/>
    <x v="0"/>
    <x v="1"/>
    <n v="16200"/>
    <x v="0"/>
    <x v="2"/>
    <s v="Cancelled"/>
    <x v="0"/>
    <s v="Ashanti"/>
    <n v="0.1"/>
    <x v="1"/>
    <n v="14580"/>
    <x v="0"/>
  </r>
  <r>
    <s v="ORD0594"/>
    <x v="112"/>
    <x v="2"/>
    <x v="0"/>
    <n v="1000"/>
    <x v="3"/>
    <x v="2"/>
    <s v="Cancelled"/>
    <x v="0"/>
    <s v="Eastern"/>
    <n v="0"/>
    <x v="2"/>
    <n v="1000"/>
    <x v="0"/>
  </r>
  <r>
    <s v="ORD0595"/>
    <x v="76"/>
    <x v="0"/>
    <x v="1"/>
    <n v="16200"/>
    <x v="0"/>
    <x v="0"/>
    <s v="Cancelled"/>
    <x v="0"/>
    <s v="Savannah"/>
    <n v="0.1"/>
    <x v="3"/>
    <n v="14580"/>
    <x v="0"/>
  </r>
  <r>
    <s v="ORD0596"/>
    <x v="409"/>
    <x v="2"/>
    <x v="1"/>
    <n v="10800"/>
    <x v="3"/>
    <x v="1"/>
    <s v="Active"/>
    <x v="1"/>
    <s v="Greater Accra"/>
    <n v="0.1"/>
    <x v="0"/>
    <n v="9720"/>
    <x v="1"/>
  </r>
  <r>
    <s v="ORD0597"/>
    <x v="367"/>
    <x v="0"/>
    <x v="1"/>
    <n v="16200"/>
    <x v="3"/>
    <x v="1"/>
    <s v="Active"/>
    <x v="1"/>
    <s v="Oti"/>
    <n v="0.1"/>
    <x v="2"/>
    <n v="14580"/>
    <x v="1"/>
  </r>
  <r>
    <s v="ORD0598"/>
    <x v="410"/>
    <x v="0"/>
    <x v="1"/>
    <n v="16200"/>
    <x v="2"/>
    <x v="0"/>
    <s v="Cancelled"/>
    <x v="0"/>
    <s v="Bono"/>
    <n v="0.1"/>
    <x v="1"/>
    <n v="14580"/>
    <x v="0"/>
  </r>
  <r>
    <s v="ORD0599"/>
    <x v="10"/>
    <x v="2"/>
    <x v="1"/>
    <n v="10800"/>
    <x v="3"/>
    <x v="0"/>
    <s v="Cancelled"/>
    <x v="0"/>
    <s v="Ashanti"/>
    <n v="0.1"/>
    <x v="1"/>
    <n v="9720"/>
    <x v="0"/>
  </r>
  <r>
    <s v="ORD0600"/>
    <x v="411"/>
    <x v="0"/>
    <x v="1"/>
    <n v="16200"/>
    <x v="3"/>
    <x v="1"/>
    <s v="Active"/>
    <x v="1"/>
    <s v="Ahafo"/>
    <n v="0.1"/>
    <x v="1"/>
    <n v="14580"/>
    <x v="1"/>
  </r>
  <r>
    <s v="ORD0601"/>
    <x v="412"/>
    <x v="1"/>
    <x v="0"/>
    <n v="500"/>
    <x v="2"/>
    <x v="0"/>
    <s v="Cancelled"/>
    <x v="0"/>
    <s v="Western North"/>
    <n v="0"/>
    <x v="1"/>
    <n v="500"/>
    <x v="0"/>
  </r>
  <r>
    <s v="ORD0602"/>
    <x v="413"/>
    <x v="1"/>
    <x v="0"/>
    <n v="500"/>
    <x v="3"/>
    <x v="2"/>
    <s v="Cancelled"/>
    <x v="0"/>
    <s v="Western"/>
    <n v="0"/>
    <x v="1"/>
    <n v="500"/>
    <x v="0"/>
  </r>
  <r>
    <s v="ORD0603"/>
    <x v="105"/>
    <x v="0"/>
    <x v="1"/>
    <n v="16200"/>
    <x v="3"/>
    <x v="1"/>
    <s v="Active"/>
    <x v="1"/>
    <s v="Western"/>
    <n v="0.1"/>
    <x v="1"/>
    <n v="14580"/>
    <x v="1"/>
  </r>
  <r>
    <s v="ORD0604"/>
    <x v="222"/>
    <x v="1"/>
    <x v="1"/>
    <n v="5400"/>
    <x v="1"/>
    <x v="0"/>
    <s v="Cancelled"/>
    <x v="0"/>
    <s v="Greater Accra"/>
    <n v="0.1"/>
    <x v="0"/>
    <n v="4860"/>
    <x v="0"/>
  </r>
  <r>
    <s v="ORD0605"/>
    <x v="183"/>
    <x v="2"/>
    <x v="0"/>
    <n v="1000"/>
    <x v="1"/>
    <x v="2"/>
    <s v="Cancelled"/>
    <x v="0"/>
    <s v="Central"/>
    <n v="0"/>
    <x v="0"/>
    <n v="1000"/>
    <x v="0"/>
  </r>
  <r>
    <s v="ORD0606"/>
    <x v="385"/>
    <x v="2"/>
    <x v="0"/>
    <n v="1000"/>
    <x v="1"/>
    <x v="1"/>
    <s v="Cancelled"/>
    <x v="0"/>
    <s v="Central"/>
    <n v="0"/>
    <x v="0"/>
    <n v="1000"/>
    <x v="0"/>
  </r>
  <r>
    <s v="ORD0607"/>
    <x v="414"/>
    <x v="1"/>
    <x v="1"/>
    <n v="5400"/>
    <x v="3"/>
    <x v="2"/>
    <s v="Active"/>
    <x v="1"/>
    <s v="Greater Accra"/>
    <n v="0.1"/>
    <x v="0"/>
    <n v="4860"/>
    <x v="1"/>
  </r>
  <r>
    <s v="ORD0608"/>
    <x v="244"/>
    <x v="1"/>
    <x v="1"/>
    <n v="5400"/>
    <x v="1"/>
    <x v="2"/>
    <s v="Active"/>
    <x v="1"/>
    <s v="Central"/>
    <n v="0.1"/>
    <x v="0"/>
    <n v="4860"/>
    <x v="1"/>
  </r>
  <r>
    <s v="ORD0609"/>
    <x v="247"/>
    <x v="1"/>
    <x v="1"/>
    <n v="5400"/>
    <x v="3"/>
    <x v="2"/>
    <s v="Active"/>
    <x v="1"/>
    <s v="Western"/>
    <n v="0.1"/>
    <x v="1"/>
    <n v="4860"/>
    <x v="1"/>
  </r>
  <r>
    <s v="ORD0610"/>
    <x v="251"/>
    <x v="1"/>
    <x v="1"/>
    <n v="5400"/>
    <x v="3"/>
    <x v="1"/>
    <s v="Cancelled"/>
    <x v="0"/>
    <s v="Oti"/>
    <n v="0.1"/>
    <x v="2"/>
    <n v="4860"/>
    <x v="0"/>
  </r>
  <r>
    <s v="ORD0611"/>
    <x v="415"/>
    <x v="2"/>
    <x v="0"/>
    <n v="1000"/>
    <x v="1"/>
    <x v="1"/>
    <s v="Active"/>
    <x v="1"/>
    <s v="Ashanti"/>
    <n v="0"/>
    <x v="1"/>
    <n v="1000"/>
    <x v="1"/>
  </r>
  <r>
    <s v="ORD0612"/>
    <x v="416"/>
    <x v="2"/>
    <x v="0"/>
    <n v="1000"/>
    <x v="1"/>
    <x v="1"/>
    <s v="Active"/>
    <x v="1"/>
    <s v="Central"/>
    <n v="0"/>
    <x v="0"/>
    <n v="1000"/>
    <x v="1"/>
  </r>
  <r>
    <s v="ORD0613"/>
    <x v="36"/>
    <x v="1"/>
    <x v="0"/>
    <n v="500"/>
    <x v="1"/>
    <x v="2"/>
    <s v="Cancelled"/>
    <x v="0"/>
    <s v="Western"/>
    <n v="0"/>
    <x v="1"/>
    <n v="500"/>
    <x v="0"/>
  </r>
  <r>
    <s v="ORD0614"/>
    <x v="54"/>
    <x v="1"/>
    <x v="1"/>
    <n v="5400"/>
    <x v="3"/>
    <x v="0"/>
    <s v="Cancelled"/>
    <x v="0"/>
    <s v="Ahafo"/>
    <n v="0.1"/>
    <x v="1"/>
    <n v="4860"/>
    <x v="0"/>
  </r>
  <r>
    <s v="ORD0615"/>
    <x v="417"/>
    <x v="1"/>
    <x v="0"/>
    <n v="500"/>
    <x v="3"/>
    <x v="2"/>
    <s v="Cancelled"/>
    <x v="0"/>
    <s v="Ahafo"/>
    <n v="0"/>
    <x v="1"/>
    <n v="500"/>
    <x v="0"/>
  </r>
  <r>
    <s v="ORD0616"/>
    <x v="418"/>
    <x v="2"/>
    <x v="1"/>
    <n v="10800"/>
    <x v="1"/>
    <x v="1"/>
    <s v="Cancelled"/>
    <x v="0"/>
    <s v="Ashanti"/>
    <n v="0.1"/>
    <x v="1"/>
    <n v="9720"/>
    <x v="0"/>
  </r>
  <r>
    <s v="ORD0617"/>
    <x v="19"/>
    <x v="1"/>
    <x v="0"/>
    <n v="500"/>
    <x v="2"/>
    <x v="1"/>
    <s v="Cancelled"/>
    <x v="0"/>
    <s v="Northern"/>
    <n v="0"/>
    <x v="3"/>
    <n v="500"/>
    <x v="0"/>
  </r>
  <r>
    <s v="ORD0618"/>
    <x v="187"/>
    <x v="2"/>
    <x v="0"/>
    <n v="1000"/>
    <x v="2"/>
    <x v="2"/>
    <s v="Active"/>
    <x v="1"/>
    <s v="Northern"/>
    <n v="0"/>
    <x v="3"/>
    <n v="1000"/>
    <x v="1"/>
  </r>
  <r>
    <s v="ORD0619"/>
    <x v="78"/>
    <x v="1"/>
    <x v="0"/>
    <n v="500"/>
    <x v="2"/>
    <x v="1"/>
    <s v="Active"/>
    <x v="1"/>
    <s v="Bono"/>
    <n v="0"/>
    <x v="1"/>
    <n v="500"/>
    <x v="1"/>
  </r>
  <r>
    <s v="ORD0620"/>
    <x v="419"/>
    <x v="1"/>
    <x v="1"/>
    <n v="5400"/>
    <x v="1"/>
    <x v="1"/>
    <s v="Active"/>
    <x v="1"/>
    <s v="Greater Accra"/>
    <n v="0.1"/>
    <x v="0"/>
    <n v="4860"/>
    <x v="1"/>
  </r>
  <r>
    <s v="ORD0621"/>
    <x v="419"/>
    <x v="2"/>
    <x v="1"/>
    <n v="10800"/>
    <x v="3"/>
    <x v="1"/>
    <s v="Active"/>
    <x v="1"/>
    <s v="Oti"/>
    <n v="0.1"/>
    <x v="2"/>
    <n v="9720"/>
    <x v="1"/>
  </r>
  <r>
    <s v="ORD0622"/>
    <x v="420"/>
    <x v="1"/>
    <x v="1"/>
    <n v="5400"/>
    <x v="1"/>
    <x v="1"/>
    <s v="Cancelled"/>
    <x v="0"/>
    <s v="Greater Accra"/>
    <n v="0.1"/>
    <x v="0"/>
    <n v="4860"/>
    <x v="0"/>
  </r>
  <r>
    <s v="ORD0623"/>
    <x v="421"/>
    <x v="1"/>
    <x v="1"/>
    <n v="5400"/>
    <x v="1"/>
    <x v="0"/>
    <s v="Cancelled"/>
    <x v="0"/>
    <s v="Central"/>
    <n v="0.1"/>
    <x v="0"/>
    <n v="4860"/>
    <x v="0"/>
  </r>
  <r>
    <s v="ORD0624"/>
    <x v="167"/>
    <x v="2"/>
    <x v="0"/>
    <n v="1000"/>
    <x v="2"/>
    <x v="2"/>
    <s v="Active"/>
    <x v="1"/>
    <s v="Bono"/>
    <n v="0"/>
    <x v="1"/>
    <n v="1000"/>
    <x v="1"/>
  </r>
  <r>
    <s v="ORD0625"/>
    <x v="191"/>
    <x v="2"/>
    <x v="1"/>
    <n v="10800"/>
    <x v="0"/>
    <x v="1"/>
    <s v="Active"/>
    <x v="1"/>
    <s v="Volta"/>
    <n v="0.1"/>
    <x v="2"/>
    <n v="9720"/>
    <x v="1"/>
  </r>
  <r>
    <s v="ORD0626"/>
    <x v="422"/>
    <x v="1"/>
    <x v="0"/>
    <n v="500"/>
    <x v="2"/>
    <x v="1"/>
    <s v="Active"/>
    <x v="1"/>
    <s v="Eastern"/>
    <n v="0"/>
    <x v="2"/>
    <n v="500"/>
    <x v="1"/>
  </r>
  <r>
    <s v="ORD0627"/>
    <x v="423"/>
    <x v="1"/>
    <x v="0"/>
    <n v="500"/>
    <x v="2"/>
    <x v="1"/>
    <s v="Cancelled"/>
    <x v="0"/>
    <s v="Northern"/>
    <n v="0"/>
    <x v="3"/>
    <n v="500"/>
    <x v="0"/>
  </r>
  <r>
    <s v="ORD0628"/>
    <x v="144"/>
    <x v="0"/>
    <x v="1"/>
    <n v="16200"/>
    <x v="1"/>
    <x v="1"/>
    <s v="Active"/>
    <x v="1"/>
    <s v="Western"/>
    <n v="0.1"/>
    <x v="1"/>
    <n v="14580"/>
    <x v="1"/>
  </r>
  <r>
    <s v="ORD0629"/>
    <x v="310"/>
    <x v="0"/>
    <x v="0"/>
    <n v="1500"/>
    <x v="2"/>
    <x v="2"/>
    <s v="Active"/>
    <x v="1"/>
    <s v="Western"/>
    <n v="0"/>
    <x v="1"/>
    <n v="1500"/>
    <x v="1"/>
  </r>
  <r>
    <s v="ORD0630"/>
    <x v="267"/>
    <x v="2"/>
    <x v="1"/>
    <n v="10800"/>
    <x v="3"/>
    <x v="1"/>
    <s v="Active"/>
    <x v="1"/>
    <s v="Greater Accra"/>
    <n v="0.1"/>
    <x v="0"/>
    <n v="9720"/>
    <x v="1"/>
  </r>
  <r>
    <s v="ORD0631"/>
    <x v="19"/>
    <x v="1"/>
    <x v="1"/>
    <n v="5400"/>
    <x v="2"/>
    <x v="0"/>
    <s v="Cancelled"/>
    <x v="0"/>
    <s v="Western"/>
    <n v="0.1"/>
    <x v="1"/>
    <n v="4860"/>
    <x v="0"/>
  </r>
  <r>
    <s v="ORD0632"/>
    <x v="163"/>
    <x v="2"/>
    <x v="0"/>
    <n v="1000"/>
    <x v="1"/>
    <x v="2"/>
    <s v="Cancelled"/>
    <x v="0"/>
    <s v="Ashanti"/>
    <n v="0"/>
    <x v="1"/>
    <n v="1000"/>
    <x v="0"/>
  </r>
  <r>
    <s v="ORD0633"/>
    <x v="270"/>
    <x v="2"/>
    <x v="0"/>
    <n v="1000"/>
    <x v="1"/>
    <x v="2"/>
    <s v="Cancelled"/>
    <x v="0"/>
    <s v="Greater Accra"/>
    <n v="0"/>
    <x v="0"/>
    <n v="1000"/>
    <x v="0"/>
  </r>
  <r>
    <s v="ORD0634"/>
    <x v="254"/>
    <x v="1"/>
    <x v="1"/>
    <n v="5400"/>
    <x v="2"/>
    <x v="0"/>
    <s v="Cancelled"/>
    <x v="0"/>
    <s v="Western North"/>
    <n v="0.1"/>
    <x v="1"/>
    <n v="4860"/>
    <x v="0"/>
  </r>
  <r>
    <s v="ORD0635"/>
    <x v="424"/>
    <x v="0"/>
    <x v="0"/>
    <n v="1500"/>
    <x v="2"/>
    <x v="2"/>
    <s v="Cancelled"/>
    <x v="0"/>
    <s v="Western"/>
    <n v="0"/>
    <x v="1"/>
    <n v="1500"/>
    <x v="0"/>
  </r>
  <r>
    <s v="ORD0636"/>
    <x v="367"/>
    <x v="1"/>
    <x v="0"/>
    <n v="500"/>
    <x v="2"/>
    <x v="1"/>
    <s v="Active"/>
    <x v="1"/>
    <s v="Western"/>
    <n v="0"/>
    <x v="1"/>
    <n v="500"/>
    <x v="1"/>
  </r>
  <r>
    <s v="ORD0637"/>
    <x v="425"/>
    <x v="1"/>
    <x v="0"/>
    <n v="500"/>
    <x v="2"/>
    <x v="2"/>
    <s v="Active"/>
    <x v="1"/>
    <s v="Bono"/>
    <n v="0"/>
    <x v="1"/>
    <n v="500"/>
    <x v="1"/>
  </r>
  <r>
    <s v="ORD0638"/>
    <x v="292"/>
    <x v="1"/>
    <x v="1"/>
    <n v="5400"/>
    <x v="1"/>
    <x v="1"/>
    <s v="Active"/>
    <x v="1"/>
    <s v="Ashanti"/>
    <n v="0.1"/>
    <x v="1"/>
    <n v="4860"/>
    <x v="1"/>
  </r>
  <r>
    <s v="ORD0639"/>
    <x v="222"/>
    <x v="2"/>
    <x v="1"/>
    <n v="10800"/>
    <x v="0"/>
    <x v="2"/>
    <s v="Active"/>
    <x v="1"/>
    <s v="Greater Accra"/>
    <n v="0.1"/>
    <x v="0"/>
    <n v="9720"/>
    <x v="1"/>
  </r>
  <r>
    <s v="ORD0640"/>
    <x v="144"/>
    <x v="2"/>
    <x v="0"/>
    <n v="1000"/>
    <x v="3"/>
    <x v="0"/>
    <s v="Cancelled"/>
    <x v="0"/>
    <s v="Western"/>
    <n v="0"/>
    <x v="1"/>
    <n v="1000"/>
    <x v="0"/>
  </r>
  <r>
    <s v="ORD0641"/>
    <x v="306"/>
    <x v="0"/>
    <x v="0"/>
    <n v="1500"/>
    <x v="3"/>
    <x v="1"/>
    <s v="Active"/>
    <x v="1"/>
    <s v="Ashanti"/>
    <n v="0"/>
    <x v="1"/>
    <n v="1500"/>
    <x v="1"/>
  </r>
  <r>
    <s v="ORD0642"/>
    <x v="196"/>
    <x v="2"/>
    <x v="0"/>
    <n v="1000"/>
    <x v="2"/>
    <x v="2"/>
    <s v="Active"/>
    <x v="1"/>
    <s v="Western North"/>
    <n v="0"/>
    <x v="1"/>
    <n v="1000"/>
    <x v="1"/>
  </r>
  <r>
    <s v="ORD0643"/>
    <x v="402"/>
    <x v="0"/>
    <x v="1"/>
    <n v="16200"/>
    <x v="3"/>
    <x v="1"/>
    <s v="Cancelled"/>
    <x v="0"/>
    <s v="Oti"/>
    <n v="0.1"/>
    <x v="2"/>
    <n v="14580"/>
    <x v="0"/>
  </r>
  <r>
    <s v="ORD0644"/>
    <x v="32"/>
    <x v="1"/>
    <x v="0"/>
    <n v="500"/>
    <x v="0"/>
    <x v="1"/>
    <s v="Active"/>
    <x v="1"/>
    <s v="Greater Accra"/>
    <n v="0"/>
    <x v="0"/>
    <n v="500"/>
    <x v="1"/>
  </r>
  <r>
    <s v="ORD0645"/>
    <x v="426"/>
    <x v="2"/>
    <x v="0"/>
    <n v="1000"/>
    <x v="2"/>
    <x v="1"/>
    <s v="Active"/>
    <x v="1"/>
    <s v="Eastern"/>
    <n v="0"/>
    <x v="2"/>
    <n v="1000"/>
    <x v="1"/>
  </r>
  <r>
    <s v="ORD0646"/>
    <x v="427"/>
    <x v="0"/>
    <x v="1"/>
    <n v="16200"/>
    <x v="1"/>
    <x v="0"/>
    <s v="Cancelled"/>
    <x v="0"/>
    <s v="Central"/>
    <n v="0.1"/>
    <x v="0"/>
    <n v="14580"/>
    <x v="0"/>
  </r>
  <r>
    <s v="ORD0647"/>
    <x v="428"/>
    <x v="1"/>
    <x v="1"/>
    <n v="5400"/>
    <x v="2"/>
    <x v="1"/>
    <s v="Cancelled"/>
    <x v="0"/>
    <s v="Western"/>
    <n v="0.1"/>
    <x v="1"/>
    <n v="4860"/>
    <x v="0"/>
  </r>
  <r>
    <s v="ORD0648"/>
    <x v="429"/>
    <x v="0"/>
    <x v="1"/>
    <n v="16200"/>
    <x v="2"/>
    <x v="2"/>
    <s v="Active"/>
    <x v="1"/>
    <s v="Western"/>
    <n v="0.1"/>
    <x v="1"/>
    <n v="14580"/>
    <x v="1"/>
  </r>
  <r>
    <s v="ORD0649"/>
    <x v="414"/>
    <x v="0"/>
    <x v="1"/>
    <n v="16200"/>
    <x v="3"/>
    <x v="2"/>
    <s v="Cancelled"/>
    <x v="0"/>
    <s v="Eastern"/>
    <n v="0.1"/>
    <x v="2"/>
    <n v="14580"/>
    <x v="0"/>
  </r>
  <r>
    <s v="ORD0650"/>
    <x v="169"/>
    <x v="0"/>
    <x v="1"/>
    <n v="16200"/>
    <x v="0"/>
    <x v="0"/>
    <s v="Cancelled"/>
    <x v="0"/>
    <s v="Ashanti"/>
    <n v="0.1"/>
    <x v="1"/>
    <n v="14580"/>
    <x v="0"/>
  </r>
  <r>
    <s v="ORD0651"/>
    <x v="430"/>
    <x v="2"/>
    <x v="0"/>
    <n v="1000"/>
    <x v="2"/>
    <x v="1"/>
    <s v="Active"/>
    <x v="1"/>
    <s v="Eastern"/>
    <n v="0"/>
    <x v="2"/>
    <n v="1000"/>
    <x v="1"/>
  </r>
  <r>
    <s v="ORD0652"/>
    <x v="32"/>
    <x v="1"/>
    <x v="1"/>
    <n v="5400"/>
    <x v="2"/>
    <x v="2"/>
    <s v="Active"/>
    <x v="1"/>
    <s v="Western"/>
    <n v="0.1"/>
    <x v="1"/>
    <n v="4860"/>
    <x v="1"/>
  </r>
  <r>
    <s v="ORD0653"/>
    <x v="58"/>
    <x v="2"/>
    <x v="1"/>
    <n v="10800"/>
    <x v="0"/>
    <x v="1"/>
    <s v="Active"/>
    <x v="1"/>
    <s v="Savannah"/>
    <n v="0.1"/>
    <x v="3"/>
    <n v="9720"/>
    <x v="1"/>
  </r>
  <r>
    <s v="ORD0654"/>
    <x v="431"/>
    <x v="1"/>
    <x v="1"/>
    <n v="5400"/>
    <x v="1"/>
    <x v="1"/>
    <s v="Active"/>
    <x v="1"/>
    <s v="Greater Accra"/>
    <n v="0.1"/>
    <x v="0"/>
    <n v="4860"/>
    <x v="1"/>
  </r>
  <r>
    <s v="ORD0655"/>
    <x v="405"/>
    <x v="2"/>
    <x v="1"/>
    <n v="10800"/>
    <x v="2"/>
    <x v="2"/>
    <s v="Cancelled"/>
    <x v="0"/>
    <s v="Eastern"/>
    <n v="0.1"/>
    <x v="2"/>
    <n v="9720"/>
    <x v="0"/>
  </r>
  <r>
    <s v="ORD0656"/>
    <x v="432"/>
    <x v="0"/>
    <x v="0"/>
    <n v="1500"/>
    <x v="3"/>
    <x v="1"/>
    <s v="Active"/>
    <x v="1"/>
    <s v="Eastern"/>
    <n v="0"/>
    <x v="2"/>
    <n v="1500"/>
    <x v="1"/>
  </r>
  <r>
    <s v="ORD0657"/>
    <x v="433"/>
    <x v="0"/>
    <x v="0"/>
    <n v="1500"/>
    <x v="3"/>
    <x v="1"/>
    <s v="Cancelled"/>
    <x v="0"/>
    <s v="Eastern"/>
    <n v="0"/>
    <x v="2"/>
    <n v="1500"/>
    <x v="0"/>
  </r>
  <r>
    <s v="ORD0658"/>
    <x v="434"/>
    <x v="2"/>
    <x v="1"/>
    <n v="10800"/>
    <x v="1"/>
    <x v="0"/>
    <s v="Cancelled"/>
    <x v="0"/>
    <s v="Central"/>
    <n v="0.1"/>
    <x v="0"/>
    <n v="9720"/>
    <x v="0"/>
  </r>
  <r>
    <s v="ORD0659"/>
    <x v="435"/>
    <x v="1"/>
    <x v="1"/>
    <n v="5400"/>
    <x v="0"/>
    <x v="1"/>
    <s v="Cancelled"/>
    <x v="0"/>
    <s v="Savannah"/>
    <n v="0.1"/>
    <x v="3"/>
    <n v="4860"/>
    <x v="0"/>
  </r>
  <r>
    <s v="ORD0660"/>
    <x v="80"/>
    <x v="2"/>
    <x v="0"/>
    <n v="1000"/>
    <x v="1"/>
    <x v="1"/>
    <s v="Active"/>
    <x v="1"/>
    <s v="Western"/>
    <n v="0"/>
    <x v="1"/>
    <n v="1000"/>
    <x v="1"/>
  </r>
  <r>
    <s v="ORD0661"/>
    <x v="77"/>
    <x v="0"/>
    <x v="0"/>
    <n v="1500"/>
    <x v="3"/>
    <x v="2"/>
    <s v="Cancelled"/>
    <x v="0"/>
    <s v="Greater Accra"/>
    <n v="0"/>
    <x v="0"/>
    <n v="1500"/>
    <x v="0"/>
  </r>
  <r>
    <s v="ORD0662"/>
    <x v="317"/>
    <x v="0"/>
    <x v="0"/>
    <n v="1500"/>
    <x v="0"/>
    <x v="1"/>
    <s v="Cancelled"/>
    <x v="0"/>
    <s v="Upper East"/>
    <n v="0"/>
    <x v="3"/>
    <n v="1500"/>
    <x v="0"/>
  </r>
  <r>
    <s v="ORD0663"/>
    <x v="399"/>
    <x v="1"/>
    <x v="0"/>
    <n v="500"/>
    <x v="3"/>
    <x v="2"/>
    <s v="Cancelled"/>
    <x v="0"/>
    <s v="Ashanti"/>
    <n v="0"/>
    <x v="1"/>
    <n v="500"/>
    <x v="0"/>
  </r>
  <r>
    <s v="ORD0664"/>
    <x v="372"/>
    <x v="0"/>
    <x v="1"/>
    <n v="16200"/>
    <x v="2"/>
    <x v="1"/>
    <s v="Cancelled"/>
    <x v="0"/>
    <s v="Western"/>
    <n v="0.1"/>
    <x v="1"/>
    <n v="14580"/>
    <x v="0"/>
  </r>
  <r>
    <s v="ORD0665"/>
    <x v="85"/>
    <x v="1"/>
    <x v="0"/>
    <n v="500"/>
    <x v="0"/>
    <x v="1"/>
    <s v="Cancelled"/>
    <x v="0"/>
    <s v="Upper East"/>
    <n v="0"/>
    <x v="3"/>
    <n v="500"/>
    <x v="0"/>
  </r>
  <r>
    <s v="ORD0666"/>
    <x v="356"/>
    <x v="1"/>
    <x v="0"/>
    <n v="500"/>
    <x v="3"/>
    <x v="1"/>
    <s v="Active"/>
    <x v="1"/>
    <s v="Ashanti"/>
    <n v="0"/>
    <x v="1"/>
    <n v="500"/>
    <x v="1"/>
  </r>
  <r>
    <s v="ORD0667"/>
    <x v="436"/>
    <x v="2"/>
    <x v="0"/>
    <n v="1000"/>
    <x v="2"/>
    <x v="0"/>
    <s v="Cancelled"/>
    <x v="0"/>
    <s v="Eastern"/>
    <n v="0"/>
    <x v="2"/>
    <n v="1000"/>
    <x v="0"/>
  </r>
  <r>
    <s v="ORD0668"/>
    <x v="437"/>
    <x v="1"/>
    <x v="0"/>
    <n v="500"/>
    <x v="3"/>
    <x v="1"/>
    <s v="Active"/>
    <x v="1"/>
    <s v="Ashanti"/>
    <n v="0"/>
    <x v="1"/>
    <n v="500"/>
    <x v="1"/>
  </r>
  <r>
    <s v="ORD0669"/>
    <x v="438"/>
    <x v="0"/>
    <x v="0"/>
    <n v="1500"/>
    <x v="0"/>
    <x v="0"/>
    <s v="Cancelled"/>
    <x v="0"/>
    <s v="Upper East"/>
    <n v="0"/>
    <x v="3"/>
    <n v="1500"/>
    <x v="0"/>
  </r>
  <r>
    <s v="ORD0670"/>
    <x v="27"/>
    <x v="0"/>
    <x v="1"/>
    <n v="16200"/>
    <x v="3"/>
    <x v="2"/>
    <s v="Active"/>
    <x v="1"/>
    <s v="Ahafo"/>
    <n v="0.1"/>
    <x v="1"/>
    <n v="14580"/>
    <x v="1"/>
  </r>
  <r>
    <s v="ORD0671"/>
    <x v="198"/>
    <x v="2"/>
    <x v="1"/>
    <n v="10800"/>
    <x v="2"/>
    <x v="0"/>
    <s v="Cancelled"/>
    <x v="0"/>
    <s v="Bono"/>
    <n v="0.1"/>
    <x v="1"/>
    <n v="9720"/>
    <x v="0"/>
  </r>
  <r>
    <s v="ORD0672"/>
    <x v="288"/>
    <x v="1"/>
    <x v="0"/>
    <n v="500"/>
    <x v="2"/>
    <x v="1"/>
    <s v="Active"/>
    <x v="1"/>
    <s v="Northern"/>
    <n v="0"/>
    <x v="3"/>
    <n v="500"/>
    <x v="1"/>
  </r>
  <r>
    <s v="ORD0673"/>
    <x v="439"/>
    <x v="0"/>
    <x v="0"/>
    <n v="1500"/>
    <x v="1"/>
    <x v="1"/>
    <s v="Cancelled"/>
    <x v="0"/>
    <s v="Central"/>
    <n v="0"/>
    <x v="0"/>
    <n v="1500"/>
    <x v="0"/>
  </r>
  <r>
    <s v="ORD0674"/>
    <x v="10"/>
    <x v="0"/>
    <x v="0"/>
    <n v="1500"/>
    <x v="2"/>
    <x v="1"/>
    <s v="Cancelled"/>
    <x v="0"/>
    <s v="Bono"/>
    <n v="0"/>
    <x v="1"/>
    <n v="1500"/>
    <x v="0"/>
  </r>
  <r>
    <s v="ORD0675"/>
    <x v="427"/>
    <x v="0"/>
    <x v="1"/>
    <n v="16200"/>
    <x v="3"/>
    <x v="1"/>
    <s v="Active"/>
    <x v="1"/>
    <s v="Greater Accra"/>
    <n v="0.1"/>
    <x v="0"/>
    <n v="14580"/>
    <x v="1"/>
  </r>
  <r>
    <s v="ORD0676"/>
    <x v="94"/>
    <x v="1"/>
    <x v="1"/>
    <n v="5400"/>
    <x v="3"/>
    <x v="2"/>
    <s v="Active"/>
    <x v="1"/>
    <s v="Eastern"/>
    <n v="0.1"/>
    <x v="2"/>
    <n v="4860"/>
    <x v="1"/>
  </r>
  <r>
    <s v="ORD0677"/>
    <x v="313"/>
    <x v="2"/>
    <x v="0"/>
    <n v="1000"/>
    <x v="2"/>
    <x v="1"/>
    <s v="Active"/>
    <x v="1"/>
    <s v="Bono"/>
    <n v="0"/>
    <x v="1"/>
    <n v="1000"/>
    <x v="1"/>
  </r>
  <r>
    <s v="ORD0678"/>
    <x v="65"/>
    <x v="1"/>
    <x v="0"/>
    <n v="500"/>
    <x v="0"/>
    <x v="2"/>
    <s v="Cancelled"/>
    <x v="0"/>
    <s v="Savannah"/>
    <n v="0"/>
    <x v="3"/>
    <n v="500"/>
    <x v="0"/>
  </r>
  <r>
    <s v="ORD0679"/>
    <x v="440"/>
    <x v="2"/>
    <x v="0"/>
    <n v="1000"/>
    <x v="1"/>
    <x v="2"/>
    <s v="Cancelled"/>
    <x v="0"/>
    <s v="Ashanti"/>
    <n v="0"/>
    <x v="1"/>
    <n v="1000"/>
    <x v="0"/>
  </r>
  <r>
    <s v="ORD0680"/>
    <x v="169"/>
    <x v="1"/>
    <x v="1"/>
    <n v="5400"/>
    <x v="0"/>
    <x v="0"/>
    <s v="Cancelled"/>
    <x v="0"/>
    <s v="Ashanti"/>
    <n v="0.1"/>
    <x v="1"/>
    <n v="4860"/>
    <x v="0"/>
  </r>
  <r>
    <s v="ORD0681"/>
    <x v="441"/>
    <x v="1"/>
    <x v="1"/>
    <n v="5400"/>
    <x v="0"/>
    <x v="2"/>
    <s v="Cancelled"/>
    <x v="0"/>
    <s v="Upper East"/>
    <n v="0.1"/>
    <x v="3"/>
    <n v="4860"/>
    <x v="0"/>
  </r>
  <r>
    <s v="ORD0682"/>
    <x v="401"/>
    <x v="0"/>
    <x v="0"/>
    <n v="1500"/>
    <x v="1"/>
    <x v="2"/>
    <s v="Active"/>
    <x v="1"/>
    <s v="Greater Accra"/>
    <n v="0"/>
    <x v="0"/>
    <n v="1500"/>
    <x v="1"/>
  </r>
  <r>
    <s v="ORD0683"/>
    <x v="442"/>
    <x v="0"/>
    <x v="0"/>
    <n v="1500"/>
    <x v="0"/>
    <x v="1"/>
    <s v="Active"/>
    <x v="1"/>
    <s v="Savannah"/>
    <n v="0"/>
    <x v="3"/>
    <n v="1500"/>
    <x v="1"/>
  </r>
  <r>
    <s v="ORD0684"/>
    <x v="443"/>
    <x v="0"/>
    <x v="1"/>
    <n v="16200"/>
    <x v="1"/>
    <x v="1"/>
    <s v="Active"/>
    <x v="1"/>
    <s v="Greater Accra"/>
    <n v="0.1"/>
    <x v="0"/>
    <n v="14580"/>
    <x v="1"/>
  </r>
  <r>
    <s v="ORD0685"/>
    <x v="37"/>
    <x v="1"/>
    <x v="0"/>
    <n v="500"/>
    <x v="1"/>
    <x v="2"/>
    <s v="Cancelled"/>
    <x v="0"/>
    <s v="Greater Accra"/>
    <n v="0"/>
    <x v="0"/>
    <n v="500"/>
    <x v="0"/>
  </r>
  <r>
    <s v="ORD0686"/>
    <x v="375"/>
    <x v="0"/>
    <x v="1"/>
    <n v="16200"/>
    <x v="3"/>
    <x v="2"/>
    <s v="Cancelled"/>
    <x v="0"/>
    <s v="Ahafo"/>
    <n v="0.1"/>
    <x v="1"/>
    <n v="14580"/>
    <x v="0"/>
  </r>
  <r>
    <s v="ORD0687"/>
    <x v="444"/>
    <x v="2"/>
    <x v="0"/>
    <n v="1000"/>
    <x v="1"/>
    <x v="2"/>
    <s v="Active"/>
    <x v="1"/>
    <s v="Greater Accra"/>
    <n v="0"/>
    <x v="0"/>
    <n v="1000"/>
    <x v="1"/>
  </r>
  <r>
    <s v="ORD0688"/>
    <x v="445"/>
    <x v="1"/>
    <x v="0"/>
    <n v="500"/>
    <x v="2"/>
    <x v="2"/>
    <s v="Cancelled"/>
    <x v="0"/>
    <s v="Northern"/>
    <n v="0"/>
    <x v="3"/>
    <n v="500"/>
    <x v="0"/>
  </r>
  <r>
    <s v="ORD0689"/>
    <x v="446"/>
    <x v="0"/>
    <x v="1"/>
    <n v="16200"/>
    <x v="0"/>
    <x v="1"/>
    <s v="Active"/>
    <x v="1"/>
    <s v="Savannah"/>
    <n v="0.1"/>
    <x v="3"/>
    <n v="14580"/>
    <x v="1"/>
  </r>
  <r>
    <s v="ORD0690"/>
    <x v="447"/>
    <x v="0"/>
    <x v="1"/>
    <n v="16200"/>
    <x v="2"/>
    <x v="2"/>
    <s v="Active"/>
    <x v="1"/>
    <s v="Western"/>
    <n v="0.1"/>
    <x v="1"/>
    <n v="14580"/>
    <x v="1"/>
  </r>
  <r>
    <s v="ORD0691"/>
    <x v="203"/>
    <x v="1"/>
    <x v="0"/>
    <n v="500"/>
    <x v="2"/>
    <x v="1"/>
    <s v="Active"/>
    <x v="1"/>
    <s v="Northern"/>
    <n v="0"/>
    <x v="3"/>
    <n v="500"/>
    <x v="1"/>
  </r>
  <r>
    <s v="ORD0692"/>
    <x v="448"/>
    <x v="0"/>
    <x v="1"/>
    <n v="16200"/>
    <x v="2"/>
    <x v="1"/>
    <s v="Active"/>
    <x v="1"/>
    <s v="Eastern"/>
    <n v="0.1"/>
    <x v="2"/>
    <n v="14580"/>
    <x v="1"/>
  </r>
  <r>
    <s v="ORD0693"/>
    <x v="449"/>
    <x v="0"/>
    <x v="0"/>
    <n v="1500"/>
    <x v="0"/>
    <x v="1"/>
    <s v="Active"/>
    <x v="1"/>
    <s v="Savannah"/>
    <n v="0"/>
    <x v="3"/>
    <n v="1500"/>
    <x v="1"/>
  </r>
  <r>
    <s v="ORD0694"/>
    <x v="146"/>
    <x v="1"/>
    <x v="1"/>
    <n v="5400"/>
    <x v="0"/>
    <x v="1"/>
    <s v="Active"/>
    <x v="1"/>
    <s v="Volta"/>
    <n v="0.1"/>
    <x v="2"/>
    <n v="4860"/>
    <x v="1"/>
  </r>
  <r>
    <s v="ORD0695"/>
    <x v="221"/>
    <x v="1"/>
    <x v="0"/>
    <n v="500"/>
    <x v="3"/>
    <x v="2"/>
    <s v="Active"/>
    <x v="1"/>
    <s v="Oti"/>
    <n v="0"/>
    <x v="2"/>
    <n v="500"/>
    <x v="1"/>
  </r>
  <r>
    <s v="ORD0696"/>
    <x v="74"/>
    <x v="2"/>
    <x v="0"/>
    <n v="1000"/>
    <x v="1"/>
    <x v="1"/>
    <s v="Active"/>
    <x v="1"/>
    <s v="Greater Accra"/>
    <n v="0"/>
    <x v="0"/>
    <n v="1000"/>
    <x v="1"/>
  </r>
  <r>
    <s v="ORD0697"/>
    <x v="105"/>
    <x v="2"/>
    <x v="1"/>
    <n v="10800"/>
    <x v="3"/>
    <x v="2"/>
    <s v="Active"/>
    <x v="1"/>
    <s v="Oti"/>
    <n v="0.1"/>
    <x v="2"/>
    <n v="9720"/>
    <x v="1"/>
  </r>
  <r>
    <s v="ORD0698"/>
    <x v="39"/>
    <x v="0"/>
    <x v="0"/>
    <n v="1500"/>
    <x v="2"/>
    <x v="1"/>
    <s v="Cancelled"/>
    <x v="0"/>
    <s v="Western"/>
    <n v="0"/>
    <x v="1"/>
    <n v="1500"/>
    <x v="0"/>
  </r>
  <r>
    <s v="ORD0699"/>
    <x v="274"/>
    <x v="2"/>
    <x v="0"/>
    <n v="1000"/>
    <x v="0"/>
    <x v="2"/>
    <s v="Active"/>
    <x v="1"/>
    <s v="Savannah"/>
    <n v="0"/>
    <x v="3"/>
    <n v="1000"/>
    <x v="1"/>
  </r>
  <r>
    <s v="ORD0700"/>
    <x v="215"/>
    <x v="2"/>
    <x v="1"/>
    <n v="10800"/>
    <x v="1"/>
    <x v="1"/>
    <s v="Active"/>
    <x v="1"/>
    <s v="Central"/>
    <n v="0.1"/>
    <x v="0"/>
    <n v="9720"/>
    <x v="1"/>
  </r>
  <r>
    <s v="ORD0701"/>
    <x v="110"/>
    <x v="0"/>
    <x v="1"/>
    <n v="16200"/>
    <x v="2"/>
    <x v="2"/>
    <s v="Cancelled"/>
    <x v="0"/>
    <s v="Western"/>
    <n v="0.1"/>
    <x v="1"/>
    <n v="14580"/>
    <x v="0"/>
  </r>
  <r>
    <s v="ORD0702"/>
    <x v="400"/>
    <x v="2"/>
    <x v="0"/>
    <n v="1000"/>
    <x v="3"/>
    <x v="1"/>
    <s v="Active"/>
    <x v="1"/>
    <s v="Ashanti"/>
    <n v="0"/>
    <x v="1"/>
    <n v="1000"/>
    <x v="1"/>
  </r>
  <r>
    <s v="ORD0703"/>
    <x v="392"/>
    <x v="2"/>
    <x v="1"/>
    <n v="10800"/>
    <x v="0"/>
    <x v="2"/>
    <s v="Active"/>
    <x v="1"/>
    <s v="Volta"/>
    <n v="0.1"/>
    <x v="2"/>
    <n v="9720"/>
    <x v="1"/>
  </r>
  <r>
    <s v="ORD0704"/>
    <x v="253"/>
    <x v="2"/>
    <x v="1"/>
    <n v="10800"/>
    <x v="3"/>
    <x v="1"/>
    <s v="Active"/>
    <x v="1"/>
    <s v="Greater Accra"/>
    <n v="0.1"/>
    <x v="0"/>
    <n v="9720"/>
    <x v="1"/>
  </r>
  <r>
    <s v="ORD0705"/>
    <x v="16"/>
    <x v="2"/>
    <x v="0"/>
    <n v="1000"/>
    <x v="2"/>
    <x v="1"/>
    <s v="Active"/>
    <x v="1"/>
    <s v="Eastern"/>
    <n v="0"/>
    <x v="2"/>
    <n v="1000"/>
    <x v="1"/>
  </r>
  <r>
    <s v="ORD0706"/>
    <x v="214"/>
    <x v="2"/>
    <x v="0"/>
    <n v="1000"/>
    <x v="3"/>
    <x v="2"/>
    <s v="Cancelled"/>
    <x v="0"/>
    <s v="Ashanti"/>
    <n v="0"/>
    <x v="1"/>
    <n v="1000"/>
    <x v="0"/>
  </r>
  <r>
    <s v="ORD0707"/>
    <x v="344"/>
    <x v="2"/>
    <x v="1"/>
    <n v="10800"/>
    <x v="1"/>
    <x v="1"/>
    <s v="Active"/>
    <x v="1"/>
    <s v="Central"/>
    <n v="0.1"/>
    <x v="0"/>
    <n v="9720"/>
    <x v="1"/>
  </r>
  <r>
    <s v="ORD0708"/>
    <x v="265"/>
    <x v="2"/>
    <x v="0"/>
    <n v="1000"/>
    <x v="1"/>
    <x v="2"/>
    <s v="Cancelled"/>
    <x v="0"/>
    <s v="Central"/>
    <n v="0"/>
    <x v="0"/>
    <n v="1000"/>
    <x v="0"/>
  </r>
  <r>
    <s v="ORD0709"/>
    <x v="417"/>
    <x v="2"/>
    <x v="1"/>
    <n v="10800"/>
    <x v="0"/>
    <x v="1"/>
    <s v="Cancelled"/>
    <x v="0"/>
    <s v="Greater Accra"/>
    <n v="0.1"/>
    <x v="0"/>
    <n v="9720"/>
    <x v="0"/>
  </r>
  <r>
    <s v="ORD0710"/>
    <x v="438"/>
    <x v="1"/>
    <x v="1"/>
    <n v="5400"/>
    <x v="3"/>
    <x v="0"/>
    <s v="Cancelled"/>
    <x v="0"/>
    <s v="Greater Accra"/>
    <n v="0.1"/>
    <x v="0"/>
    <n v="4860"/>
    <x v="0"/>
  </r>
  <r>
    <s v="ORD0711"/>
    <x v="450"/>
    <x v="0"/>
    <x v="1"/>
    <n v="16200"/>
    <x v="1"/>
    <x v="1"/>
    <s v="Active"/>
    <x v="1"/>
    <s v="Greater Accra"/>
    <n v="0.1"/>
    <x v="0"/>
    <n v="14580"/>
    <x v="1"/>
  </r>
  <r>
    <s v="ORD0712"/>
    <x v="451"/>
    <x v="2"/>
    <x v="1"/>
    <n v="10800"/>
    <x v="2"/>
    <x v="0"/>
    <s v="Cancelled"/>
    <x v="0"/>
    <s v="Eastern"/>
    <n v="0.1"/>
    <x v="2"/>
    <n v="9720"/>
    <x v="0"/>
  </r>
  <r>
    <s v="ORD0713"/>
    <x v="376"/>
    <x v="1"/>
    <x v="1"/>
    <n v="5400"/>
    <x v="1"/>
    <x v="1"/>
    <s v="Active"/>
    <x v="1"/>
    <s v="Ashanti"/>
    <n v="0.1"/>
    <x v="1"/>
    <n v="4860"/>
    <x v="1"/>
  </r>
  <r>
    <s v="ORD0714"/>
    <x v="302"/>
    <x v="2"/>
    <x v="0"/>
    <n v="1000"/>
    <x v="2"/>
    <x v="1"/>
    <s v="Active"/>
    <x v="1"/>
    <s v="Eastern"/>
    <n v="0"/>
    <x v="2"/>
    <n v="1000"/>
    <x v="1"/>
  </r>
  <r>
    <s v="ORD0715"/>
    <x v="170"/>
    <x v="0"/>
    <x v="0"/>
    <n v="1500"/>
    <x v="1"/>
    <x v="1"/>
    <s v="Cancelled"/>
    <x v="0"/>
    <s v="Central"/>
    <n v="0"/>
    <x v="0"/>
    <n v="1500"/>
    <x v="0"/>
  </r>
  <r>
    <s v="ORD0716"/>
    <x v="98"/>
    <x v="2"/>
    <x v="0"/>
    <n v="1000"/>
    <x v="1"/>
    <x v="2"/>
    <s v="Cancelled"/>
    <x v="0"/>
    <s v="Central"/>
    <n v="0"/>
    <x v="0"/>
    <n v="1000"/>
    <x v="0"/>
  </r>
  <r>
    <s v="ORD0717"/>
    <x v="113"/>
    <x v="2"/>
    <x v="0"/>
    <n v="1000"/>
    <x v="0"/>
    <x v="0"/>
    <s v="Cancelled"/>
    <x v="0"/>
    <s v="Ashanti"/>
    <n v="0"/>
    <x v="1"/>
    <n v="1000"/>
    <x v="0"/>
  </r>
  <r>
    <s v="ORD0718"/>
    <x v="232"/>
    <x v="2"/>
    <x v="1"/>
    <n v="10800"/>
    <x v="1"/>
    <x v="1"/>
    <s v="Active"/>
    <x v="1"/>
    <s v="Greater Accra"/>
    <n v="0.1"/>
    <x v="0"/>
    <n v="9720"/>
    <x v="1"/>
  </r>
  <r>
    <s v="ORD0719"/>
    <x v="305"/>
    <x v="2"/>
    <x v="0"/>
    <n v="1000"/>
    <x v="3"/>
    <x v="2"/>
    <s v="Active"/>
    <x v="1"/>
    <s v="Ahafo"/>
    <n v="0"/>
    <x v="1"/>
    <n v="1000"/>
    <x v="1"/>
  </r>
  <r>
    <s v="ORD0720"/>
    <x v="452"/>
    <x v="2"/>
    <x v="1"/>
    <n v="10800"/>
    <x v="2"/>
    <x v="0"/>
    <s v="Cancelled"/>
    <x v="0"/>
    <s v="Eastern"/>
    <n v="0.1"/>
    <x v="2"/>
    <n v="9720"/>
    <x v="0"/>
  </r>
  <r>
    <s v="ORD0721"/>
    <x v="453"/>
    <x v="2"/>
    <x v="0"/>
    <n v="1000"/>
    <x v="3"/>
    <x v="2"/>
    <s v="Active"/>
    <x v="1"/>
    <s v="Eastern"/>
    <n v="0"/>
    <x v="2"/>
    <n v="1000"/>
    <x v="1"/>
  </r>
  <r>
    <s v="ORD0722"/>
    <x v="454"/>
    <x v="1"/>
    <x v="0"/>
    <n v="500"/>
    <x v="3"/>
    <x v="1"/>
    <s v="Cancelled"/>
    <x v="0"/>
    <s v="Greater Accra"/>
    <n v="0"/>
    <x v="0"/>
    <n v="500"/>
    <x v="0"/>
  </r>
  <r>
    <s v="ORD0723"/>
    <x v="455"/>
    <x v="1"/>
    <x v="0"/>
    <n v="500"/>
    <x v="1"/>
    <x v="1"/>
    <s v="Cancelled"/>
    <x v="0"/>
    <s v="Ashanti"/>
    <n v="0"/>
    <x v="1"/>
    <n v="500"/>
    <x v="0"/>
  </r>
  <r>
    <s v="ORD0724"/>
    <x v="329"/>
    <x v="2"/>
    <x v="1"/>
    <n v="10800"/>
    <x v="1"/>
    <x v="2"/>
    <s v="Active"/>
    <x v="1"/>
    <s v="Greater Accra"/>
    <n v="0.1"/>
    <x v="0"/>
    <n v="9720"/>
    <x v="1"/>
  </r>
  <r>
    <s v="ORD0725"/>
    <x v="449"/>
    <x v="2"/>
    <x v="0"/>
    <n v="1000"/>
    <x v="2"/>
    <x v="1"/>
    <s v="Cancelled"/>
    <x v="0"/>
    <s v="Western"/>
    <n v="0"/>
    <x v="1"/>
    <n v="1000"/>
    <x v="0"/>
  </r>
  <r>
    <s v="ORD0726"/>
    <x v="150"/>
    <x v="2"/>
    <x v="1"/>
    <n v="10800"/>
    <x v="2"/>
    <x v="1"/>
    <s v="Active"/>
    <x v="1"/>
    <s v="Western"/>
    <n v="0.1"/>
    <x v="1"/>
    <n v="9720"/>
    <x v="1"/>
  </r>
  <r>
    <s v="ORD0727"/>
    <x v="426"/>
    <x v="0"/>
    <x v="0"/>
    <n v="1500"/>
    <x v="0"/>
    <x v="2"/>
    <s v="Cancelled"/>
    <x v="0"/>
    <s v="Greater Accra"/>
    <n v="0"/>
    <x v="0"/>
    <n v="1500"/>
    <x v="0"/>
  </r>
  <r>
    <s v="ORD0728"/>
    <x v="212"/>
    <x v="2"/>
    <x v="0"/>
    <n v="1000"/>
    <x v="1"/>
    <x v="1"/>
    <s v="Active"/>
    <x v="1"/>
    <s v="Central"/>
    <n v="0"/>
    <x v="0"/>
    <n v="1000"/>
    <x v="1"/>
  </r>
  <r>
    <s v="ORD0729"/>
    <x v="50"/>
    <x v="0"/>
    <x v="1"/>
    <n v="16200"/>
    <x v="2"/>
    <x v="1"/>
    <s v="Active"/>
    <x v="1"/>
    <s v="Eastern"/>
    <n v="0.1"/>
    <x v="2"/>
    <n v="14580"/>
    <x v="1"/>
  </r>
  <r>
    <s v="ORD0730"/>
    <x v="456"/>
    <x v="1"/>
    <x v="1"/>
    <n v="5400"/>
    <x v="3"/>
    <x v="2"/>
    <s v="Cancelled"/>
    <x v="0"/>
    <s v="Greater Accra"/>
    <n v="0.1"/>
    <x v="0"/>
    <n v="4860"/>
    <x v="0"/>
  </r>
  <r>
    <s v="ORD0731"/>
    <x v="457"/>
    <x v="0"/>
    <x v="1"/>
    <n v="16200"/>
    <x v="0"/>
    <x v="1"/>
    <s v="Active"/>
    <x v="1"/>
    <s v="Upper East"/>
    <n v="0.1"/>
    <x v="3"/>
    <n v="14580"/>
    <x v="1"/>
  </r>
  <r>
    <s v="ORD0732"/>
    <x v="316"/>
    <x v="1"/>
    <x v="1"/>
    <n v="5400"/>
    <x v="2"/>
    <x v="0"/>
    <s v="Cancelled"/>
    <x v="0"/>
    <s v="Northern"/>
    <n v="0.1"/>
    <x v="3"/>
    <n v="4860"/>
    <x v="0"/>
  </r>
  <r>
    <s v="ORD0733"/>
    <x v="399"/>
    <x v="2"/>
    <x v="1"/>
    <n v="10800"/>
    <x v="3"/>
    <x v="1"/>
    <s v="Active"/>
    <x v="1"/>
    <s v="Oti"/>
    <n v="0.1"/>
    <x v="2"/>
    <n v="9720"/>
    <x v="1"/>
  </r>
  <r>
    <s v="ORD0734"/>
    <x v="382"/>
    <x v="0"/>
    <x v="0"/>
    <n v="1500"/>
    <x v="0"/>
    <x v="2"/>
    <s v="Cancelled"/>
    <x v="0"/>
    <s v="Volta"/>
    <n v="0"/>
    <x v="2"/>
    <n v="1500"/>
    <x v="0"/>
  </r>
  <r>
    <s v="ORD0735"/>
    <x v="217"/>
    <x v="1"/>
    <x v="0"/>
    <n v="500"/>
    <x v="2"/>
    <x v="0"/>
    <s v="Cancelled"/>
    <x v="0"/>
    <s v="Western"/>
    <n v="0"/>
    <x v="1"/>
    <n v="500"/>
    <x v="0"/>
  </r>
  <r>
    <s v="ORD0736"/>
    <x v="161"/>
    <x v="2"/>
    <x v="1"/>
    <n v="10800"/>
    <x v="1"/>
    <x v="1"/>
    <s v="Active"/>
    <x v="1"/>
    <s v="Greater Accra"/>
    <n v="0.1"/>
    <x v="0"/>
    <n v="9720"/>
    <x v="1"/>
  </r>
  <r>
    <s v="ORD0737"/>
    <x v="202"/>
    <x v="1"/>
    <x v="1"/>
    <n v="5400"/>
    <x v="3"/>
    <x v="1"/>
    <s v="Active"/>
    <x v="1"/>
    <s v="Eastern"/>
    <n v="0.1"/>
    <x v="2"/>
    <n v="4860"/>
    <x v="1"/>
  </r>
  <r>
    <s v="ORD0738"/>
    <x v="304"/>
    <x v="2"/>
    <x v="1"/>
    <n v="10800"/>
    <x v="2"/>
    <x v="2"/>
    <s v="Cancelled"/>
    <x v="0"/>
    <s v="Eastern"/>
    <n v="0.1"/>
    <x v="2"/>
    <n v="9720"/>
    <x v="0"/>
  </r>
  <r>
    <s v="ORD0739"/>
    <x v="386"/>
    <x v="0"/>
    <x v="0"/>
    <n v="1500"/>
    <x v="3"/>
    <x v="1"/>
    <s v="Active"/>
    <x v="1"/>
    <s v="Greater Accra"/>
    <n v="0"/>
    <x v="0"/>
    <n v="1500"/>
    <x v="1"/>
  </r>
  <r>
    <s v="ORD0740"/>
    <x v="390"/>
    <x v="2"/>
    <x v="1"/>
    <n v="10800"/>
    <x v="3"/>
    <x v="1"/>
    <s v="Active"/>
    <x v="1"/>
    <s v="Eastern"/>
    <n v="0.1"/>
    <x v="2"/>
    <n v="9720"/>
    <x v="1"/>
  </r>
  <r>
    <s v="ORD0741"/>
    <x v="368"/>
    <x v="1"/>
    <x v="1"/>
    <n v="5400"/>
    <x v="0"/>
    <x v="2"/>
    <s v="Cancelled"/>
    <x v="0"/>
    <s v="Upper East"/>
    <n v="0.1"/>
    <x v="3"/>
    <n v="4860"/>
    <x v="0"/>
  </r>
  <r>
    <s v="ORD0742"/>
    <x v="458"/>
    <x v="1"/>
    <x v="0"/>
    <n v="500"/>
    <x v="0"/>
    <x v="0"/>
    <s v="Cancelled"/>
    <x v="0"/>
    <s v="Greater Accra"/>
    <n v="0"/>
    <x v="0"/>
    <n v="500"/>
    <x v="0"/>
  </r>
  <r>
    <s v="ORD0743"/>
    <x v="264"/>
    <x v="2"/>
    <x v="0"/>
    <n v="1000"/>
    <x v="0"/>
    <x v="1"/>
    <s v="Cancelled"/>
    <x v="0"/>
    <s v="Volta"/>
    <n v="0"/>
    <x v="2"/>
    <n v="1000"/>
    <x v="0"/>
  </r>
  <r>
    <s v="ORD0744"/>
    <x v="459"/>
    <x v="0"/>
    <x v="1"/>
    <n v="16200"/>
    <x v="0"/>
    <x v="1"/>
    <s v="Active"/>
    <x v="1"/>
    <s v="Upper East"/>
    <n v="0.1"/>
    <x v="3"/>
    <n v="14580"/>
    <x v="1"/>
  </r>
  <r>
    <s v="ORD0745"/>
    <x v="31"/>
    <x v="0"/>
    <x v="0"/>
    <n v="1500"/>
    <x v="0"/>
    <x v="2"/>
    <s v="Cancelled"/>
    <x v="0"/>
    <s v="Ashanti"/>
    <n v="0"/>
    <x v="1"/>
    <n v="1500"/>
    <x v="0"/>
  </r>
  <r>
    <s v="ORD0746"/>
    <x v="460"/>
    <x v="2"/>
    <x v="1"/>
    <n v="10800"/>
    <x v="3"/>
    <x v="2"/>
    <s v="Active"/>
    <x v="1"/>
    <s v="Greater Accra"/>
    <n v="0.1"/>
    <x v="0"/>
    <n v="9720"/>
    <x v="1"/>
  </r>
  <r>
    <s v="ORD0747"/>
    <x v="399"/>
    <x v="0"/>
    <x v="1"/>
    <n v="16200"/>
    <x v="1"/>
    <x v="2"/>
    <s v="Cancelled"/>
    <x v="0"/>
    <s v="Ashanti"/>
    <n v="0.1"/>
    <x v="1"/>
    <n v="14580"/>
    <x v="0"/>
  </r>
  <r>
    <s v="ORD0748"/>
    <x v="461"/>
    <x v="2"/>
    <x v="0"/>
    <n v="1000"/>
    <x v="1"/>
    <x v="1"/>
    <s v="Active"/>
    <x v="1"/>
    <s v="Greater Accra"/>
    <n v="0"/>
    <x v="0"/>
    <n v="1000"/>
    <x v="1"/>
  </r>
  <r>
    <s v="ORD0749"/>
    <x v="197"/>
    <x v="0"/>
    <x v="1"/>
    <n v="16200"/>
    <x v="3"/>
    <x v="1"/>
    <s v="Active"/>
    <x v="1"/>
    <s v="Greater Accra"/>
    <n v="0.1"/>
    <x v="0"/>
    <n v="14580"/>
    <x v="1"/>
  </r>
  <r>
    <s v="ORD0750"/>
    <x v="462"/>
    <x v="1"/>
    <x v="0"/>
    <n v="500"/>
    <x v="1"/>
    <x v="1"/>
    <s v="Active"/>
    <x v="1"/>
    <s v="Central"/>
    <n v="0"/>
    <x v="0"/>
    <n v="500"/>
    <x v="1"/>
  </r>
  <r>
    <s v="ORD0751"/>
    <x v="463"/>
    <x v="1"/>
    <x v="0"/>
    <n v="500"/>
    <x v="3"/>
    <x v="1"/>
    <s v="Active"/>
    <x v="1"/>
    <s v="Oti"/>
    <n v="0"/>
    <x v="2"/>
    <n v="500"/>
    <x v="1"/>
  </r>
  <r>
    <s v="ORD0752"/>
    <x v="464"/>
    <x v="1"/>
    <x v="0"/>
    <n v="500"/>
    <x v="3"/>
    <x v="2"/>
    <s v="Cancelled"/>
    <x v="0"/>
    <s v="Greater Accra"/>
    <n v="0"/>
    <x v="0"/>
    <n v="500"/>
    <x v="0"/>
  </r>
  <r>
    <s v="ORD0753"/>
    <x v="465"/>
    <x v="1"/>
    <x v="0"/>
    <n v="500"/>
    <x v="3"/>
    <x v="0"/>
    <s v="Cancelled"/>
    <x v="0"/>
    <s v="Western"/>
    <n v="0"/>
    <x v="1"/>
    <n v="500"/>
    <x v="0"/>
  </r>
  <r>
    <s v="ORD0754"/>
    <x v="36"/>
    <x v="2"/>
    <x v="1"/>
    <n v="10800"/>
    <x v="1"/>
    <x v="0"/>
    <s v="Cancelled"/>
    <x v="0"/>
    <s v="Western"/>
    <n v="0.1"/>
    <x v="1"/>
    <n v="9720"/>
    <x v="0"/>
  </r>
  <r>
    <s v="ORD0755"/>
    <x v="466"/>
    <x v="2"/>
    <x v="1"/>
    <n v="10800"/>
    <x v="2"/>
    <x v="1"/>
    <s v="Active"/>
    <x v="1"/>
    <s v="Western"/>
    <n v="0.1"/>
    <x v="1"/>
    <n v="9720"/>
    <x v="1"/>
  </r>
  <r>
    <s v="ORD0756"/>
    <x v="467"/>
    <x v="2"/>
    <x v="1"/>
    <n v="10800"/>
    <x v="1"/>
    <x v="2"/>
    <s v="Cancelled"/>
    <x v="0"/>
    <s v="Central"/>
    <n v="0.1"/>
    <x v="0"/>
    <n v="9720"/>
    <x v="0"/>
  </r>
  <r>
    <s v="ORD0757"/>
    <x v="433"/>
    <x v="1"/>
    <x v="1"/>
    <n v="5400"/>
    <x v="2"/>
    <x v="2"/>
    <s v="Cancelled"/>
    <x v="0"/>
    <s v="Western North"/>
    <n v="0.1"/>
    <x v="1"/>
    <n v="4860"/>
    <x v="0"/>
  </r>
  <r>
    <s v="ORD0758"/>
    <x v="468"/>
    <x v="1"/>
    <x v="0"/>
    <n v="500"/>
    <x v="1"/>
    <x v="0"/>
    <s v="Cancelled"/>
    <x v="0"/>
    <s v="Greater Accra"/>
    <n v="0"/>
    <x v="0"/>
    <n v="500"/>
    <x v="0"/>
  </r>
  <r>
    <s v="ORD0759"/>
    <x v="202"/>
    <x v="1"/>
    <x v="0"/>
    <n v="500"/>
    <x v="1"/>
    <x v="2"/>
    <s v="Cancelled"/>
    <x v="0"/>
    <s v="Central"/>
    <n v="0"/>
    <x v="0"/>
    <n v="500"/>
    <x v="0"/>
  </r>
  <r>
    <s v="ORD0760"/>
    <x v="469"/>
    <x v="1"/>
    <x v="1"/>
    <n v="5400"/>
    <x v="0"/>
    <x v="1"/>
    <s v="Active"/>
    <x v="1"/>
    <s v="Ashanti"/>
    <n v="0.1"/>
    <x v="1"/>
    <n v="4860"/>
    <x v="1"/>
  </r>
  <r>
    <s v="ORD0761"/>
    <x v="470"/>
    <x v="1"/>
    <x v="1"/>
    <n v="5400"/>
    <x v="1"/>
    <x v="1"/>
    <s v="Active"/>
    <x v="1"/>
    <s v="Ashanti"/>
    <n v="0.1"/>
    <x v="1"/>
    <n v="4860"/>
    <x v="1"/>
  </r>
  <r>
    <s v="ORD0762"/>
    <x v="169"/>
    <x v="2"/>
    <x v="1"/>
    <n v="10800"/>
    <x v="0"/>
    <x v="0"/>
    <s v="Cancelled"/>
    <x v="0"/>
    <s v="Greater Accra"/>
    <n v="0.1"/>
    <x v="0"/>
    <n v="9720"/>
    <x v="0"/>
  </r>
  <r>
    <s v="ORD0763"/>
    <x v="333"/>
    <x v="0"/>
    <x v="1"/>
    <n v="16200"/>
    <x v="2"/>
    <x v="0"/>
    <s v="Cancelled"/>
    <x v="0"/>
    <s v="Western North"/>
    <n v="0.1"/>
    <x v="1"/>
    <n v="14580"/>
    <x v="0"/>
  </r>
  <r>
    <s v="ORD0764"/>
    <x v="471"/>
    <x v="2"/>
    <x v="0"/>
    <n v="1000"/>
    <x v="0"/>
    <x v="1"/>
    <s v="Active"/>
    <x v="1"/>
    <s v="Upper East"/>
    <n v="0"/>
    <x v="3"/>
    <n v="1000"/>
    <x v="1"/>
  </r>
  <r>
    <s v="ORD0765"/>
    <x v="472"/>
    <x v="2"/>
    <x v="1"/>
    <n v="10800"/>
    <x v="3"/>
    <x v="2"/>
    <s v="Cancelled"/>
    <x v="0"/>
    <s v="Western"/>
    <n v="0.1"/>
    <x v="1"/>
    <n v="9720"/>
    <x v="0"/>
  </r>
  <r>
    <s v="ORD0766"/>
    <x v="190"/>
    <x v="2"/>
    <x v="1"/>
    <n v="10800"/>
    <x v="0"/>
    <x v="0"/>
    <s v="Cancelled"/>
    <x v="0"/>
    <s v="Upper East"/>
    <n v="0.1"/>
    <x v="3"/>
    <n v="9720"/>
    <x v="0"/>
  </r>
  <r>
    <s v="ORD0767"/>
    <x v="473"/>
    <x v="2"/>
    <x v="1"/>
    <n v="10800"/>
    <x v="3"/>
    <x v="1"/>
    <s v="Active"/>
    <x v="1"/>
    <s v="Western"/>
    <n v="0.1"/>
    <x v="1"/>
    <n v="9720"/>
    <x v="1"/>
  </r>
  <r>
    <s v="ORD0768"/>
    <x v="474"/>
    <x v="1"/>
    <x v="1"/>
    <n v="5400"/>
    <x v="0"/>
    <x v="1"/>
    <s v="Active"/>
    <x v="1"/>
    <s v="Upper East"/>
    <n v="0.1"/>
    <x v="3"/>
    <n v="4860"/>
    <x v="1"/>
  </r>
  <r>
    <s v="ORD0769"/>
    <x v="371"/>
    <x v="0"/>
    <x v="1"/>
    <n v="16200"/>
    <x v="1"/>
    <x v="2"/>
    <s v="Active"/>
    <x v="1"/>
    <s v="Greater Accra"/>
    <n v="0.1"/>
    <x v="0"/>
    <n v="14580"/>
    <x v="1"/>
  </r>
  <r>
    <s v="ORD0770"/>
    <x v="338"/>
    <x v="1"/>
    <x v="1"/>
    <n v="5400"/>
    <x v="3"/>
    <x v="1"/>
    <s v="Cancelled"/>
    <x v="0"/>
    <s v="Oti"/>
    <n v="0.1"/>
    <x v="2"/>
    <n v="4860"/>
    <x v="0"/>
  </r>
  <r>
    <s v="ORD0771"/>
    <x v="192"/>
    <x v="0"/>
    <x v="0"/>
    <n v="1500"/>
    <x v="1"/>
    <x v="1"/>
    <s v="Active"/>
    <x v="1"/>
    <s v="Central"/>
    <n v="0"/>
    <x v="0"/>
    <n v="1500"/>
    <x v="1"/>
  </r>
  <r>
    <s v="ORD0772"/>
    <x v="475"/>
    <x v="0"/>
    <x v="0"/>
    <n v="1500"/>
    <x v="1"/>
    <x v="2"/>
    <s v="Active"/>
    <x v="1"/>
    <s v="Greater Accra"/>
    <n v="0"/>
    <x v="0"/>
    <n v="1500"/>
    <x v="1"/>
  </r>
  <r>
    <s v="ORD0773"/>
    <x v="207"/>
    <x v="0"/>
    <x v="1"/>
    <n v="16200"/>
    <x v="1"/>
    <x v="0"/>
    <s v="Cancelled"/>
    <x v="0"/>
    <s v="Central"/>
    <n v="0.1"/>
    <x v="0"/>
    <n v="14580"/>
    <x v="0"/>
  </r>
  <r>
    <s v="ORD0774"/>
    <x v="417"/>
    <x v="0"/>
    <x v="0"/>
    <n v="1500"/>
    <x v="1"/>
    <x v="2"/>
    <s v="Cancelled"/>
    <x v="0"/>
    <s v="Central"/>
    <n v="0"/>
    <x v="0"/>
    <n v="1500"/>
    <x v="0"/>
  </r>
  <r>
    <s v="ORD0775"/>
    <x v="340"/>
    <x v="2"/>
    <x v="0"/>
    <n v="1000"/>
    <x v="0"/>
    <x v="1"/>
    <s v="Active"/>
    <x v="1"/>
    <s v="Upper East"/>
    <n v="0"/>
    <x v="3"/>
    <n v="1000"/>
    <x v="1"/>
  </r>
  <r>
    <s v="ORD0776"/>
    <x v="476"/>
    <x v="1"/>
    <x v="0"/>
    <n v="500"/>
    <x v="0"/>
    <x v="0"/>
    <s v="Cancelled"/>
    <x v="0"/>
    <s v="Volta"/>
    <n v="0"/>
    <x v="2"/>
    <n v="500"/>
    <x v="0"/>
  </r>
  <r>
    <s v="ORD0777"/>
    <x v="145"/>
    <x v="0"/>
    <x v="1"/>
    <n v="16200"/>
    <x v="2"/>
    <x v="0"/>
    <s v="Cancelled"/>
    <x v="0"/>
    <s v="Eastern"/>
    <n v="0.1"/>
    <x v="2"/>
    <n v="14580"/>
    <x v="0"/>
  </r>
  <r>
    <s v="ORD0778"/>
    <x v="44"/>
    <x v="2"/>
    <x v="1"/>
    <n v="10800"/>
    <x v="0"/>
    <x v="1"/>
    <s v="Active"/>
    <x v="1"/>
    <s v="Savannah"/>
    <n v="0.1"/>
    <x v="3"/>
    <n v="9720"/>
    <x v="1"/>
  </r>
  <r>
    <s v="ORD0779"/>
    <x v="270"/>
    <x v="0"/>
    <x v="0"/>
    <n v="1500"/>
    <x v="3"/>
    <x v="2"/>
    <s v="Cancelled"/>
    <x v="0"/>
    <s v="Ahafo"/>
    <n v="0"/>
    <x v="1"/>
    <n v="1500"/>
    <x v="0"/>
  </r>
  <r>
    <s v="ORD0780"/>
    <x v="60"/>
    <x v="0"/>
    <x v="1"/>
    <n v="16200"/>
    <x v="2"/>
    <x v="1"/>
    <s v="Active"/>
    <x v="1"/>
    <s v="Northern"/>
    <n v="0.1"/>
    <x v="3"/>
    <n v="14580"/>
    <x v="1"/>
  </r>
  <r>
    <s v="ORD0781"/>
    <x v="477"/>
    <x v="0"/>
    <x v="1"/>
    <n v="16200"/>
    <x v="2"/>
    <x v="2"/>
    <s v="Cancelled"/>
    <x v="0"/>
    <s v="Western North"/>
    <n v="0.1"/>
    <x v="1"/>
    <n v="14580"/>
    <x v="0"/>
  </r>
  <r>
    <s v="ORD0782"/>
    <x v="58"/>
    <x v="0"/>
    <x v="0"/>
    <n v="1500"/>
    <x v="2"/>
    <x v="1"/>
    <s v="Active"/>
    <x v="1"/>
    <s v="Western"/>
    <n v="0"/>
    <x v="1"/>
    <n v="1500"/>
    <x v="1"/>
  </r>
  <r>
    <s v="ORD0783"/>
    <x v="478"/>
    <x v="2"/>
    <x v="0"/>
    <n v="1000"/>
    <x v="3"/>
    <x v="0"/>
    <s v="Cancelled"/>
    <x v="0"/>
    <s v="Ashanti"/>
    <n v="0"/>
    <x v="1"/>
    <n v="1000"/>
    <x v="0"/>
  </r>
  <r>
    <s v="ORD0784"/>
    <x v="44"/>
    <x v="1"/>
    <x v="1"/>
    <n v="5400"/>
    <x v="1"/>
    <x v="1"/>
    <s v="Active"/>
    <x v="1"/>
    <s v="Greater Accra"/>
    <n v="0.1"/>
    <x v="0"/>
    <n v="4860"/>
    <x v="1"/>
  </r>
  <r>
    <s v="ORD0785"/>
    <x v="336"/>
    <x v="1"/>
    <x v="0"/>
    <n v="500"/>
    <x v="0"/>
    <x v="2"/>
    <s v="Active"/>
    <x v="1"/>
    <s v="Greater Accra"/>
    <n v="0"/>
    <x v="0"/>
    <n v="500"/>
    <x v="1"/>
  </r>
  <r>
    <s v="ORD0786"/>
    <x v="479"/>
    <x v="1"/>
    <x v="0"/>
    <n v="500"/>
    <x v="2"/>
    <x v="2"/>
    <s v="Active"/>
    <x v="1"/>
    <s v="Eastern"/>
    <n v="0"/>
    <x v="2"/>
    <n v="500"/>
    <x v="1"/>
  </r>
  <r>
    <s v="ORD0787"/>
    <x v="116"/>
    <x v="2"/>
    <x v="1"/>
    <n v="10800"/>
    <x v="0"/>
    <x v="2"/>
    <s v="Active"/>
    <x v="1"/>
    <s v="Upper East"/>
    <n v="0.1"/>
    <x v="3"/>
    <n v="9720"/>
    <x v="1"/>
  </r>
  <r>
    <s v="ORD0788"/>
    <x v="264"/>
    <x v="0"/>
    <x v="1"/>
    <n v="16200"/>
    <x v="1"/>
    <x v="0"/>
    <s v="Active"/>
    <x v="1"/>
    <s v="Central"/>
    <n v="0.1"/>
    <x v="0"/>
    <n v="14580"/>
    <x v="1"/>
  </r>
  <r>
    <s v="ORD0789"/>
    <x v="480"/>
    <x v="1"/>
    <x v="1"/>
    <n v="5400"/>
    <x v="3"/>
    <x v="1"/>
    <s v="Cancelled"/>
    <x v="0"/>
    <s v="Oti"/>
    <n v="0.1"/>
    <x v="2"/>
    <n v="4860"/>
    <x v="0"/>
  </r>
  <r>
    <s v="ORD0790"/>
    <x v="481"/>
    <x v="1"/>
    <x v="0"/>
    <n v="500"/>
    <x v="0"/>
    <x v="2"/>
    <s v="Cancelled"/>
    <x v="0"/>
    <s v="Savannah"/>
    <n v="0"/>
    <x v="3"/>
    <n v="500"/>
    <x v="0"/>
  </r>
  <r>
    <s v="ORD0791"/>
    <x v="482"/>
    <x v="1"/>
    <x v="1"/>
    <n v="5400"/>
    <x v="0"/>
    <x v="2"/>
    <s v="Active"/>
    <x v="1"/>
    <s v="Volta"/>
    <n v="0.1"/>
    <x v="2"/>
    <n v="4860"/>
    <x v="1"/>
  </r>
  <r>
    <s v="ORD0792"/>
    <x v="452"/>
    <x v="0"/>
    <x v="1"/>
    <n v="16200"/>
    <x v="3"/>
    <x v="2"/>
    <s v="Cancelled"/>
    <x v="0"/>
    <s v="Eastern"/>
    <n v="0.1"/>
    <x v="2"/>
    <n v="14580"/>
    <x v="0"/>
  </r>
  <r>
    <s v="ORD0793"/>
    <x v="125"/>
    <x v="2"/>
    <x v="0"/>
    <n v="1000"/>
    <x v="3"/>
    <x v="2"/>
    <s v="Active"/>
    <x v="1"/>
    <s v="Oti"/>
    <n v="0"/>
    <x v="2"/>
    <n v="1000"/>
    <x v="1"/>
  </r>
  <r>
    <s v="ORD0794"/>
    <x v="483"/>
    <x v="1"/>
    <x v="1"/>
    <n v="5400"/>
    <x v="2"/>
    <x v="2"/>
    <s v="Active"/>
    <x v="1"/>
    <s v="Bono"/>
    <n v="0.1"/>
    <x v="1"/>
    <n v="4860"/>
    <x v="1"/>
  </r>
  <r>
    <s v="ORD0795"/>
    <x v="408"/>
    <x v="1"/>
    <x v="0"/>
    <n v="500"/>
    <x v="3"/>
    <x v="0"/>
    <s v="Active"/>
    <x v="1"/>
    <s v="Ashanti"/>
    <n v="0"/>
    <x v="1"/>
    <n v="500"/>
    <x v="1"/>
  </r>
  <r>
    <s v="ORD0796"/>
    <x v="484"/>
    <x v="2"/>
    <x v="0"/>
    <n v="1000"/>
    <x v="1"/>
    <x v="0"/>
    <s v="Cancelled"/>
    <x v="0"/>
    <s v="Central"/>
    <n v="0"/>
    <x v="0"/>
    <n v="1000"/>
    <x v="0"/>
  </r>
  <r>
    <s v="ORD0797"/>
    <x v="464"/>
    <x v="0"/>
    <x v="1"/>
    <n v="16200"/>
    <x v="3"/>
    <x v="2"/>
    <s v="Cancelled"/>
    <x v="0"/>
    <s v="Ahafo"/>
    <n v="0.1"/>
    <x v="1"/>
    <n v="14580"/>
    <x v="0"/>
  </r>
  <r>
    <s v="ORD0798"/>
    <x v="102"/>
    <x v="0"/>
    <x v="1"/>
    <n v="16200"/>
    <x v="2"/>
    <x v="0"/>
    <s v="Cancelled"/>
    <x v="0"/>
    <s v="Western"/>
    <n v="0.1"/>
    <x v="1"/>
    <n v="14580"/>
    <x v="0"/>
  </r>
  <r>
    <s v="ORD0799"/>
    <x v="485"/>
    <x v="1"/>
    <x v="0"/>
    <n v="500"/>
    <x v="3"/>
    <x v="0"/>
    <s v="Active"/>
    <x v="1"/>
    <s v="Ahafo"/>
    <n v="0"/>
    <x v="1"/>
    <n v="500"/>
    <x v="1"/>
  </r>
  <r>
    <s v="ORD0800"/>
    <x v="348"/>
    <x v="0"/>
    <x v="1"/>
    <n v="16200"/>
    <x v="2"/>
    <x v="0"/>
    <s v="Cancelled"/>
    <x v="0"/>
    <s v="Western North"/>
    <n v="0.1"/>
    <x v="1"/>
    <n v="14580"/>
    <x v="0"/>
  </r>
  <r>
    <s v="ORD0801"/>
    <x v="402"/>
    <x v="1"/>
    <x v="1"/>
    <n v="5400"/>
    <x v="3"/>
    <x v="2"/>
    <s v="Cancelled"/>
    <x v="0"/>
    <s v="Greater Accra"/>
    <n v="0.1"/>
    <x v="0"/>
    <n v="4860"/>
    <x v="0"/>
  </r>
  <r>
    <s v="ORD0802"/>
    <x v="486"/>
    <x v="0"/>
    <x v="1"/>
    <n v="16200"/>
    <x v="2"/>
    <x v="2"/>
    <s v="Active"/>
    <x v="1"/>
    <s v="Western North"/>
    <n v="0.1"/>
    <x v="1"/>
    <n v="14580"/>
    <x v="1"/>
  </r>
  <r>
    <s v="ORD0803"/>
    <x v="442"/>
    <x v="1"/>
    <x v="0"/>
    <n v="500"/>
    <x v="3"/>
    <x v="0"/>
    <s v="Active"/>
    <x v="1"/>
    <s v="Oti"/>
    <n v="0"/>
    <x v="2"/>
    <n v="500"/>
    <x v="1"/>
  </r>
  <r>
    <s v="ORD0804"/>
    <x v="376"/>
    <x v="2"/>
    <x v="0"/>
    <n v="1000"/>
    <x v="3"/>
    <x v="1"/>
    <s v="Active"/>
    <x v="1"/>
    <s v="Oti"/>
    <n v="0"/>
    <x v="2"/>
    <n v="1000"/>
    <x v="1"/>
  </r>
  <r>
    <s v="ORD0805"/>
    <x v="487"/>
    <x v="1"/>
    <x v="1"/>
    <n v="5400"/>
    <x v="0"/>
    <x v="1"/>
    <s v="Cancelled"/>
    <x v="0"/>
    <s v="Volta"/>
    <n v="0.1"/>
    <x v="2"/>
    <n v="4860"/>
    <x v="0"/>
  </r>
  <r>
    <s v="ORD0806"/>
    <x v="488"/>
    <x v="1"/>
    <x v="0"/>
    <n v="500"/>
    <x v="0"/>
    <x v="2"/>
    <s v="Active"/>
    <x v="1"/>
    <s v="Upper East"/>
    <n v="0"/>
    <x v="3"/>
    <n v="500"/>
    <x v="1"/>
  </r>
  <r>
    <s v="ORD0807"/>
    <x v="233"/>
    <x v="0"/>
    <x v="0"/>
    <n v="1500"/>
    <x v="3"/>
    <x v="2"/>
    <s v="Cancelled"/>
    <x v="0"/>
    <s v="Eastern"/>
    <n v="0"/>
    <x v="2"/>
    <n v="1500"/>
    <x v="0"/>
  </r>
  <r>
    <s v="ORD0808"/>
    <x v="314"/>
    <x v="0"/>
    <x v="1"/>
    <n v="16200"/>
    <x v="0"/>
    <x v="1"/>
    <s v="Cancelled"/>
    <x v="0"/>
    <s v="Volta"/>
    <n v="0.1"/>
    <x v="2"/>
    <n v="14580"/>
    <x v="0"/>
  </r>
  <r>
    <s v="ORD0809"/>
    <x v="80"/>
    <x v="1"/>
    <x v="0"/>
    <n v="500"/>
    <x v="0"/>
    <x v="1"/>
    <s v="Cancelled"/>
    <x v="0"/>
    <s v="Volta"/>
    <n v="0"/>
    <x v="2"/>
    <n v="500"/>
    <x v="0"/>
  </r>
  <r>
    <s v="ORD0810"/>
    <x v="207"/>
    <x v="0"/>
    <x v="0"/>
    <n v="1500"/>
    <x v="1"/>
    <x v="0"/>
    <s v="Cancelled"/>
    <x v="0"/>
    <s v="Greater Accra"/>
    <n v="0"/>
    <x v="0"/>
    <n v="1500"/>
    <x v="0"/>
  </r>
  <r>
    <s v="ORD0811"/>
    <x v="430"/>
    <x v="0"/>
    <x v="1"/>
    <n v="16200"/>
    <x v="1"/>
    <x v="2"/>
    <s v="Active"/>
    <x v="1"/>
    <s v="Central"/>
    <n v="0.1"/>
    <x v="0"/>
    <n v="14580"/>
    <x v="1"/>
  </r>
  <r>
    <s v="ORD0812"/>
    <x v="489"/>
    <x v="0"/>
    <x v="1"/>
    <n v="16200"/>
    <x v="3"/>
    <x v="0"/>
    <s v="Active"/>
    <x v="1"/>
    <s v="Western"/>
    <n v="0.1"/>
    <x v="1"/>
    <n v="14580"/>
    <x v="1"/>
  </r>
  <r>
    <s v="ORD0813"/>
    <x v="315"/>
    <x v="2"/>
    <x v="1"/>
    <n v="10800"/>
    <x v="2"/>
    <x v="2"/>
    <s v="Cancelled"/>
    <x v="0"/>
    <s v="Western"/>
    <n v="0.1"/>
    <x v="1"/>
    <n v="9720"/>
    <x v="0"/>
  </r>
  <r>
    <s v="ORD0814"/>
    <x v="173"/>
    <x v="0"/>
    <x v="0"/>
    <n v="1500"/>
    <x v="1"/>
    <x v="0"/>
    <s v="Cancelled"/>
    <x v="0"/>
    <s v="Greater Accra"/>
    <n v="0"/>
    <x v="0"/>
    <n v="1500"/>
    <x v="0"/>
  </r>
  <r>
    <s v="ORD0815"/>
    <x v="490"/>
    <x v="0"/>
    <x v="1"/>
    <n v="16200"/>
    <x v="2"/>
    <x v="0"/>
    <s v="Active"/>
    <x v="1"/>
    <s v="Northern"/>
    <n v="0.1"/>
    <x v="3"/>
    <n v="14580"/>
    <x v="1"/>
  </r>
  <r>
    <s v="ORD0816"/>
    <x v="491"/>
    <x v="1"/>
    <x v="0"/>
    <n v="500"/>
    <x v="2"/>
    <x v="2"/>
    <s v="Cancelled"/>
    <x v="0"/>
    <s v="Bono"/>
    <n v="0"/>
    <x v="1"/>
    <n v="500"/>
    <x v="0"/>
  </r>
  <r>
    <s v="ORD0817"/>
    <x v="492"/>
    <x v="0"/>
    <x v="1"/>
    <n v="16200"/>
    <x v="1"/>
    <x v="2"/>
    <s v="Active"/>
    <x v="1"/>
    <s v="Greater Accra"/>
    <n v="0.1"/>
    <x v="0"/>
    <n v="14580"/>
    <x v="1"/>
  </r>
  <r>
    <s v="ORD0818"/>
    <x v="493"/>
    <x v="0"/>
    <x v="0"/>
    <n v="1500"/>
    <x v="3"/>
    <x v="1"/>
    <s v="Cancelled"/>
    <x v="0"/>
    <s v="Greater Accra"/>
    <n v="0"/>
    <x v="0"/>
    <n v="1500"/>
    <x v="0"/>
  </r>
  <r>
    <s v="ORD0819"/>
    <x v="415"/>
    <x v="0"/>
    <x v="1"/>
    <n v="16200"/>
    <x v="0"/>
    <x v="2"/>
    <s v="Cancelled"/>
    <x v="0"/>
    <s v="Greater Accra"/>
    <n v="0.1"/>
    <x v="0"/>
    <n v="14580"/>
    <x v="0"/>
  </r>
  <r>
    <s v="ORD0820"/>
    <x v="494"/>
    <x v="0"/>
    <x v="1"/>
    <n v="16200"/>
    <x v="3"/>
    <x v="1"/>
    <s v="Cancelled"/>
    <x v="0"/>
    <s v="Eastern"/>
    <n v="0.1"/>
    <x v="2"/>
    <n v="14580"/>
    <x v="0"/>
  </r>
  <r>
    <s v="ORD0821"/>
    <x v="305"/>
    <x v="1"/>
    <x v="0"/>
    <n v="500"/>
    <x v="3"/>
    <x v="1"/>
    <s v="Active"/>
    <x v="1"/>
    <s v="Ahafo"/>
    <n v="0"/>
    <x v="1"/>
    <n v="500"/>
    <x v="1"/>
  </r>
  <r>
    <s v="ORD0822"/>
    <x v="58"/>
    <x v="1"/>
    <x v="0"/>
    <n v="500"/>
    <x v="1"/>
    <x v="0"/>
    <s v="Cancelled"/>
    <x v="0"/>
    <s v="Greater Accra"/>
    <n v="0"/>
    <x v="0"/>
    <n v="500"/>
    <x v="0"/>
  </r>
  <r>
    <s v="ORD0823"/>
    <x v="337"/>
    <x v="2"/>
    <x v="1"/>
    <n v="10800"/>
    <x v="1"/>
    <x v="2"/>
    <s v="Cancelled"/>
    <x v="0"/>
    <s v="Central"/>
    <n v="0.1"/>
    <x v="0"/>
    <n v="9720"/>
    <x v="0"/>
  </r>
  <r>
    <s v="ORD0824"/>
    <x v="495"/>
    <x v="1"/>
    <x v="0"/>
    <n v="500"/>
    <x v="1"/>
    <x v="1"/>
    <s v="Cancelled"/>
    <x v="0"/>
    <s v="Western"/>
    <n v="0"/>
    <x v="1"/>
    <n v="500"/>
    <x v="0"/>
  </r>
  <r>
    <s v="ORD0825"/>
    <x v="45"/>
    <x v="1"/>
    <x v="1"/>
    <n v="5400"/>
    <x v="3"/>
    <x v="1"/>
    <s v="Cancelled"/>
    <x v="0"/>
    <s v="Oti"/>
    <n v="0.1"/>
    <x v="2"/>
    <n v="4860"/>
    <x v="0"/>
  </r>
  <r>
    <s v="ORD0826"/>
    <x v="150"/>
    <x v="1"/>
    <x v="0"/>
    <n v="500"/>
    <x v="1"/>
    <x v="2"/>
    <s v="Cancelled"/>
    <x v="0"/>
    <s v="Greater Accra"/>
    <n v="0"/>
    <x v="0"/>
    <n v="500"/>
    <x v="0"/>
  </r>
  <r>
    <s v="ORD0827"/>
    <x v="496"/>
    <x v="0"/>
    <x v="1"/>
    <n v="16200"/>
    <x v="1"/>
    <x v="0"/>
    <s v="Cancelled"/>
    <x v="0"/>
    <s v="Central"/>
    <n v="0.1"/>
    <x v="0"/>
    <n v="14580"/>
    <x v="0"/>
  </r>
  <r>
    <s v="ORD0828"/>
    <x v="322"/>
    <x v="0"/>
    <x v="0"/>
    <n v="1500"/>
    <x v="0"/>
    <x v="2"/>
    <s v="Cancelled"/>
    <x v="0"/>
    <s v="Ashanti"/>
    <n v="0"/>
    <x v="1"/>
    <n v="1500"/>
    <x v="0"/>
  </r>
  <r>
    <s v="ORD0829"/>
    <x v="402"/>
    <x v="0"/>
    <x v="0"/>
    <n v="1500"/>
    <x v="2"/>
    <x v="2"/>
    <s v="Active"/>
    <x v="1"/>
    <s v="Bono"/>
    <n v="0"/>
    <x v="1"/>
    <n v="1500"/>
    <x v="1"/>
  </r>
  <r>
    <s v="ORD0830"/>
    <x v="497"/>
    <x v="2"/>
    <x v="1"/>
    <n v="10800"/>
    <x v="0"/>
    <x v="1"/>
    <s v="Active"/>
    <x v="1"/>
    <s v="Ashanti"/>
    <n v="0.1"/>
    <x v="1"/>
    <n v="9720"/>
    <x v="1"/>
  </r>
  <r>
    <s v="ORD0831"/>
    <x v="498"/>
    <x v="0"/>
    <x v="0"/>
    <n v="1500"/>
    <x v="0"/>
    <x v="1"/>
    <s v="Active"/>
    <x v="1"/>
    <s v="Savannah"/>
    <n v="0"/>
    <x v="3"/>
    <n v="1500"/>
    <x v="1"/>
  </r>
  <r>
    <s v="ORD0832"/>
    <x v="379"/>
    <x v="1"/>
    <x v="1"/>
    <n v="5400"/>
    <x v="1"/>
    <x v="1"/>
    <s v="Active"/>
    <x v="1"/>
    <s v="Greater Accra"/>
    <n v="0.1"/>
    <x v="0"/>
    <n v="4860"/>
    <x v="1"/>
  </r>
  <r>
    <s v="ORD0833"/>
    <x v="373"/>
    <x v="1"/>
    <x v="1"/>
    <n v="5400"/>
    <x v="2"/>
    <x v="1"/>
    <s v="Active"/>
    <x v="1"/>
    <s v="Western North"/>
    <n v="0.1"/>
    <x v="1"/>
    <n v="4860"/>
    <x v="1"/>
  </r>
  <r>
    <s v="ORD0834"/>
    <x v="109"/>
    <x v="0"/>
    <x v="0"/>
    <n v="1500"/>
    <x v="0"/>
    <x v="2"/>
    <s v="Active"/>
    <x v="1"/>
    <s v="Greater Accra"/>
    <n v="0"/>
    <x v="0"/>
    <n v="1500"/>
    <x v="1"/>
  </r>
  <r>
    <s v="ORD0835"/>
    <x v="499"/>
    <x v="1"/>
    <x v="0"/>
    <n v="500"/>
    <x v="0"/>
    <x v="0"/>
    <s v="Active"/>
    <x v="1"/>
    <s v="Upper East"/>
    <n v="0"/>
    <x v="3"/>
    <n v="500"/>
    <x v="1"/>
  </r>
  <r>
    <s v="ORD0836"/>
    <x v="376"/>
    <x v="2"/>
    <x v="0"/>
    <n v="1000"/>
    <x v="1"/>
    <x v="1"/>
    <s v="Cancelled"/>
    <x v="0"/>
    <s v="Central"/>
    <n v="0"/>
    <x v="0"/>
    <n v="1000"/>
    <x v="0"/>
  </r>
  <r>
    <s v="ORD0837"/>
    <x v="438"/>
    <x v="1"/>
    <x v="1"/>
    <n v="5400"/>
    <x v="1"/>
    <x v="0"/>
    <s v="Cancelled"/>
    <x v="0"/>
    <s v="Greater Accra"/>
    <n v="0.1"/>
    <x v="0"/>
    <n v="4860"/>
    <x v="0"/>
  </r>
  <r>
    <s v="ORD0838"/>
    <x v="500"/>
    <x v="0"/>
    <x v="0"/>
    <n v="1500"/>
    <x v="0"/>
    <x v="2"/>
    <s v="Active"/>
    <x v="1"/>
    <s v="Volta"/>
    <n v="0"/>
    <x v="2"/>
    <n v="1500"/>
    <x v="1"/>
  </r>
  <r>
    <s v="ORD0839"/>
    <x v="256"/>
    <x v="2"/>
    <x v="0"/>
    <n v="1000"/>
    <x v="3"/>
    <x v="1"/>
    <s v="Cancelled"/>
    <x v="0"/>
    <s v="Western"/>
    <n v="0"/>
    <x v="1"/>
    <n v="1000"/>
    <x v="0"/>
  </r>
  <r>
    <s v="ORD0840"/>
    <x v="84"/>
    <x v="0"/>
    <x v="0"/>
    <n v="1500"/>
    <x v="0"/>
    <x v="2"/>
    <s v="Active"/>
    <x v="1"/>
    <s v="Savannah"/>
    <n v="0"/>
    <x v="3"/>
    <n v="1500"/>
    <x v="1"/>
  </r>
  <r>
    <s v="ORD0841"/>
    <x v="258"/>
    <x v="1"/>
    <x v="0"/>
    <n v="500"/>
    <x v="3"/>
    <x v="1"/>
    <s v="Cancelled"/>
    <x v="0"/>
    <s v="Oti"/>
    <n v="0"/>
    <x v="2"/>
    <n v="500"/>
    <x v="0"/>
  </r>
  <r>
    <s v="ORD0842"/>
    <x v="501"/>
    <x v="1"/>
    <x v="1"/>
    <n v="5400"/>
    <x v="2"/>
    <x v="2"/>
    <s v="Active"/>
    <x v="1"/>
    <s v="Northern"/>
    <n v="0.1"/>
    <x v="3"/>
    <n v="4860"/>
    <x v="1"/>
  </r>
  <r>
    <s v="ORD0843"/>
    <x v="502"/>
    <x v="0"/>
    <x v="0"/>
    <n v="1500"/>
    <x v="3"/>
    <x v="1"/>
    <s v="Active"/>
    <x v="1"/>
    <s v="Ashanti"/>
    <n v="0"/>
    <x v="1"/>
    <n v="1500"/>
    <x v="1"/>
  </r>
  <r>
    <s v="ORD0844"/>
    <x v="447"/>
    <x v="1"/>
    <x v="0"/>
    <n v="500"/>
    <x v="3"/>
    <x v="2"/>
    <s v="Cancelled"/>
    <x v="0"/>
    <s v="Oti"/>
    <n v="0"/>
    <x v="2"/>
    <n v="500"/>
    <x v="0"/>
  </r>
  <r>
    <s v="ORD0845"/>
    <x v="225"/>
    <x v="1"/>
    <x v="1"/>
    <n v="5400"/>
    <x v="0"/>
    <x v="0"/>
    <s v="Active"/>
    <x v="1"/>
    <s v="Greater Accra"/>
    <n v="0.1"/>
    <x v="0"/>
    <n v="4860"/>
    <x v="1"/>
  </r>
  <r>
    <s v="ORD0846"/>
    <x v="503"/>
    <x v="1"/>
    <x v="0"/>
    <n v="500"/>
    <x v="3"/>
    <x v="1"/>
    <s v="Active"/>
    <x v="1"/>
    <s v="Eastern"/>
    <n v="0"/>
    <x v="2"/>
    <n v="500"/>
    <x v="1"/>
  </r>
  <r>
    <s v="ORD0847"/>
    <x v="306"/>
    <x v="0"/>
    <x v="0"/>
    <n v="1500"/>
    <x v="1"/>
    <x v="0"/>
    <s v="Cancelled"/>
    <x v="0"/>
    <s v="Greater Accra"/>
    <n v="0"/>
    <x v="0"/>
    <n v="1500"/>
    <x v="0"/>
  </r>
  <r>
    <s v="ORD0848"/>
    <x v="286"/>
    <x v="0"/>
    <x v="0"/>
    <n v="1500"/>
    <x v="3"/>
    <x v="2"/>
    <s v="Cancelled"/>
    <x v="0"/>
    <s v="Ashanti"/>
    <n v="0"/>
    <x v="1"/>
    <n v="1500"/>
    <x v="0"/>
  </r>
  <r>
    <s v="ORD0849"/>
    <x v="43"/>
    <x v="0"/>
    <x v="1"/>
    <n v="16200"/>
    <x v="1"/>
    <x v="0"/>
    <s v="Active"/>
    <x v="1"/>
    <s v="Central"/>
    <n v="0.1"/>
    <x v="0"/>
    <n v="14580"/>
    <x v="1"/>
  </r>
  <r>
    <s v="ORD0850"/>
    <x v="313"/>
    <x v="1"/>
    <x v="1"/>
    <n v="5400"/>
    <x v="2"/>
    <x v="0"/>
    <s v="Active"/>
    <x v="1"/>
    <s v="Bono"/>
    <n v="0.1"/>
    <x v="1"/>
    <n v="4860"/>
    <x v="1"/>
  </r>
  <r>
    <s v="ORD0851"/>
    <x v="348"/>
    <x v="2"/>
    <x v="1"/>
    <n v="10800"/>
    <x v="2"/>
    <x v="1"/>
    <s v="Cancelled"/>
    <x v="0"/>
    <s v="Northern"/>
    <n v="0.1"/>
    <x v="3"/>
    <n v="9720"/>
    <x v="0"/>
  </r>
  <r>
    <s v="ORD0852"/>
    <x v="281"/>
    <x v="2"/>
    <x v="1"/>
    <n v="10800"/>
    <x v="0"/>
    <x v="2"/>
    <s v="Cancelled"/>
    <x v="0"/>
    <s v="Upper East"/>
    <n v="0.1"/>
    <x v="3"/>
    <n v="9720"/>
    <x v="0"/>
  </r>
  <r>
    <s v="ORD0853"/>
    <x v="127"/>
    <x v="0"/>
    <x v="0"/>
    <n v="1500"/>
    <x v="2"/>
    <x v="0"/>
    <s v="Cancelled"/>
    <x v="0"/>
    <s v="Bono"/>
    <n v="0"/>
    <x v="1"/>
    <n v="1500"/>
    <x v="0"/>
  </r>
  <r>
    <s v="ORD0854"/>
    <x v="492"/>
    <x v="0"/>
    <x v="1"/>
    <n v="16200"/>
    <x v="2"/>
    <x v="2"/>
    <s v="Cancelled"/>
    <x v="0"/>
    <s v="Western"/>
    <n v="0.1"/>
    <x v="1"/>
    <n v="14580"/>
    <x v="0"/>
  </r>
  <r>
    <s v="ORD0855"/>
    <x v="480"/>
    <x v="2"/>
    <x v="0"/>
    <n v="1000"/>
    <x v="2"/>
    <x v="2"/>
    <s v="Cancelled"/>
    <x v="0"/>
    <s v="Western"/>
    <n v="0"/>
    <x v="1"/>
    <n v="1000"/>
    <x v="0"/>
  </r>
  <r>
    <s v="ORD0856"/>
    <x v="375"/>
    <x v="2"/>
    <x v="1"/>
    <n v="10800"/>
    <x v="3"/>
    <x v="2"/>
    <s v="Active"/>
    <x v="1"/>
    <s v="Ahafo"/>
    <n v="0.1"/>
    <x v="1"/>
    <n v="9720"/>
    <x v="1"/>
  </r>
  <r>
    <s v="ORD0857"/>
    <x v="504"/>
    <x v="2"/>
    <x v="0"/>
    <n v="1000"/>
    <x v="2"/>
    <x v="2"/>
    <s v="Cancelled"/>
    <x v="0"/>
    <s v="Eastern"/>
    <n v="0"/>
    <x v="2"/>
    <n v="1000"/>
    <x v="0"/>
  </r>
  <r>
    <s v="ORD0858"/>
    <x v="243"/>
    <x v="0"/>
    <x v="1"/>
    <n v="16200"/>
    <x v="0"/>
    <x v="1"/>
    <s v="Cancelled"/>
    <x v="0"/>
    <s v="Volta"/>
    <n v="0.1"/>
    <x v="2"/>
    <n v="14580"/>
    <x v="0"/>
  </r>
  <r>
    <s v="ORD0859"/>
    <x v="9"/>
    <x v="0"/>
    <x v="0"/>
    <n v="1500"/>
    <x v="2"/>
    <x v="1"/>
    <s v="Cancelled"/>
    <x v="0"/>
    <s v="Northern"/>
    <n v="0"/>
    <x v="3"/>
    <n v="1500"/>
    <x v="0"/>
  </r>
  <r>
    <s v="ORD0860"/>
    <x v="183"/>
    <x v="2"/>
    <x v="0"/>
    <n v="1000"/>
    <x v="0"/>
    <x v="0"/>
    <s v="Active"/>
    <x v="1"/>
    <s v="Volta"/>
    <n v="0"/>
    <x v="2"/>
    <n v="1000"/>
    <x v="1"/>
  </r>
  <r>
    <s v="ORD0861"/>
    <x v="505"/>
    <x v="0"/>
    <x v="1"/>
    <n v="16200"/>
    <x v="3"/>
    <x v="2"/>
    <s v="Cancelled"/>
    <x v="0"/>
    <s v="Oti"/>
    <n v="0.1"/>
    <x v="2"/>
    <n v="14580"/>
    <x v="0"/>
  </r>
  <r>
    <s v="ORD0862"/>
    <x v="358"/>
    <x v="2"/>
    <x v="1"/>
    <n v="10800"/>
    <x v="1"/>
    <x v="1"/>
    <s v="Cancelled"/>
    <x v="0"/>
    <s v="Ashanti"/>
    <n v="0.1"/>
    <x v="1"/>
    <n v="9720"/>
    <x v="0"/>
  </r>
  <r>
    <s v="ORD0863"/>
    <x v="506"/>
    <x v="0"/>
    <x v="0"/>
    <n v="1500"/>
    <x v="2"/>
    <x v="2"/>
    <s v="Active"/>
    <x v="1"/>
    <s v="Bono"/>
    <n v="0"/>
    <x v="1"/>
    <n v="1500"/>
    <x v="1"/>
  </r>
  <r>
    <s v="ORD0864"/>
    <x v="424"/>
    <x v="2"/>
    <x v="0"/>
    <n v="1000"/>
    <x v="0"/>
    <x v="0"/>
    <s v="Cancelled"/>
    <x v="0"/>
    <s v="Greater Accra"/>
    <n v="0"/>
    <x v="0"/>
    <n v="1000"/>
    <x v="0"/>
  </r>
  <r>
    <s v="ORD0865"/>
    <x v="507"/>
    <x v="1"/>
    <x v="0"/>
    <n v="500"/>
    <x v="1"/>
    <x v="1"/>
    <s v="Cancelled"/>
    <x v="0"/>
    <s v="Central"/>
    <n v="0"/>
    <x v="0"/>
    <n v="500"/>
    <x v="0"/>
  </r>
  <r>
    <s v="ORD0866"/>
    <x v="238"/>
    <x v="1"/>
    <x v="1"/>
    <n v="5400"/>
    <x v="1"/>
    <x v="1"/>
    <s v="Cancelled"/>
    <x v="0"/>
    <s v="Central"/>
    <n v="0.1"/>
    <x v="0"/>
    <n v="4860"/>
    <x v="0"/>
  </r>
  <r>
    <s v="ORD0867"/>
    <x v="329"/>
    <x v="2"/>
    <x v="0"/>
    <n v="1000"/>
    <x v="3"/>
    <x v="2"/>
    <s v="Active"/>
    <x v="1"/>
    <s v="Eastern"/>
    <n v="0"/>
    <x v="2"/>
    <n v="1000"/>
    <x v="1"/>
  </r>
  <r>
    <s v="ORD0868"/>
    <x v="167"/>
    <x v="2"/>
    <x v="1"/>
    <n v="10800"/>
    <x v="2"/>
    <x v="1"/>
    <s v="Cancelled"/>
    <x v="0"/>
    <s v="Western"/>
    <n v="0.1"/>
    <x v="1"/>
    <n v="9720"/>
    <x v="0"/>
  </r>
  <r>
    <s v="ORD0869"/>
    <x v="282"/>
    <x v="0"/>
    <x v="0"/>
    <n v="1500"/>
    <x v="2"/>
    <x v="2"/>
    <s v="Cancelled"/>
    <x v="0"/>
    <s v="Bono"/>
    <n v="0"/>
    <x v="1"/>
    <n v="1500"/>
    <x v="0"/>
  </r>
  <r>
    <s v="ORD0870"/>
    <x v="265"/>
    <x v="0"/>
    <x v="1"/>
    <n v="16200"/>
    <x v="0"/>
    <x v="2"/>
    <s v="Cancelled"/>
    <x v="0"/>
    <s v="Volta"/>
    <n v="0.1"/>
    <x v="2"/>
    <n v="14580"/>
    <x v="0"/>
  </r>
  <r>
    <s v="ORD0871"/>
    <x v="508"/>
    <x v="0"/>
    <x v="0"/>
    <n v="1500"/>
    <x v="2"/>
    <x v="0"/>
    <s v="Active"/>
    <x v="1"/>
    <s v="Western"/>
    <n v="0"/>
    <x v="1"/>
    <n v="1500"/>
    <x v="1"/>
  </r>
  <r>
    <s v="ORD0872"/>
    <x v="322"/>
    <x v="2"/>
    <x v="1"/>
    <n v="10800"/>
    <x v="0"/>
    <x v="1"/>
    <s v="Active"/>
    <x v="1"/>
    <s v="Volta"/>
    <n v="0.1"/>
    <x v="2"/>
    <n v="9720"/>
    <x v="1"/>
  </r>
  <r>
    <s v="ORD0873"/>
    <x v="8"/>
    <x v="0"/>
    <x v="0"/>
    <n v="1500"/>
    <x v="2"/>
    <x v="1"/>
    <s v="Active"/>
    <x v="1"/>
    <s v="Western"/>
    <n v="0"/>
    <x v="1"/>
    <n v="1500"/>
    <x v="1"/>
  </r>
  <r>
    <s v="ORD0874"/>
    <x v="483"/>
    <x v="1"/>
    <x v="0"/>
    <n v="500"/>
    <x v="3"/>
    <x v="0"/>
    <s v="Active"/>
    <x v="1"/>
    <s v="Ahafo"/>
    <n v="0"/>
    <x v="1"/>
    <n v="500"/>
    <x v="1"/>
  </r>
  <r>
    <s v="ORD0875"/>
    <x v="509"/>
    <x v="1"/>
    <x v="0"/>
    <n v="500"/>
    <x v="2"/>
    <x v="2"/>
    <s v="Active"/>
    <x v="1"/>
    <s v="Western"/>
    <n v="0"/>
    <x v="1"/>
    <n v="500"/>
    <x v="1"/>
  </r>
  <r>
    <s v="ORD0876"/>
    <x v="510"/>
    <x v="0"/>
    <x v="1"/>
    <n v="16200"/>
    <x v="3"/>
    <x v="0"/>
    <s v="Cancelled"/>
    <x v="0"/>
    <s v="Oti"/>
    <n v="0.1"/>
    <x v="2"/>
    <n v="14580"/>
    <x v="0"/>
  </r>
  <r>
    <s v="ORD0877"/>
    <x v="235"/>
    <x v="0"/>
    <x v="1"/>
    <n v="16200"/>
    <x v="2"/>
    <x v="2"/>
    <s v="Active"/>
    <x v="1"/>
    <s v="Eastern"/>
    <n v="0.1"/>
    <x v="2"/>
    <n v="14580"/>
    <x v="1"/>
  </r>
  <r>
    <s v="ORD0878"/>
    <x v="287"/>
    <x v="2"/>
    <x v="1"/>
    <n v="10800"/>
    <x v="0"/>
    <x v="0"/>
    <s v="Active"/>
    <x v="1"/>
    <s v="Upper East"/>
    <n v="0.1"/>
    <x v="3"/>
    <n v="9720"/>
    <x v="1"/>
  </r>
  <r>
    <s v="ORD0879"/>
    <x v="396"/>
    <x v="0"/>
    <x v="0"/>
    <n v="1500"/>
    <x v="2"/>
    <x v="0"/>
    <s v="Active"/>
    <x v="1"/>
    <s v="Eastern"/>
    <n v="0"/>
    <x v="2"/>
    <n v="1500"/>
    <x v="1"/>
  </r>
  <r>
    <s v="ORD0880"/>
    <x v="511"/>
    <x v="2"/>
    <x v="0"/>
    <n v="1000"/>
    <x v="2"/>
    <x v="0"/>
    <s v="Cancelled"/>
    <x v="0"/>
    <s v="Western"/>
    <n v="0"/>
    <x v="1"/>
    <n v="1000"/>
    <x v="0"/>
  </r>
  <r>
    <s v="ORD0881"/>
    <x v="512"/>
    <x v="2"/>
    <x v="0"/>
    <n v="1000"/>
    <x v="0"/>
    <x v="0"/>
    <s v="Cancelled"/>
    <x v="0"/>
    <s v="Volta"/>
    <n v="0"/>
    <x v="2"/>
    <n v="1000"/>
    <x v="0"/>
  </r>
  <r>
    <s v="ORD0882"/>
    <x v="319"/>
    <x v="1"/>
    <x v="1"/>
    <n v="5400"/>
    <x v="2"/>
    <x v="0"/>
    <s v="Active"/>
    <x v="1"/>
    <s v="Western North"/>
    <n v="0.1"/>
    <x v="1"/>
    <n v="4860"/>
    <x v="1"/>
  </r>
  <r>
    <s v="ORD0883"/>
    <x v="513"/>
    <x v="1"/>
    <x v="0"/>
    <n v="500"/>
    <x v="0"/>
    <x v="0"/>
    <s v="Active"/>
    <x v="1"/>
    <s v="Upper East"/>
    <n v="0"/>
    <x v="3"/>
    <n v="500"/>
    <x v="1"/>
  </r>
  <r>
    <s v="ORD0884"/>
    <x v="514"/>
    <x v="1"/>
    <x v="1"/>
    <n v="5400"/>
    <x v="1"/>
    <x v="2"/>
    <s v="Cancelled"/>
    <x v="0"/>
    <s v="Greater Accra"/>
    <n v="0.1"/>
    <x v="0"/>
    <n v="4860"/>
    <x v="0"/>
  </r>
  <r>
    <s v="ORD0885"/>
    <x v="37"/>
    <x v="0"/>
    <x v="1"/>
    <n v="16200"/>
    <x v="0"/>
    <x v="1"/>
    <s v="Cancelled"/>
    <x v="0"/>
    <s v="Greater Accra"/>
    <n v="0.1"/>
    <x v="0"/>
    <n v="14580"/>
    <x v="0"/>
  </r>
  <r>
    <s v="ORD0886"/>
    <x v="470"/>
    <x v="2"/>
    <x v="1"/>
    <n v="10800"/>
    <x v="1"/>
    <x v="1"/>
    <s v="Cancelled"/>
    <x v="0"/>
    <s v="Greater Accra"/>
    <n v="0.1"/>
    <x v="0"/>
    <n v="9720"/>
    <x v="0"/>
  </r>
  <r>
    <s v="ORD0887"/>
    <x v="404"/>
    <x v="2"/>
    <x v="1"/>
    <n v="10800"/>
    <x v="2"/>
    <x v="1"/>
    <s v="Cancelled"/>
    <x v="0"/>
    <s v="Western North"/>
    <n v="0.1"/>
    <x v="1"/>
    <n v="9720"/>
    <x v="0"/>
  </r>
  <r>
    <s v="ORD0888"/>
    <x v="398"/>
    <x v="1"/>
    <x v="1"/>
    <n v="5400"/>
    <x v="2"/>
    <x v="0"/>
    <s v="Cancelled"/>
    <x v="0"/>
    <s v="Northern"/>
    <n v="0.1"/>
    <x v="3"/>
    <n v="4860"/>
    <x v="0"/>
  </r>
  <r>
    <s v="ORD0889"/>
    <x v="119"/>
    <x v="2"/>
    <x v="1"/>
    <n v="10800"/>
    <x v="3"/>
    <x v="1"/>
    <s v="Active"/>
    <x v="1"/>
    <s v="Ahafo"/>
    <n v="0.1"/>
    <x v="1"/>
    <n v="9720"/>
    <x v="1"/>
  </r>
  <r>
    <s v="ORD0890"/>
    <x v="444"/>
    <x v="0"/>
    <x v="1"/>
    <n v="16200"/>
    <x v="1"/>
    <x v="2"/>
    <s v="Cancelled"/>
    <x v="0"/>
    <s v="Central"/>
    <n v="0.1"/>
    <x v="0"/>
    <n v="14580"/>
    <x v="0"/>
  </r>
  <r>
    <s v="ORD0891"/>
    <x v="345"/>
    <x v="1"/>
    <x v="0"/>
    <n v="500"/>
    <x v="1"/>
    <x v="0"/>
    <s v="Cancelled"/>
    <x v="0"/>
    <s v="Western"/>
    <n v="0"/>
    <x v="1"/>
    <n v="500"/>
    <x v="0"/>
  </r>
  <r>
    <s v="ORD0892"/>
    <x v="6"/>
    <x v="2"/>
    <x v="1"/>
    <n v="10800"/>
    <x v="1"/>
    <x v="1"/>
    <s v="Cancelled"/>
    <x v="0"/>
    <s v="Ashanti"/>
    <n v="0.1"/>
    <x v="1"/>
    <n v="9720"/>
    <x v="0"/>
  </r>
  <r>
    <s v="ORD0893"/>
    <x v="181"/>
    <x v="1"/>
    <x v="1"/>
    <n v="5400"/>
    <x v="2"/>
    <x v="1"/>
    <s v="Active"/>
    <x v="1"/>
    <s v="Northern"/>
    <n v="0.1"/>
    <x v="3"/>
    <n v="4860"/>
    <x v="1"/>
  </r>
  <r>
    <s v="ORD0894"/>
    <x v="358"/>
    <x v="0"/>
    <x v="0"/>
    <n v="1500"/>
    <x v="1"/>
    <x v="0"/>
    <s v="Cancelled"/>
    <x v="0"/>
    <s v="Greater Accra"/>
    <n v="0"/>
    <x v="0"/>
    <n v="1500"/>
    <x v="0"/>
  </r>
  <r>
    <s v="ORD0895"/>
    <x v="49"/>
    <x v="0"/>
    <x v="0"/>
    <n v="1500"/>
    <x v="3"/>
    <x v="1"/>
    <s v="Active"/>
    <x v="1"/>
    <s v="Western"/>
    <n v="0"/>
    <x v="1"/>
    <n v="1500"/>
    <x v="1"/>
  </r>
  <r>
    <s v="ORD0896"/>
    <x v="354"/>
    <x v="2"/>
    <x v="1"/>
    <n v="10800"/>
    <x v="2"/>
    <x v="0"/>
    <s v="Active"/>
    <x v="1"/>
    <s v="Western"/>
    <n v="0.1"/>
    <x v="1"/>
    <n v="9720"/>
    <x v="1"/>
  </r>
  <r>
    <s v="ORD0897"/>
    <x v="515"/>
    <x v="2"/>
    <x v="1"/>
    <n v="10800"/>
    <x v="1"/>
    <x v="2"/>
    <s v="Active"/>
    <x v="1"/>
    <s v="Greater Accra"/>
    <n v="0.1"/>
    <x v="0"/>
    <n v="9720"/>
    <x v="1"/>
  </r>
  <r>
    <s v="ORD0898"/>
    <x v="298"/>
    <x v="1"/>
    <x v="0"/>
    <n v="500"/>
    <x v="2"/>
    <x v="1"/>
    <s v="Active"/>
    <x v="1"/>
    <s v="Western"/>
    <n v="0"/>
    <x v="1"/>
    <n v="500"/>
    <x v="1"/>
  </r>
  <r>
    <s v="ORD0899"/>
    <x v="16"/>
    <x v="1"/>
    <x v="0"/>
    <n v="500"/>
    <x v="1"/>
    <x v="2"/>
    <s v="Active"/>
    <x v="1"/>
    <s v="Greater Accra"/>
    <n v="0"/>
    <x v="0"/>
    <n v="500"/>
    <x v="1"/>
  </r>
  <r>
    <s v="ORD0900"/>
    <x v="268"/>
    <x v="1"/>
    <x v="1"/>
    <n v="5400"/>
    <x v="0"/>
    <x v="2"/>
    <s v="Active"/>
    <x v="1"/>
    <s v="Savannah"/>
    <n v="0.1"/>
    <x v="3"/>
    <n v="4860"/>
    <x v="1"/>
  </r>
  <r>
    <s v="ORD0901"/>
    <x v="280"/>
    <x v="2"/>
    <x v="1"/>
    <n v="10800"/>
    <x v="0"/>
    <x v="0"/>
    <s v="Active"/>
    <x v="1"/>
    <s v="Greater Accra"/>
    <n v="0.1"/>
    <x v="0"/>
    <n v="9720"/>
    <x v="1"/>
  </r>
  <r>
    <s v="ORD0902"/>
    <x v="22"/>
    <x v="1"/>
    <x v="1"/>
    <n v="5400"/>
    <x v="3"/>
    <x v="0"/>
    <s v="Active"/>
    <x v="1"/>
    <s v="Ashanti"/>
    <n v="0.1"/>
    <x v="1"/>
    <n v="4860"/>
    <x v="1"/>
  </r>
  <r>
    <s v="ORD0903"/>
    <x v="34"/>
    <x v="2"/>
    <x v="1"/>
    <n v="10800"/>
    <x v="3"/>
    <x v="2"/>
    <s v="Active"/>
    <x v="1"/>
    <s v="Ahafo"/>
    <n v="0.1"/>
    <x v="1"/>
    <n v="9720"/>
    <x v="1"/>
  </r>
  <r>
    <s v="ORD0904"/>
    <x v="325"/>
    <x v="2"/>
    <x v="1"/>
    <n v="10800"/>
    <x v="3"/>
    <x v="2"/>
    <s v="Active"/>
    <x v="1"/>
    <s v="Oti"/>
    <n v="0.1"/>
    <x v="2"/>
    <n v="9720"/>
    <x v="1"/>
  </r>
  <r>
    <s v="ORD0905"/>
    <x v="516"/>
    <x v="1"/>
    <x v="1"/>
    <n v="5400"/>
    <x v="2"/>
    <x v="2"/>
    <s v="Active"/>
    <x v="1"/>
    <s v="Northern"/>
    <n v="0.1"/>
    <x v="3"/>
    <n v="4860"/>
    <x v="1"/>
  </r>
  <r>
    <s v="ORD0906"/>
    <x v="442"/>
    <x v="0"/>
    <x v="0"/>
    <n v="1500"/>
    <x v="2"/>
    <x v="2"/>
    <s v="Cancelled"/>
    <x v="0"/>
    <s v="Western"/>
    <n v="0"/>
    <x v="1"/>
    <n v="1500"/>
    <x v="0"/>
  </r>
  <r>
    <s v="ORD0907"/>
    <x v="511"/>
    <x v="2"/>
    <x v="0"/>
    <n v="1000"/>
    <x v="3"/>
    <x v="1"/>
    <s v="Active"/>
    <x v="1"/>
    <s v="Eastern"/>
    <n v="0"/>
    <x v="2"/>
    <n v="1000"/>
    <x v="1"/>
  </r>
  <r>
    <s v="ORD0908"/>
    <x v="143"/>
    <x v="2"/>
    <x v="0"/>
    <n v="1000"/>
    <x v="2"/>
    <x v="1"/>
    <s v="Active"/>
    <x v="1"/>
    <s v="Western North"/>
    <n v="0"/>
    <x v="1"/>
    <n v="1000"/>
    <x v="1"/>
  </r>
  <r>
    <s v="ORD0909"/>
    <x v="345"/>
    <x v="0"/>
    <x v="0"/>
    <n v="1500"/>
    <x v="1"/>
    <x v="1"/>
    <s v="Active"/>
    <x v="1"/>
    <s v="Greater Accra"/>
    <n v="0"/>
    <x v="0"/>
    <n v="1500"/>
    <x v="1"/>
  </r>
  <r>
    <s v="ORD0910"/>
    <x v="517"/>
    <x v="0"/>
    <x v="1"/>
    <n v="16200"/>
    <x v="2"/>
    <x v="2"/>
    <s v="Cancelled"/>
    <x v="0"/>
    <s v="Northern"/>
    <n v="0.1"/>
    <x v="3"/>
    <n v="14580"/>
    <x v="0"/>
  </r>
  <r>
    <s v="ORD0911"/>
    <x v="177"/>
    <x v="1"/>
    <x v="1"/>
    <n v="5400"/>
    <x v="0"/>
    <x v="0"/>
    <s v="Cancelled"/>
    <x v="0"/>
    <s v="Volta"/>
    <n v="0.1"/>
    <x v="2"/>
    <n v="4860"/>
    <x v="0"/>
  </r>
  <r>
    <s v="ORD0912"/>
    <x v="62"/>
    <x v="1"/>
    <x v="0"/>
    <n v="500"/>
    <x v="0"/>
    <x v="2"/>
    <s v="Active"/>
    <x v="1"/>
    <s v="Upper East"/>
    <n v="0"/>
    <x v="3"/>
    <n v="500"/>
    <x v="1"/>
  </r>
  <r>
    <s v="ORD0913"/>
    <x v="75"/>
    <x v="0"/>
    <x v="0"/>
    <n v="1500"/>
    <x v="1"/>
    <x v="2"/>
    <s v="Cancelled"/>
    <x v="0"/>
    <s v="Western"/>
    <n v="0"/>
    <x v="1"/>
    <n v="1500"/>
    <x v="0"/>
  </r>
  <r>
    <s v="ORD0914"/>
    <x v="518"/>
    <x v="0"/>
    <x v="0"/>
    <n v="1500"/>
    <x v="0"/>
    <x v="0"/>
    <s v="Active"/>
    <x v="1"/>
    <s v="Upper East"/>
    <n v="0"/>
    <x v="3"/>
    <n v="1500"/>
    <x v="1"/>
  </r>
  <r>
    <s v="ORD0915"/>
    <x v="504"/>
    <x v="0"/>
    <x v="0"/>
    <n v="1500"/>
    <x v="3"/>
    <x v="0"/>
    <s v="Cancelled"/>
    <x v="0"/>
    <s v="Ashanti"/>
    <n v="0"/>
    <x v="1"/>
    <n v="1500"/>
    <x v="0"/>
  </r>
  <r>
    <s v="ORD0916"/>
    <x v="459"/>
    <x v="0"/>
    <x v="0"/>
    <n v="1500"/>
    <x v="3"/>
    <x v="2"/>
    <s v="Cancelled"/>
    <x v="0"/>
    <s v="Oti"/>
    <n v="0"/>
    <x v="2"/>
    <n v="1500"/>
    <x v="0"/>
  </r>
  <r>
    <s v="ORD0917"/>
    <x v="355"/>
    <x v="2"/>
    <x v="1"/>
    <n v="10800"/>
    <x v="0"/>
    <x v="2"/>
    <s v="Cancelled"/>
    <x v="0"/>
    <s v="Ashanti"/>
    <n v="0.1"/>
    <x v="1"/>
    <n v="9720"/>
    <x v="0"/>
  </r>
  <r>
    <s v="ORD0918"/>
    <x v="463"/>
    <x v="2"/>
    <x v="1"/>
    <n v="10800"/>
    <x v="1"/>
    <x v="2"/>
    <s v="Active"/>
    <x v="1"/>
    <s v="Greater Accra"/>
    <n v="0.1"/>
    <x v="0"/>
    <n v="9720"/>
    <x v="1"/>
  </r>
  <r>
    <s v="ORD0919"/>
    <x v="519"/>
    <x v="2"/>
    <x v="0"/>
    <n v="1000"/>
    <x v="3"/>
    <x v="1"/>
    <s v="Active"/>
    <x v="1"/>
    <s v="Ahafo"/>
    <n v="0"/>
    <x v="1"/>
    <n v="1000"/>
    <x v="1"/>
  </r>
  <r>
    <s v="ORD0920"/>
    <x v="417"/>
    <x v="1"/>
    <x v="1"/>
    <n v="5400"/>
    <x v="1"/>
    <x v="2"/>
    <s v="Cancelled"/>
    <x v="0"/>
    <s v="Western"/>
    <n v="0.1"/>
    <x v="1"/>
    <n v="4860"/>
    <x v="0"/>
  </r>
  <r>
    <s v="ORD0921"/>
    <x v="520"/>
    <x v="1"/>
    <x v="0"/>
    <n v="500"/>
    <x v="1"/>
    <x v="1"/>
    <s v="Active"/>
    <x v="1"/>
    <s v="Greater Accra"/>
    <n v="0"/>
    <x v="0"/>
    <n v="500"/>
    <x v="1"/>
  </r>
  <r>
    <s v="ORD0922"/>
    <x v="281"/>
    <x v="2"/>
    <x v="0"/>
    <n v="1000"/>
    <x v="0"/>
    <x v="2"/>
    <s v="Cancelled"/>
    <x v="0"/>
    <s v="Savannah"/>
    <n v="0"/>
    <x v="3"/>
    <n v="1000"/>
    <x v="0"/>
  </r>
  <r>
    <s v="ORD0923"/>
    <x v="2"/>
    <x v="1"/>
    <x v="0"/>
    <n v="500"/>
    <x v="3"/>
    <x v="1"/>
    <s v="Active"/>
    <x v="1"/>
    <s v="Eastern"/>
    <n v="0"/>
    <x v="2"/>
    <n v="500"/>
    <x v="1"/>
  </r>
  <r>
    <s v="ORD0924"/>
    <x v="521"/>
    <x v="2"/>
    <x v="1"/>
    <n v="10800"/>
    <x v="2"/>
    <x v="2"/>
    <s v="Active"/>
    <x v="1"/>
    <s v="Northern"/>
    <n v="0.1"/>
    <x v="3"/>
    <n v="9720"/>
    <x v="1"/>
  </r>
  <r>
    <s v="ORD0925"/>
    <x v="476"/>
    <x v="2"/>
    <x v="1"/>
    <n v="10800"/>
    <x v="1"/>
    <x v="1"/>
    <s v="Active"/>
    <x v="1"/>
    <s v="Central"/>
    <n v="0.1"/>
    <x v="0"/>
    <n v="9720"/>
    <x v="1"/>
  </r>
  <r>
    <s v="ORD0926"/>
    <x v="15"/>
    <x v="0"/>
    <x v="1"/>
    <n v="16200"/>
    <x v="0"/>
    <x v="2"/>
    <s v="Active"/>
    <x v="1"/>
    <s v="Upper East"/>
    <n v="0.1"/>
    <x v="3"/>
    <n v="14580"/>
    <x v="1"/>
  </r>
  <r>
    <s v="ORD0927"/>
    <x v="373"/>
    <x v="0"/>
    <x v="1"/>
    <n v="16200"/>
    <x v="2"/>
    <x v="2"/>
    <s v="Cancelled"/>
    <x v="0"/>
    <s v="Bono"/>
    <n v="0.1"/>
    <x v="1"/>
    <n v="14580"/>
    <x v="0"/>
  </r>
  <r>
    <s v="ORD0928"/>
    <x v="65"/>
    <x v="2"/>
    <x v="1"/>
    <n v="10800"/>
    <x v="2"/>
    <x v="1"/>
    <s v="Cancelled"/>
    <x v="0"/>
    <s v="Western"/>
    <n v="0.1"/>
    <x v="1"/>
    <n v="9720"/>
    <x v="0"/>
  </r>
  <r>
    <s v="ORD0929"/>
    <x v="436"/>
    <x v="1"/>
    <x v="0"/>
    <n v="500"/>
    <x v="3"/>
    <x v="1"/>
    <s v="Active"/>
    <x v="1"/>
    <s v="Western"/>
    <n v="0"/>
    <x v="1"/>
    <n v="500"/>
    <x v="1"/>
  </r>
  <r>
    <s v="ORD0930"/>
    <x v="72"/>
    <x v="1"/>
    <x v="1"/>
    <n v="5400"/>
    <x v="3"/>
    <x v="0"/>
    <s v="Active"/>
    <x v="1"/>
    <s v="Eastern"/>
    <n v="0.1"/>
    <x v="2"/>
    <n v="4860"/>
    <x v="1"/>
  </r>
  <r>
    <s v="ORD0931"/>
    <x v="522"/>
    <x v="1"/>
    <x v="0"/>
    <n v="500"/>
    <x v="0"/>
    <x v="2"/>
    <s v="Cancelled"/>
    <x v="0"/>
    <s v="Volta"/>
    <n v="0"/>
    <x v="2"/>
    <n v="500"/>
    <x v="0"/>
  </r>
  <r>
    <s v="ORD0932"/>
    <x v="478"/>
    <x v="0"/>
    <x v="0"/>
    <n v="1500"/>
    <x v="2"/>
    <x v="0"/>
    <s v="Cancelled"/>
    <x v="0"/>
    <s v="Eastern"/>
    <n v="0"/>
    <x v="2"/>
    <n v="1500"/>
    <x v="0"/>
  </r>
  <r>
    <s v="ORD0933"/>
    <x v="73"/>
    <x v="2"/>
    <x v="0"/>
    <n v="1000"/>
    <x v="0"/>
    <x v="2"/>
    <s v="Active"/>
    <x v="1"/>
    <s v="Ashanti"/>
    <n v="0"/>
    <x v="1"/>
    <n v="1000"/>
    <x v="1"/>
  </r>
  <r>
    <s v="ORD0934"/>
    <x v="160"/>
    <x v="0"/>
    <x v="0"/>
    <n v="1500"/>
    <x v="2"/>
    <x v="2"/>
    <s v="Cancelled"/>
    <x v="0"/>
    <s v="Western"/>
    <n v="0"/>
    <x v="1"/>
    <n v="1500"/>
    <x v="0"/>
  </r>
  <r>
    <s v="ORD0935"/>
    <x v="231"/>
    <x v="0"/>
    <x v="0"/>
    <n v="1500"/>
    <x v="1"/>
    <x v="1"/>
    <s v="Active"/>
    <x v="1"/>
    <s v="Greater Accra"/>
    <n v="0"/>
    <x v="0"/>
    <n v="1500"/>
    <x v="1"/>
  </r>
  <r>
    <s v="ORD0936"/>
    <x v="523"/>
    <x v="0"/>
    <x v="0"/>
    <n v="1500"/>
    <x v="2"/>
    <x v="0"/>
    <s v="Active"/>
    <x v="1"/>
    <s v="Eastern"/>
    <n v="0"/>
    <x v="2"/>
    <n v="1500"/>
    <x v="1"/>
  </r>
  <r>
    <s v="ORD0937"/>
    <x v="524"/>
    <x v="0"/>
    <x v="0"/>
    <n v="1500"/>
    <x v="3"/>
    <x v="0"/>
    <s v="Cancelled"/>
    <x v="0"/>
    <s v="Ashanti"/>
    <n v="0"/>
    <x v="1"/>
    <n v="1500"/>
    <x v="0"/>
  </r>
  <r>
    <s v="ORD0938"/>
    <x v="38"/>
    <x v="1"/>
    <x v="0"/>
    <n v="500"/>
    <x v="0"/>
    <x v="2"/>
    <s v="Active"/>
    <x v="1"/>
    <s v="Volta"/>
    <n v="0"/>
    <x v="2"/>
    <n v="500"/>
    <x v="1"/>
  </r>
  <r>
    <s v="ORD0939"/>
    <x v="195"/>
    <x v="0"/>
    <x v="1"/>
    <n v="16200"/>
    <x v="3"/>
    <x v="0"/>
    <s v="Active"/>
    <x v="1"/>
    <s v="Western"/>
    <n v="0.1"/>
    <x v="1"/>
    <n v="14580"/>
    <x v="1"/>
  </r>
  <r>
    <s v="ORD0940"/>
    <x v="143"/>
    <x v="0"/>
    <x v="0"/>
    <n v="1500"/>
    <x v="3"/>
    <x v="1"/>
    <s v="Cancelled"/>
    <x v="0"/>
    <s v="Ashanti"/>
    <n v="0"/>
    <x v="1"/>
    <n v="1500"/>
    <x v="0"/>
  </r>
  <r>
    <s v="ORD0941"/>
    <x v="151"/>
    <x v="1"/>
    <x v="0"/>
    <n v="500"/>
    <x v="3"/>
    <x v="1"/>
    <s v="Cancelled"/>
    <x v="0"/>
    <s v="Ahafo"/>
    <n v="0"/>
    <x v="1"/>
    <n v="500"/>
    <x v="0"/>
  </r>
  <r>
    <s v="ORD0942"/>
    <x v="382"/>
    <x v="0"/>
    <x v="1"/>
    <n v="16200"/>
    <x v="1"/>
    <x v="0"/>
    <s v="Active"/>
    <x v="1"/>
    <s v="Greater Accra"/>
    <n v="0.1"/>
    <x v="0"/>
    <n v="14580"/>
    <x v="1"/>
  </r>
  <r>
    <s v="ORD0943"/>
    <x v="525"/>
    <x v="1"/>
    <x v="1"/>
    <n v="5400"/>
    <x v="1"/>
    <x v="1"/>
    <s v="Active"/>
    <x v="1"/>
    <s v="Ashanti"/>
    <n v="0.1"/>
    <x v="1"/>
    <n v="4860"/>
    <x v="1"/>
  </r>
  <r>
    <s v="ORD0944"/>
    <x v="373"/>
    <x v="0"/>
    <x v="1"/>
    <n v="16200"/>
    <x v="3"/>
    <x v="1"/>
    <s v="Cancelled"/>
    <x v="0"/>
    <s v="Greater Accra"/>
    <n v="0.1"/>
    <x v="0"/>
    <n v="14580"/>
    <x v="0"/>
  </r>
  <r>
    <s v="ORD0945"/>
    <x v="526"/>
    <x v="0"/>
    <x v="0"/>
    <n v="1500"/>
    <x v="0"/>
    <x v="2"/>
    <s v="Cancelled"/>
    <x v="0"/>
    <s v="Ashanti"/>
    <n v="0"/>
    <x v="1"/>
    <n v="1500"/>
    <x v="0"/>
  </r>
  <r>
    <s v="ORD0946"/>
    <x v="527"/>
    <x v="2"/>
    <x v="1"/>
    <n v="10800"/>
    <x v="2"/>
    <x v="2"/>
    <s v="Cancelled"/>
    <x v="0"/>
    <s v="Western North"/>
    <n v="0.1"/>
    <x v="1"/>
    <n v="9720"/>
    <x v="0"/>
  </r>
  <r>
    <s v="ORD0947"/>
    <x v="474"/>
    <x v="0"/>
    <x v="0"/>
    <n v="1500"/>
    <x v="1"/>
    <x v="1"/>
    <s v="Active"/>
    <x v="1"/>
    <s v="Western"/>
    <n v="0"/>
    <x v="1"/>
    <n v="1500"/>
    <x v="1"/>
  </r>
  <r>
    <s v="ORD0948"/>
    <x v="528"/>
    <x v="1"/>
    <x v="0"/>
    <n v="500"/>
    <x v="0"/>
    <x v="0"/>
    <s v="Active"/>
    <x v="1"/>
    <s v="Upper East"/>
    <n v="0"/>
    <x v="3"/>
    <n v="500"/>
    <x v="1"/>
  </r>
  <r>
    <s v="ORD0949"/>
    <x v="408"/>
    <x v="0"/>
    <x v="1"/>
    <n v="16200"/>
    <x v="0"/>
    <x v="0"/>
    <s v="Cancelled"/>
    <x v="0"/>
    <s v="Greater Accra"/>
    <n v="0.1"/>
    <x v="0"/>
    <n v="14580"/>
    <x v="0"/>
  </r>
  <r>
    <s v="ORD0950"/>
    <x v="58"/>
    <x v="2"/>
    <x v="0"/>
    <n v="1000"/>
    <x v="3"/>
    <x v="1"/>
    <s v="Cancelled"/>
    <x v="0"/>
    <s v="Greater Accra"/>
    <n v="0"/>
    <x v="0"/>
    <n v="1000"/>
    <x v="0"/>
  </r>
  <r>
    <s v="ORD0951"/>
    <x v="517"/>
    <x v="2"/>
    <x v="0"/>
    <n v="1000"/>
    <x v="2"/>
    <x v="0"/>
    <s v="Cancelled"/>
    <x v="0"/>
    <s v="Western North"/>
    <n v="0"/>
    <x v="1"/>
    <n v="1000"/>
    <x v="0"/>
  </r>
  <r>
    <s v="ORD0952"/>
    <x v="267"/>
    <x v="0"/>
    <x v="1"/>
    <n v="16200"/>
    <x v="0"/>
    <x v="1"/>
    <s v="Cancelled"/>
    <x v="0"/>
    <s v="Ashanti"/>
    <n v="0.1"/>
    <x v="1"/>
    <n v="14580"/>
    <x v="0"/>
  </r>
  <r>
    <s v="ORD0953"/>
    <x v="119"/>
    <x v="0"/>
    <x v="1"/>
    <n v="16200"/>
    <x v="3"/>
    <x v="1"/>
    <s v="Cancelled"/>
    <x v="0"/>
    <s v="Eastern"/>
    <n v="0.1"/>
    <x v="2"/>
    <n v="14580"/>
    <x v="0"/>
  </r>
  <r>
    <s v="ORD0954"/>
    <x v="432"/>
    <x v="0"/>
    <x v="1"/>
    <n v="16200"/>
    <x v="1"/>
    <x v="2"/>
    <s v="Active"/>
    <x v="1"/>
    <s v="Greater Accra"/>
    <n v="0.1"/>
    <x v="0"/>
    <n v="14580"/>
    <x v="1"/>
  </r>
  <r>
    <s v="ORD0955"/>
    <x v="243"/>
    <x v="2"/>
    <x v="0"/>
    <n v="1000"/>
    <x v="1"/>
    <x v="2"/>
    <s v="Cancelled"/>
    <x v="0"/>
    <s v="Greater Accra"/>
    <n v="0"/>
    <x v="0"/>
    <n v="1000"/>
    <x v="0"/>
  </r>
  <r>
    <s v="ORD0956"/>
    <x v="121"/>
    <x v="2"/>
    <x v="0"/>
    <n v="1000"/>
    <x v="1"/>
    <x v="0"/>
    <s v="Active"/>
    <x v="1"/>
    <s v="Western"/>
    <n v="0"/>
    <x v="1"/>
    <n v="1000"/>
    <x v="1"/>
  </r>
  <r>
    <s v="ORD0957"/>
    <x v="529"/>
    <x v="0"/>
    <x v="0"/>
    <n v="1500"/>
    <x v="1"/>
    <x v="2"/>
    <s v="Active"/>
    <x v="1"/>
    <s v="Western"/>
    <n v="0"/>
    <x v="1"/>
    <n v="1500"/>
    <x v="1"/>
  </r>
  <r>
    <s v="ORD0958"/>
    <x v="134"/>
    <x v="0"/>
    <x v="0"/>
    <n v="1500"/>
    <x v="3"/>
    <x v="1"/>
    <s v="Active"/>
    <x v="1"/>
    <s v="Greater Accra"/>
    <n v="0"/>
    <x v="0"/>
    <n v="1500"/>
    <x v="1"/>
  </r>
  <r>
    <s v="ORD0959"/>
    <x v="41"/>
    <x v="2"/>
    <x v="1"/>
    <n v="10800"/>
    <x v="1"/>
    <x v="1"/>
    <s v="Cancelled"/>
    <x v="0"/>
    <s v="Central"/>
    <n v="0.1"/>
    <x v="0"/>
    <n v="9720"/>
    <x v="0"/>
  </r>
  <r>
    <s v="ORD0960"/>
    <x v="171"/>
    <x v="1"/>
    <x v="0"/>
    <n v="500"/>
    <x v="0"/>
    <x v="0"/>
    <s v="Active"/>
    <x v="1"/>
    <s v="Volta"/>
    <n v="0"/>
    <x v="2"/>
    <n v="500"/>
    <x v="1"/>
  </r>
  <r>
    <s v="ORD0961"/>
    <x v="73"/>
    <x v="2"/>
    <x v="0"/>
    <n v="1000"/>
    <x v="2"/>
    <x v="2"/>
    <s v="Cancelled"/>
    <x v="0"/>
    <s v="Bono"/>
    <n v="0"/>
    <x v="1"/>
    <n v="1000"/>
    <x v="0"/>
  </r>
  <r>
    <s v="ORD0962"/>
    <x v="259"/>
    <x v="1"/>
    <x v="1"/>
    <n v="5400"/>
    <x v="0"/>
    <x v="1"/>
    <s v="Active"/>
    <x v="1"/>
    <s v="Greater Accra"/>
    <n v="0.1"/>
    <x v="0"/>
    <n v="4860"/>
    <x v="1"/>
  </r>
  <r>
    <s v="ORD0963"/>
    <x v="386"/>
    <x v="0"/>
    <x v="0"/>
    <n v="1500"/>
    <x v="3"/>
    <x v="1"/>
    <s v="Cancelled"/>
    <x v="0"/>
    <s v="Western"/>
    <n v="0"/>
    <x v="1"/>
    <n v="1500"/>
    <x v="0"/>
  </r>
  <r>
    <s v="ORD0964"/>
    <x v="368"/>
    <x v="2"/>
    <x v="1"/>
    <n v="10800"/>
    <x v="2"/>
    <x v="0"/>
    <s v="Cancelled"/>
    <x v="0"/>
    <s v="Western"/>
    <n v="0.1"/>
    <x v="1"/>
    <n v="9720"/>
    <x v="0"/>
  </r>
  <r>
    <s v="ORD0965"/>
    <x v="59"/>
    <x v="1"/>
    <x v="1"/>
    <n v="5400"/>
    <x v="1"/>
    <x v="0"/>
    <s v="Active"/>
    <x v="1"/>
    <s v="Central"/>
    <n v="0.1"/>
    <x v="0"/>
    <n v="4860"/>
    <x v="1"/>
  </r>
  <r>
    <s v="ORD0966"/>
    <x v="167"/>
    <x v="0"/>
    <x v="1"/>
    <n v="16200"/>
    <x v="0"/>
    <x v="1"/>
    <s v="Active"/>
    <x v="1"/>
    <s v="Ashanti"/>
    <n v="0.1"/>
    <x v="1"/>
    <n v="14580"/>
    <x v="1"/>
  </r>
  <r>
    <s v="ORD0967"/>
    <x v="530"/>
    <x v="0"/>
    <x v="0"/>
    <n v="1500"/>
    <x v="2"/>
    <x v="2"/>
    <s v="Active"/>
    <x v="1"/>
    <s v="Western North"/>
    <n v="0"/>
    <x v="1"/>
    <n v="1500"/>
    <x v="1"/>
  </r>
  <r>
    <s v="ORD0968"/>
    <x v="84"/>
    <x v="2"/>
    <x v="1"/>
    <n v="10800"/>
    <x v="3"/>
    <x v="1"/>
    <s v="Active"/>
    <x v="1"/>
    <s v="Western"/>
    <n v="0.1"/>
    <x v="1"/>
    <n v="9720"/>
    <x v="1"/>
  </r>
  <r>
    <s v="ORD0969"/>
    <x v="531"/>
    <x v="2"/>
    <x v="1"/>
    <n v="10800"/>
    <x v="3"/>
    <x v="0"/>
    <s v="Active"/>
    <x v="1"/>
    <s v="Greater Accra"/>
    <n v="0.1"/>
    <x v="0"/>
    <n v="9720"/>
    <x v="1"/>
  </r>
  <r>
    <s v="ORD0970"/>
    <x v="532"/>
    <x v="0"/>
    <x v="1"/>
    <n v="16200"/>
    <x v="2"/>
    <x v="2"/>
    <s v="Active"/>
    <x v="1"/>
    <s v="Eastern"/>
    <n v="0.1"/>
    <x v="2"/>
    <n v="14580"/>
    <x v="1"/>
  </r>
  <r>
    <s v="ORD0971"/>
    <x v="25"/>
    <x v="1"/>
    <x v="1"/>
    <n v="5400"/>
    <x v="0"/>
    <x v="2"/>
    <s v="Cancelled"/>
    <x v="0"/>
    <s v="Upper East"/>
    <n v="0.1"/>
    <x v="3"/>
    <n v="4860"/>
    <x v="0"/>
  </r>
  <r>
    <s v="ORD0972"/>
    <x v="385"/>
    <x v="1"/>
    <x v="1"/>
    <n v="5400"/>
    <x v="1"/>
    <x v="0"/>
    <s v="Active"/>
    <x v="1"/>
    <s v="Greater Accra"/>
    <n v="0.1"/>
    <x v="0"/>
    <n v="4860"/>
    <x v="1"/>
  </r>
  <r>
    <s v="ORD0973"/>
    <x v="193"/>
    <x v="2"/>
    <x v="0"/>
    <n v="1000"/>
    <x v="3"/>
    <x v="2"/>
    <s v="Active"/>
    <x v="1"/>
    <s v="Eastern"/>
    <n v="0"/>
    <x v="2"/>
    <n v="1000"/>
    <x v="1"/>
  </r>
  <r>
    <s v="ORD0974"/>
    <x v="484"/>
    <x v="0"/>
    <x v="0"/>
    <n v="1500"/>
    <x v="1"/>
    <x v="2"/>
    <s v="Active"/>
    <x v="1"/>
    <s v="Ashanti"/>
    <n v="0"/>
    <x v="1"/>
    <n v="1500"/>
    <x v="1"/>
  </r>
  <r>
    <s v="ORD0975"/>
    <x v="523"/>
    <x v="2"/>
    <x v="0"/>
    <n v="1000"/>
    <x v="0"/>
    <x v="1"/>
    <s v="Active"/>
    <x v="1"/>
    <s v="Greater Accra"/>
    <n v="0"/>
    <x v="0"/>
    <n v="1000"/>
    <x v="1"/>
  </r>
  <r>
    <s v="ORD0976"/>
    <x v="214"/>
    <x v="1"/>
    <x v="0"/>
    <n v="500"/>
    <x v="1"/>
    <x v="2"/>
    <s v="Cancelled"/>
    <x v="0"/>
    <s v="Central"/>
    <n v="0"/>
    <x v="0"/>
    <n v="500"/>
    <x v="0"/>
  </r>
  <r>
    <s v="ORD0977"/>
    <x v="533"/>
    <x v="2"/>
    <x v="0"/>
    <n v="1000"/>
    <x v="1"/>
    <x v="2"/>
    <s v="Active"/>
    <x v="1"/>
    <s v="Central"/>
    <n v="0"/>
    <x v="0"/>
    <n v="1000"/>
    <x v="1"/>
  </r>
  <r>
    <s v="ORD0978"/>
    <x v="53"/>
    <x v="2"/>
    <x v="0"/>
    <n v="1000"/>
    <x v="2"/>
    <x v="1"/>
    <s v="Cancelled"/>
    <x v="0"/>
    <s v="Bono"/>
    <n v="0"/>
    <x v="1"/>
    <n v="1000"/>
    <x v="0"/>
  </r>
  <r>
    <s v="ORD0979"/>
    <x v="430"/>
    <x v="1"/>
    <x v="0"/>
    <n v="500"/>
    <x v="0"/>
    <x v="1"/>
    <s v="Active"/>
    <x v="1"/>
    <s v="Ashanti"/>
    <n v="0"/>
    <x v="1"/>
    <n v="500"/>
    <x v="1"/>
  </r>
  <r>
    <s v="ORD0980"/>
    <x v="431"/>
    <x v="2"/>
    <x v="0"/>
    <n v="1000"/>
    <x v="0"/>
    <x v="0"/>
    <s v="Cancelled"/>
    <x v="0"/>
    <s v="Volta"/>
    <n v="0"/>
    <x v="2"/>
    <n v="1000"/>
    <x v="0"/>
  </r>
  <r>
    <s v="ORD0981"/>
    <x v="199"/>
    <x v="2"/>
    <x v="1"/>
    <n v="10800"/>
    <x v="2"/>
    <x v="0"/>
    <s v="Active"/>
    <x v="1"/>
    <s v="Eastern"/>
    <n v="0.1"/>
    <x v="2"/>
    <n v="9720"/>
    <x v="1"/>
  </r>
  <r>
    <s v="ORD0982"/>
    <x v="279"/>
    <x v="2"/>
    <x v="1"/>
    <n v="10800"/>
    <x v="2"/>
    <x v="1"/>
    <s v="Cancelled"/>
    <x v="0"/>
    <s v="Western"/>
    <n v="0.1"/>
    <x v="1"/>
    <n v="9720"/>
    <x v="0"/>
  </r>
  <r>
    <s v="ORD0983"/>
    <x v="488"/>
    <x v="0"/>
    <x v="1"/>
    <n v="16200"/>
    <x v="2"/>
    <x v="0"/>
    <s v="Active"/>
    <x v="1"/>
    <s v="Bono"/>
    <n v="0.1"/>
    <x v="1"/>
    <n v="14580"/>
    <x v="1"/>
  </r>
  <r>
    <s v="ORD0984"/>
    <x v="45"/>
    <x v="1"/>
    <x v="0"/>
    <n v="500"/>
    <x v="1"/>
    <x v="1"/>
    <s v="Active"/>
    <x v="1"/>
    <s v="Central"/>
    <n v="0"/>
    <x v="0"/>
    <n v="500"/>
    <x v="1"/>
  </r>
  <r>
    <s v="ORD0985"/>
    <x v="523"/>
    <x v="2"/>
    <x v="1"/>
    <n v="10800"/>
    <x v="1"/>
    <x v="2"/>
    <s v="Active"/>
    <x v="1"/>
    <s v="Central"/>
    <n v="0.1"/>
    <x v="0"/>
    <n v="9720"/>
    <x v="1"/>
  </r>
  <r>
    <s v="ORD0986"/>
    <x v="534"/>
    <x v="2"/>
    <x v="0"/>
    <n v="1000"/>
    <x v="1"/>
    <x v="0"/>
    <s v="Cancelled"/>
    <x v="0"/>
    <s v="Western"/>
    <n v="0"/>
    <x v="1"/>
    <n v="1000"/>
    <x v="0"/>
  </r>
  <r>
    <s v="ORD0987"/>
    <x v="274"/>
    <x v="0"/>
    <x v="0"/>
    <n v="1500"/>
    <x v="1"/>
    <x v="2"/>
    <s v="Cancelled"/>
    <x v="0"/>
    <s v="Ashanti"/>
    <n v="0"/>
    <x v="1"/>
    <n v="1500"/>
    <x v="0"/>
  </r>
  <r>
    <s v="ORD0988"/>
    <x v="535"/>
    <x v="2"/>
    <x v="0"/>
    <n v="1000"/>
    <x v="0"/>
    <x v="2"/>
    <s v="Cancelled"/>
    <x v="0"/>
    <s v="Ashanti"/>
    <n v="0"/>
    <x v="1"/>
    <n v="1000"/>
    <x v="0"/>
  </r>
  <r>
    <s v="ORD0989"/>
    <x v="536"/>
    <x v="0"/>
    <x v="1"/>
    <n v="16200"/>
    <x v="1"/>
    <x v="1"/>
    <s v="Cancelled"/>
    <x v="0"/>
    <s v="Central"/>
    <n v="0.1"/>
    <x v="0"/>
    <n v="14580"/>
    <x v="0"/>
  </r>
  <r>
    <s v="ORD0990"/>
    <x v="537"/>
    <x v="0"/>
    <x v="0"/>
    <n v="1500"/>
    <x v="2"/>
    <x v="0"/>
    <s v="Active"/>
    <x v="1"/>
    <s v="Western North"/>
    <n v="0"/>
    <x v="1"/>
    <n v="1500"/>
    <x v="1"/>
  </r>
  <r>
    <s v="ORD0991"/>
    <x v="538"/>
    <x v="0"/>
    <x v="1"/>
    <n v="16200"/>
    <x v="0"/>
    <x v="1"/>
    <s v="Cancelled"/>
    <x v="0"/>
    <s v="Ashanti"/>
    <n v="0.1"/>
    <x v="1"/>
    <n v="14580"/>
    <x v="0"/>
  </r>
  <r>
    <s v="ORD0992"/>
    <x v="97"/>
    <x v="1"/>
    <x v="1"/>
    <n v="5400"/>
    <x v="0"/>
    <x v="2"/>
    <s v="Cancelled"/>
    <x v="0"/>
    <s v="Savannah"/>
    <n v="0.1"/>
    <x v="3"/>
    <n v="4860"/>
    <x v="0"/>
  </r>
  <r>
    <s v="ORD0993"/>
    <x v="446"/>
    <x v="1"/>
    <x v="0"/>
    <n v="500"/>
    <x v="0"/>
    <x v="0"/>
    <s v="Active"/>
    <x v="1"/>
    <s v="Savannah"/>
    <n v="0"/>
    <x v="3"/>
    <n v="500"/>
    <x v="1"/>
  </r>
  <r>
    <s v="ORD0994"/>
    <x v="433"/>
    <x v="0"/>
    <x v="1"/>
    <n v="16200"/>
    <x v="3"/>
    <x v="1"/>
    <s v="Cancelled"/>
    <x v="0"/>
    <s v="Western"/>
    <n v="0.1"/>
    <x v="1"/>
    <n v="14580"/>
    <x v="0"/>
  </r>
  <r>
    <s v="ORD0995"/>
    <x v="202"/>
    <x v="0"/>
    <x v="1"/>
    <n v="16200"/>
    <x v="2"/>
    <x v="0"/>
    <s v="Cancelled"/>
    <x v="0"/>
    <s v="Bono"/>
    <n v="0.1"/>
    <x v="1"/>
    <n v="14580"/>
    <x v="0"/>
  </r>
  <r>
    <s v="ORD0996"/>
    <x v="460"/>
    <x v="0"/>
    <x v="0"/>
    <n v="1500"/>
    <x v="1"/>
    <x v="2"/>
    <s v="Cancelled"/>
    <x v="0"/>
    <s v="Central"/>
    <n v="0"/>
    <x v="0"/>
    <n v="1500"/>
    <x v="0"/>
  </r>
  <r>
    <s v="ORD0997"/>
    <x v="455"/>
    <x v="1"/>
    <x v="0"/>
    <n v="500"/>
    <x v="3"/>
    <x v="1"/>
    <s v="Cancelled"/>
    <x v="0"/>
    <s v="Ashanti"/>
    <n v="0"/>
    <x v="1"/>
    <n v="500"/>
    <x v="0"/>
  </r>
  <r>
    <s v="ORD0998"/>
    <x v="539"/>
    <x v="2"/>
    <x v="1"/>
    <n v="10800"/>
    <x v="2"/>
    <x v="0"/>
    <s v="Cancelled"/>
    <x v="0"/>
    <s v="Bono"/>
    <n v="0.1"/>
    <x v="1"/>
    <n v="9720"/>
    <x v="0"/>
  </r>
  <r>
    <s v="ORD0999"/>
    <x v="91"/>
    <x v="2"/>
    <x v="0"/>
    <n v="1000"/>
    <x v="1"/>
    <x v="0"/>
    <s v="Cancelled"/>
    <x v="0"/>
    <s v="Greater Accra"/>
    <n v="0"/>
    <x v="0"/>
    <n v="1000"/>
    <x v="0"/>
  </r>
  <r>
    <s v="ORD1000"/>
    <x v="220"/>
    <x v="0"/>
    <x v="0"/>
    <n v="1500"/>
    <x v="0"/>
    <x v="1"/>
    <s v="Active"/>
    <x v="1"/>
    <s v="Upper East"/>
    <n v="0"/>
    <x v="3"/>
    <n v="1500"/>
    <x v="1"/>
  </r>
  <r>
    <s v="ORD1001"/>
    <x v="7"/>
    <x v="1"/>
    <x v="1"/>
    <n v="5400"/>
    <x v="0"/>
    <x v="0"/>
    <s v="Active"/>
    <x v="1"/>
    <s v="Upper East"/>
    <n v="0.1"/>
    <x v="3"/>
    <n v="4860"/>
    <x v="1"/>
  </r>
  <r>
    <s v="ORD1002"/>
    <x v="540"/>
    <x v="2"/>
    <x v="1"/>
    <n v="10800"/>
    <x v="3"/>
    <x v="0"/>
    <s v="Cancelled"/>
    <x v="0"/>
    <s v="Ashanti"/>
    <n v="0.1"/>
    <x v="1"/>
    <n v="9720"/>
    <x v="0"/>
  </r>
  <r>
    <s v="ORD1003"/>
    <x v="541"/>
    <x v="0"/>
    <x v="0"/>
    <n v="1500"/>
    <x v="1"/>
    <x v="1"/>
    <s v="Active"/>
    <x v="1"/>
    <s v="Western"/>
    <n v="0"/>
    <x v="1"/>
    <n v="1500"/>
    <x v="1"/>
  </r>
  <r>
    <s v="ORD1004"/>
    <x v="542"/>
    <x v="2"/>
    <x v="0"/>
    <n v="1000"/>
    <x v="3"/>
    <x v="1"/>
    <s v="Active"/>
    <x v="1"/>
    <s v="Ahafo"/>
    <n v="0"/>
    <x v="1"/>
    <n v="1000"/>
    <x v="1"/>
  </r>
  <r>
    <s v="ORD1005"/>
    <x v="164"/>
    <x v="0"/>
    <x v="1"/>
    <n v="16200"/>
    <x v="1"/>
    <x v="2"/>
    <s v="Active"/>
    <x v="1"/>
    <s v="Central"/>
    <n v="0.1"/>
    <x v="0"/>
    <n v="14580"/>
    <x v="1"/>
  </r>
  <r>
    <s v="ORD1006"/>
    <x v="543"/>
    <x v="1"/>
    <x v="0"/>
    <n v="500"/>
    <x v="0"/>
    <x v="0"/>
    <s v="Cancelled"/>
    <x v="0"/>
    <s v="Greater Accra"/>
    <n v="0"/>
    <x v="0"/>
    <n v="500"/>
    <x v="0"/>
  </r>
  <r>
    <s v="ORD1007"/>
    <x v="228"/>
    <x v="0"/>
    <x v="1"/>
    <n v="16200"/>
    <x v="3"/>
    <x v="2"/>
    <s v="Active"/>
    <x v="1"/>
    <s v="Greater Accra"/>
    <n v="0.1"/>
    <x v="0"/>
    <n v="14580"/>
    <x v="1"/>
  </r>
  <r>
    <s v="ORD1008"/>
    <x v="544"/>
    <x v="0"/>
    <x v="0"/>
    <n v="1500"/>
    <x v="2"/>
    <x v="2"/>
    <s v="Cancelled"/>
    <x v="0"/>
    <s v="Western"/>
    <n v="0"/>
    <x v="1"/>
    <n v="1500"/>
    <x v="0"/>
  </r>
  <r>
    <s v="ORD1009"/>
    <x v="131"/>
    <x v="1"/>
    <x v="1"/>
    <n v="5400"/>
    <x v="3"/>
    <x v="1"/>
    <s v="Active"/>
    <x v="1"/>
    <s v="Ashanti"/>
    <n v="0.1"/>
    <x v="1"/>
    <n v="4860"/>
    <x v="1"/>
  </r>
  <r>
    <s v="ORD1010"/>
    <x v="24"/>
    <x v="1"/>
    <x v="1"/>
    <n v="5400"/>
    <x v="3"/>
    <x v="0"/>
    <s v="Active"/>
    <x v="1"/>
    <s v="Eastern"/>
    <n v="0.1"/>
    <x v="2"/>
    <n v="4860"/>
    <x v="1"/>
  </r>
  <r>
    <s v="ORD1011"/>
    <x v="453"/>
    <x v="0"/>
    <x v="0"/>
    <n v="1500"/>
    <x v="1"/>
    <x v="2"/>
    <s v="Cancelled"/>
    <x v="0"/>
    <s v="Central"/>
    <n v="0"/>
    <x v="0"/>
    <n v="1500"/>
    <x v="0"/>
  </r>
  <r>
    <s v="ORD1012"/>
    <x v="271"/>
    <x v="1"/>
    <x v="1"/>
    <n v="5400"/>
    <x v="2"/>
    <x v="1"/>
    <s v="Cancelled"/>
    <x v="0"/>
    <s v="Western"/>
    <n v="0.1"/>
    <x v="1"/>
    <n v="4860"/>
    <x v="0"/>
  </r>
  <r>
    <s v="ORD1013"/>
    <x v="259"/>
    <x v="1"/>
    <x v="0"/>
    <n v="500"/>
    <x v="0"/>
    <x v="0"/>
    <s v="Active"/>
    <x v="1"/>
    <s v="Volta"/>
    <n v="0"/>
    <x v="2"/>
    <n v="500"/>
    <x v="1"/>
  </r>
  <r>
    <s v="ORD1014"/>
    <x v="460"/>
    <x v="2"/>
    <x v="0"/>
    <n v="1000"/>
    <x v="3"/>
    <x v="2"/>
    <s v="Cancelled"/>
    <x v="0"/>
    <s v="Ahafo"/>
    <n v="0"/>
    <x v="1"/>
    <n v="1000"/>
    <x v="0"/>
  </r>
  <r>
    <s v="ORD1015"/>
    <x v="484"/>
    <x v="2"/>
    <x v="1"/>
    <n v="10800"/>
    <x v="3"/>
    <x v="0"/>
    <s v="Active"/>
    <x v="1"/>
    <s v="Eastern"/>
    <n v="0.1"/>
    <x v="2"/>
    <n v="9720"/>
    <x v="1"/>
  </r>
  <r>
    <s v="ORD1016"/>
    <x v="532"/>
    <x v="0"/>
    <x v="1"/>
    <n v="16200"/>
    <x v="2"/>
    <x v="1"/>
    <s v="Cancelled"/>
    <x v="0"/>
    <s v="Eastern"/>
    <n v="0.1"/>
    <x v="2"/>
    <n v="14580"/>
    <x v="0"/>
  </r>
  <r>
    <s v="ORD1017"/>
    <x v="486"/>
    <x v="1"/>
    <x v="1"/>
    <n v="5400"/>
    <x v="3"/>
    <x v="1"/>
    <s v="Cancelled"/>
    <x v="0"/>
    <s v="Western"/>
    <n v="0.1"/>
    <x v="1"/>
    <n v="4860"/>
    <x v="0"/>
  </r>
  <r>
    <s v="ORD1018"/>
    <x v="80"/>
    <x v="1"/>
    <x v="0"/>
    <n v="500"/>
    <x v="2"/>
    <x v="2"/>
    <s v="Cancelled"/>
    <x v="0"/>
    <s v="Northern"/>
    <n v="0"/>
    <x v="3"/>
    <n v="500"/>
    <x v="0"/>
  </r>
  <r>
    <s v="ORD1019"/>
    <x v="384"/>
    <x v="0"/>
    <x v="1"/>
    <n v="16200"/>
    <x v="3"/>
    <x v="0"/>
    <s v="Cancelled"/>
    <x v="0"/>
    <s v="Ahafo"/>
    <n v="0.1"/>
    <x v="1"/>
    <n v="14580"/>
    <x v="0"/>
  </r>
  <r>
    <s v="ORD1020"/>
    <x v="534"/>
    <x v="0"/>
    <x v="1"/>
    <n v="16200"/>
    <x v="0"/>
    <x v="0"/>
    <s v="Active"/>
    <x v="1"/>
    <s v="Volta"/>
    <n v="0.1"/>
    <x v="2"/>
    <n v="14580"/>
    <x v="1"/>
  </r>
  <r>
    <s v="ORD1021"/>
    <x v="145"/>
    <x v="1"/>
    <x v="0"/>
    <n v="500"/>
    <x v="2"/>
    <x v="2"/>
    <s v="Active"/>
    <x v="1"/>
    <s v="Eastern"/>
    <n v="0"/>
    <x v="2"/>
    <n v="500"/>
    <x v="1"/>
  </r>
  <r>
    <s v="ORD1022"/>
    <x v="181"/>
    <x v="0"/>
    <x v="0"/>
    <n v="1500"/>
    <x v="3"/>
    <x v="2"/>
    <s v="Cancelled"/>
    <x v="0"/>
    <s v="Eastern"/>
    <n v="0"/>
    <x v="2"/>
    <n v="1500"/>
    <x v="0"/>
  </r>
  <r>
    <s v="ORD1023"/>
    <x v="425"/>
    <x v="1"/>
    <x v="1"/>
    <n v="5400"/>
    <x v="2"/>
    <x v="1"/>
    <s v="Cancelled"/>
    <x v="0"/>
    <s v="Western"/>
    <n v="0.1"/>
    <x v="1"/>
    <n v="4860"/>
    <x v="0"/>
  </r>
  <r>
    <s v="ORD1024"/>
    <x v="545"/>
    <x v="2"/>
    <x v="0"/>
    <n v="1000"/>
    <x v="2"/>
    <x v="1"/>
    <s v="Cancelled"/>
    <x v="0"/>
    <s v="Western"/>
    <n v="0"/>
    <x v="1"/>
    <n v="1000"/>
    <x v="0"/>
  </r>
  <r>
    <s v="ORD1025"/>
    <x v="261"/>
    <x v="0"/>
    <x v="1"/>
    <n v="16200"/>
    <x v="3"/>
    <x v="1"/>
    <s v="Cancelled"/>
    <x v="0"/>
    <s v="Oti"/>
    <n v="0.1"/>
    <x v="2"/>
    <n v="14580"/>
    <x v="0"/>
  </r>
  <r>
    <s v="ORD1026"/>
    <x v="285"/>
    <x v="1"/>
    <x v="1"/>
    <n v="5400"/>
    <x v="3"/>
    <x v="2"/>
    <s v="Cancelled"/>
    <x v="0"/>
    <s v="Ashanti"/>
    <n v="0.1"/>
    <x v="1"/>
    <n v="4860"/>
    <x v="0"/>
  </r>
  <r>
    <s v="ORD1027"/>
    <x v="449"/>
    <x v="1"/>
    <x v="0"/>
    <n v="500"/>
    <x v="3"/>
    <x v="1"/>
    <s v="Cancelled"/>
    <x v="0"/>
    <s v="Ashanti"/>
    <n v="0"/>
    <x v="1"/>
    <n v="500"/>
    <x v="0"/>
  </r>
  <r>
    <s v="ORD1028"/>
    <x v="546"/>
    <x v="0"/>
    <x v="1"/>
    <n v="16200"/>
    <x v="2"/>
    <x v="2"/>
    <s v="Cancelled"/>
    <x v="0"/>
    <s v="Bono"/>
    <n v="0.1"/>
    <x v="1"/>
    <n v="14580"/>
    <x v="0"/>
  </r>
  <r>
    <s v="ORD1029"/>
    <x v="70"/>
    <x v="0"/>
    <x v="1"/>
    <n v="16200"/>
    <x v="3"/>
    <x v="2"/>
    <s v="Active"/>
    <x v="1"/>
    <s v="Eastern"/>
    <n v="0.1"/>
    <x v="2"/>
    <n v="14580"/>
    <x v="1"/>
  </r>
  <r>
    <s v="ORD1030"/>
    <x v="370"/>
    <x v="0"/>
    <x v="0"/>
    <n v="1500"/>
    <x v="1"/>
    <x v="1"/>
    <s v="Cancelled"/>
    <x v="0"/>
    <s v="Ashanti"/>
    <n v="0"/>
    <x v="1"/>
    <n v="1500"/>
    <x v="0"/>
  </r>
  <r>
    <s v="ORD1031"/>
    <x v="361"/>
    <x v="1"/>
    <x v="0"/>
    <n v="500"/>
    <x v="2"/>
    <x v="2"/>
    <s v="Cancelled"/>
    <x v="0"/>
    <s v="Western"/>
    <n v="0"/>
    <x v="1"/>
    <n v="500"/>
    <x v="0"/>
  </r>
  <r>
    <s v="ORD1032"/>
    <x v="421"/>
    <x v="2"/>
    <x v="0"/>
    <n v="1000"/>
    <x v="3"/>
    <x v="2"/>
    <s v="Active"/>
    <x v="1"/>
    <s v="Eastern"/>
    <n v="0"/>
    <x v="2"/>
    <n v="1000"/>
    <x v="1"/>
  </r>
  <r>
    <s v="ORD1033"/>
    <x v="2"/>
    <x v="0"/>
    <x v="1"/>
    <n v="16200"/>
    <x v="0"/>
    <x v="0"/>
    <s v="Active"/>
    <x v="1"/>
    <s v="Savannah"/>
    <n v="0.1"/>
    <x v="3"/>
    <n v="14580"/>
    <x v="1"/>
  </r>
  <r>
    <s v="ORD1034"/>
    <x v="547"/>
    <x v="1"/>
    <x v="1"/>
    <n v="5400"/>
    <x v="0"/>
    <x v="0"/>
    <s v="Active"/>
    <x v="1"/>
    <s v="Ashanti"/>
    <n v="0.1"/>
    <x v="1"/>
    <n v="4860"/>
    <x v="1"/>
  </r>
  <r>
    <s v="ORD1035"/>
    <x v="256"/>
    <x v="1"/>
    <x v="1"/>
    <n v="5400"/>
    <x v="1"/>
    <x v="1"/>
    <s v="Active"/>
    <x v="1"/>
    <s v="Greater Accra"/>
    <n v="0.1"/>
    <x v="0"/>
    <n v="4860"/>
    <x v="1"/>
  </r>
  <r>
    <s v="ORD1036"/>
    <x v="548"/>
    <x v="0"/>
    <x v="1"/>
    <n v="16200"/>
    <x v="0"/>
    <x v="1"/>
    <s v="Active"/>
    <x v="1"/>
    <s v="Savannah"/>
    <n v="0.1"/>
    <x v="3"/>
    <n v="14580"/>
    <x v="1"/>
  </r>
  <r>
    <s v="ORD1037"/>
    <x v="398"/>
    <x v="2"/>
    <x v="1"/>
    <n v="10800"/>
    <x v="3"/>
    <x v="2"/>
    <s v="Cancelled"/>
    <x v="0"/>
    <s v="Ashanti"/>
    <n v="0.1"/>
    <x v="1"/>
    <n v="9720"/>
    <x v="0"/>
  </r>
  <r>
    <s v="ORD1038"/>
    <x v="549"/>
    <x v="2"/>
    <x v="1"/>
    <n v="10800"/>
    <x v="0"/>
    <x v="0"/>
    <s v="Active"/>
    <x v="1"/>
    <s v="Upper East"/>
    <n v="0.1"/>
    <x v="3"/>
    <n v="9720"/>
    <x v="1"/>
  </r>
  <r>
    <s v="ORD1039"/>
    <x v="481"/>
    <x v="1"/>
    <x v="1"/>
    <n v="5400"/>
    <x v="1"/>
    <x v="0"/>
    <s v="Cancelled"/>
    <x v="0"/>
    <s v="Western"/>
    <n v="0.1"/>
    <x v="1"/>
    <n v="4860"/>
    <x v="0"/>
  </r>
  <r>
    <s v="ORD1040"/>
    <x v="172"/>
    <x v="2"/>
    <x v="0"/>
    <n v="1000"/>
    <x v="2"/>
    <x v="0"/>
    <s v="Active"/>
    <x v="1"/>
    <s v="Western North"/>
    <n v="0"/>
    <x v="1"/>
    <n v="1000"/>
    <x v="1"/>
  </r>
  <r>
    <s v="ORD1041"/>
    <x v="527"/>
    <x v="1"/>
    <x v="0"/>
    <n v="500"/>
    <x v="0"/>
    <x v="0"/>
    <s v="Active"/>
    <x v="1"/>
    <s v="Upper East"/>
    <n v="0"/>
    <x v="3"/>
    <n v="500"/>
    <x v="1"/>
  </r>
  <r>
    <s v="ORD1042"/>
    <x v="492"/>
    <x v="0"/>
    <x v="1"/>
    <n v="16200"/>
    <x v="0"/>
    <x v="1"/>
    <s v="Active"/>
    <x v="1"/>
    <s v="Greater Accra"/>
    <n v="0.1"/>
    <x v="0"/>
    <n v="14580"/>
    <x v="1"/>
  </r>
  <r>
    <s v="ORD1043"/>
    <x v="41"/>
    <x v="0"/>
    <x v="1"/>
    <n v="16200"/>
    <x v="3"/>
    <x v="0"/>
    <s v="Active"/>
    <x v="1"/>
    <s v="Western"/>
    <n v="0.1"/>
    <x v="1"/>
    <n v="14580"/>
    <x v="1"/>
  </r>
  <r>
    <s v="ORD1044"/>
    <x v="550"/>
    <x v="2"/>
    <x v="1"/>
    <n v="10800"/>
    <x v="3"/>
    <x v="0"/>
    <s v="Active"/>
    <x v="1"/>
    <s v="Oti"/>
    <n v="0.1"/>
    <x v="2"/>
    <n v="9720"/>
    <x v="1"/>
  </r>
  <r>
    <s v="ORD1045"/>
    <x v="551"/>
    <x v="2"/>
    <x v="1"/>
    <n v="10800"/>
    <x v="1"/>
    <x v="1"/>
    <s v="Active"/>
    <x v="1"/>
    <s v="Central"/>
    <n v="0.1"/>
    <x v="0"/>
    <n v="9720"/>
    <x v="1"/>
  </r>
  <r>
    <s v="ORD1046"/>
    <x v="517"/>
    <x v="2"/>
    <x v="0"/>
    <n v="1000"/>
    <x v="3"/>
    <x v="0"/>
    <s v="Cancelled"/>
    <x v="0"/>
    <s v="Greater Accra"/>
    <n v="0"/>
    <x v="0"/>
    <n v="1000"/>
    <x v="0"/>
  </r>
  <r>
    <s v="ORD1047"/>
    <x v="324"/>
    <x v="0"/>
    <x v="0"/>
    <n v="1500"/>
    <x v="3"/>
    <x v="2"/>
    <s v="Active"/>
    <x v="1"/>
    <s v="Ahafo"/>
    <n v="0"/>
    <x v="1"/>
    <n v="1500"/>
    <x v="1"/>
  </r>
  <r>
    <s v="ORD1048"/>
    <x v="552"/>
    <x v="2"/>
    <x v="0"/>
    <n v="1000"/>
    <x v="2"/>
    <x v="1"/>
    <s v="Active"/>
    <x v="1"/>
    <s v="Eastern"/>
    <n v="0"/>
    <x v="2"/>
    <n v="1000"/>
    <x v="1"/>
  </r>
  <r>
    <s v="ORD1049"/>
    <x v="553"/>
    <x v="2"/>
    <x v="1"/>
    <n v="10800"/>
    <x v="1"/>
    <x v="0"/>
    <s v="Cancelled"/>
    <x v="0"/>
    <s v="Western"/>
    <n v="0.1"/>
    <x v="1"/>
    <n v="9720"/>
    <x v="0"/>
  </r>
  <r>
    <s v="ORD1050"/>
    <x v="171"/>
    <x v="0"/>
    <x v="1"/>
    <n v="16200"/>
    <x v="2"/>
    <x v="1"/>
    <s v="Active"/>
    <x v="1"/>
    <s v="Western"/>
    <n v="0.1"/>
    <x v="1"/>
    <n v="14580"/>
    <x v="1"/>
  </r>
  <r>
    <s v="ORD1051"/>
    <x v="230"/>
    <x v="1"/>
    <x v="1"/>
    <n v="5400"/>
    <x v="0"/>
    <x v="1"/>
    <s v="Active"/>
    <x v="1"/>
    <s v="Savannah"/>
    <n v="0.1"/>
    <x v="3"/>
    <n v="4860"/>
    <x v="1"/>
  </r>
  <r>
    <s v="ORD1052"/>
    <x v="44"/>
    <x v="1"/>
    <x v="0"/>
    <n v="500"/>
    <x v="1"/>
    <x v="1"/>
    <s v="Active"/>
    <x v="1"/>
    <s v="Ashanti"/>
    <n v="0"/>
    <x v="1"/>
    <n v="500"/>
    <x v="1"/>
  </r>
  <r>
    <s v="ORD1053"/>
    <x v="83"/>
    <x v="1"/>
    <x v="1"/>
    <n v="5400"/>
    <x v="2"/>
    <x v="2"/>
    <s v="Active"/>
    <x v="1"/>
    <s v="Western"/>
    <n v="0.1"/>
    <x v="1"/>
    <n v="4860"/>
    <x v="1"/>
  </r>
  <r>
    <s v="ORD1054"/>
    <x v="330"/>
    <x v="1"/>
    <x v="1"/>
    <n v="5400"/>
    <x v="0"/>
    <x v="1"/>
    <s v="Active"/>
    <x v="1"/>
    <s v="Upper East"/>
    <n v="0.1"/>
    <x v="3"/>
    <n v="4860"/>
    <x v="1"/>
  </r>
  <r>
    <s v="ORD1055"/>
    <x v="554"/>
    <x v="1"/>
    <x v="0"/>
    <n v="500"/>
    <x v="3"/>
    <x v="0"/>
    <s v="Cancelled"/>
    <x v="0"/>
    <s v="Western"/>
    <n v="0"/>
    <x v="1"/>
    <n v="500"/>
    <x v="0"/>
  </r>
  <r>
    <s v="ORD1056"/>
    <x v="177"/>
    <x v="1"/>
    <x v="0"/>
    <n v="500"/>
    <x v="1"/>
    <x v="2"/>
    <s v="Cancelled"/>
    <x v="0"/>
    <s v="Greater Accra"/>
    <n v="0"/>
    <x v="0"/>
    <n v="500"/>
    <x v="0"/>
  </r>
  <r>
    <s v="ORD1057"/>
    <x v="407"/>
    <x v="2"/>
    <x v="1"/>
    <n v="10800"/>
    <x v="0"/>
    <x v="2"/>
    <s v="Active"/>
    <x v="1"/>
    <s v="Volta"/>
    <n v="0.1"/>
    <x v="2"/>
    <n v="9720"/>
    <x v="1"/>
  </r>
  <r>
    <s v="ORD1058"/>
    <x v="338"/>
    <x v="1"/>
    <x v="1"/>
    <n v="5400"/>
    <x v="1"/>
    <x v="2"/>
    <s v="Cancelled"/>
    <x v="0"/>
    <s v="Central"/>
    <n v="0.1"/>
    <x v="0"/>
    <n v="4860"/>
    <x v="0"/>
  </r>
  <r>
    <s v="ORD1059"/>
    <x v="523"/>
    <x v="1"/>
    <x v="0"/>
    <n v="500"/>
    <x v="0"/>
    <x v="2"/>
    <s v="Active"/>
    <x v="1"/>
    <s v="Upper East"/>
    <n v="0"/>
    <x v="3"/>
    <n v="500"/>
    <x v="1"/>
  </r>
  <r>
    <s v="ORD1060"/>
    <x v="76"/>
    <x v="1"/>
    <x v="1"/>
    <n v="5400"/>
    <x v="2"/>
    <x v="2"/>
    <s v="Active"/>
    <x v="1"/>
    <s v="Eastern"/>
    <n v="0.1"/>
    <x v="2"/>
    <n v="4860"/>
    <x v="1"/>
  </r>
  <r>
    <s v="ORD1061"/>
    <x v="67"/>
    <x v="2"/>
    <x v="1"/>
    <n v="10800"/>
    <x v="2"/>
    <x v="1"/>
    <s v="Active"/>
    <x v="1"/>
    <s v="Eastern"/>
    <n v="0.1"/>
    <x v="2"/>
    <n v="9720"/>
    <x v="1"/>
  </r>
  <r>
    <s v="ORD1062"/>
    <x v="425"/>
    <x v="1"/>
    <x v="1"/>
    <n v="5400"/>
    <x v="1"/>
    <x v="0"/>
    <s v="Active"/>
    <x v="1"/>
    <s v="Greater Accra"/>
    <n v="0.1"/>
    <x v="0"/>
    <n v="4860"/>
    <x v="1"/>
  </r>
  <r>
    <s v="ORD1063"/>
    <x v="555"/>
    <x v="0"/>
    <x v="1"/>
    <n v="16200"/>
    <x v="3"/>
    <x v="2"/>
    <s v="Cancelled"/>
    <x v="0"/>
    <s v="Oti"/>
    <n v="0.1"/>
    <x v="2"/>
    <n v="14580"/>
    <x v="0"/>
  </r>
  <r>
    <s v="ORD1064"/>
    <x v="447"/>
    <x v="2"/>
    <x v="0"/>
    <n v="1000"/>
    <x v="0"/>
    <x v="2"/>
    <s v="Active"/>
    <x v="1"/>
    <s v="Greater Accra"/>
    <n v="0"/>
    <x v="0"/>
    <n v="1000"/>
    <x v="1"/>
  </r>
  <r>
    <s v="ORD1065"/>
    <x v="359"/>
    <x v="2"/>
    <x v="1"/>
    <n v="10800"/>
    <x v="0"/>
    <x v="1"/>
    <s v="Cancelled"/>
    <x v="0"/>
    <s v="Savannah"/>
    <n v="0.1"/>
    <x v="3"/>
    <n v="9720"/>
    <x v="0"/>
  </r>
  <r>
    <s v="ORD1066"/>
    <x v="226"/>
    <x v="0"/>
    <x v="1"/>
    <n v="16200"/>
    <x v="1"/>
    <x v="1"/>
    <s v="Cancelled"/>
    <x v="0"/>
    <s v="Western"/>
    <n v="0.1"/>
    <x v="1"/>
    <n v="14580"/>
    <x v="0"/>
  </r>
  <r>
    <s v="ORD1067"/>
    <x v="556"/>
    <x v="2"/>
    <x v="0"/>
    <n v="1000"/>
    <x v="3"/>
    <x v="2"/>
    <s v="Active"/>
    <x v="1"/>
    <s v="Oti"/>
    <n v="0"/>
    <x v="2"/>
    <n v="1000"/>
    <x v="1"/>
  </r>
  <r>
    <s v="ORD1068"/>
    <x v="262"/>
    <x v="1"/>
    <x v="1"/>
    <n v="5400"/>
    <x v="1"/>
    <x v="1"/>
    <s v="Active"/>
    <x v="1"/>
    <s v="Central"/>
    <n v="0.1"/>
    <x v="0"/>
    <n v="4860"/>
    <x v="1"/>
  </r>
  <r>
    <s v="ORD1069"/>
    <x v="337"/>
    <x v="0"/>
    <x v="0"/>
    <n v="1500"/>
    <x v="3"/>
    <x v="0"/>
    <s v="Active"/>
    <x v="1"/>
    <s v="Oti"/>
    <n v="0"/>
    <x v="2"/>
    <n v="1500"/>
    <x v="1"/>
  </r>
  <r>
    <s v="ORD1070"/>
    <x v="528"/>
    <x v="2"/>
    <x v="0"/>
    <n v="1000"/>
    <x v="2"/>
    <x v="2"/>
    <s v="Cancelled"/>
    <x v="0"/>
    <s v="Western"/>
    <n v="0"/>
    <x v="1"/>
    <n v="1000"/>
    <x v="0"/>
  </r>
  <r>
    <s v="ORD1071"/>
    <x v="557"/>
    <x v="1"/>
    <x v="1"/>
    <n v="5400"/>
    <x v="0"/>
    <x v="2"/>
    <s v="Active"/>
    <x v="1"/>
    <s v="Greater Accra"/>
    <n v="0.1"/>
    <x v="0"/>
    <n v="4860"/>
    <x v="1"/>
  </r>
  <r>
    <s v="ORD1072"/>
    <x v="558"/>
    <x v="0"/>
    <x v="1"/>
    <n v="16200"/>
    <x v="3"/>
    <x v="1"/>
    <s v="Active"/>
    <x v="1"/>
    <s v="Greater Accra"/>
    <n v="0.1"/>
    <x v="0"/>
    <n v="14580"/>
    <x v="1"/>
  </r>
  <r>
    <s v="ORD1073"/>
    <x v="555"/>
    <x v="1"/>
    <x v="1"/>
    <n v="5400"/>
    <x v="3"/>
    <x v="0"/>
    <s v="Active"/>
    <x v="1"/>
    <s v="Oti"/>
    <n v="0.1"/>
    <x v="2"/>
    <n v="4860"/>
    <x v="1"/>
  </r>
  <r>
    <s v="ORD1074"/>
    <x v="176"/>
    <x v="2"/>
    <x v="0"/>
    <n v="1000"/>
    <x v="3"/>
    <x v="2"/>
    <s v="Active"/>
    <x v="1"/>
    <s v="Ashanti"/>
    <n v="0"/>
    <x v="1"/>
    <n v="1000"/>
    <x v="1"/>
  </r>
  <r>
    <s v="ORD1075"/>
    <x v="104"/>
    <x v="2"/>
    <x v="0"/>
    <n v="1000"/>
    <x v="1"/>
    <x v="1"/>
    <s v="Cancelled"/>
    <x v="0"/>
    <s v="Greater Accra"/>
    <n v="0"/>
    <x v="0"/>
    <n v="1000"/>
    <x v="0"/>
  </r>
  <r>
    <s v="ORD1076"/>
    <x v="559"/>
    <x v="2"/>
    <x v="0"/>
    <n v="1000"/>
    <x v="2"/>
    <x v="2"/>
    <s v="Cancelled"/>
    <x v="0"/>
    <s v="Northern"/>
    <n v="0"/>
    <x v="3"/>
    <n v="1000"/>
    <x v="0"/>
  </r>
  <r>
    <s v="ORD1077"/>
    <x v="500"/>
    <x v="2"/>
    <x v="0"/>
    <n v="1000"/>
    <x v="0"/>
    <x v="0"/>
    <s v="Cancelled"/>
    <x v="0"/>
    <s v="Ashanti"/>
    <n v="0"/>
    <x v="1"/>
    <n v="1000"/>
    <x v="0"/>
  </r>
  <r>
    <s v="ORD1078"/>
    <x v="386"/>
    <x v="2"/>
    <x v="0"/>
    <n v="1000"/>
    <x v="0"/>
    <x v="1"/>
    <s v="Active"/>
    <x v="1"/>
    <s v="Greater Accra"/>
    <n v="0"/>
    <x v="0"/>
    <n v="1000"/>
    <x v="1"/>
  </r>
  <r>
    <s v="ORD1079"/>
    <x v="425"/>
    <x v="0"/>
    <x v="0"/>
    <n v="1500"/>
    <x v="0"/>
    <x v="2"/>
    <s v="Active"/>
    <x v="1"/>
    <s v="Volta"/>
    <n v="0"/>
    <x v="2"/>
    <n v="1500"/>
    <x v="1"/>
  </r>
  <r>
    <s v="ORD1080"/>
    <x v="26"/>
    <x v="1"/>
    <x v="1"/>
    <n v="5400"/>
    <x v="2"/>
    <x v="0"/>
    <s v="Active"/>
    <x v="1"/>
    <s v="Western"/>
    <n v="0.1"/>
    <x v="1"/>
    <n v="4860"/>
    <x v="1"/>
  </r>
  <r>
    <s v="ORD1081"/>
    <x v="560"/>
    <x v="2"/>
    <x v="1"/>
    <n v="10800"/>
    <x v="2"/>
    <x v="0"/>
    <s v="Active"/>
    <x v="1"/>
    <s v="Western"/>
    <n v="0.1"/>
    <x v="1"/>
    <n v="9720"/>
    <x v="1"/>
  </r>
  <r>
    <s v="ORD1082"/>
    <x v="559"/>
    <x v="0"/>
    <x v="0"/>
    <n v="1500"/>
    <x v="0"/>
    <x v="1"/>
    <s v="Active"/>
    <x v="1"/>
    <s v="Volta"/>
    <n v="0"/>
    <x v="2"/>
    <n v="1500"/>
    <x v="1"/>
  </r>
  <r>
    <s v="ORD1083"/>
    <x v="438"/>
    <x v="0"/>
    <x v="0"/>
    <n v="1500"/>
    <x v="0"/>
    <x v="2"/>
    <s v="Cancelled"/>
    <x v="0"/>
    <s v="Volta"/>
    <n v="0"/>
    <x v="2"/>
    <n v="1500"/>
    <x v="0"/>
  </r>
  <r>
    <s v="ORD1084"/>
    <x v="448"/>
    <x v="1"/>
    <x v="1"/>
    <n v="5400"/>
    <x v="3"/>
    <x v="2"/>
    <s v="Active"/>
    <x v="1"/>
    <s v="Greater Accra"/>
    <n v="0.1"/>
    <x v="0"/>
    <n v="4860"/>
    <x v="1"/>
  </r>
  <r>
    <s v="ORD1085"/>
    <x v="422"/>
    <x v="0"/>
    <x v="1"/>
    <n v="16200"/>
    <x v="3"/>
    <x v="1"/>
    <s v="Active"/>
    <x v="1"/>
    <s v="Oti"/>
    <n v="0.1"/>
    <x v="2"/>
    <n v="14580"/>
    <x v="1"/>
  </r>
  <r>
    <s v="ORD1086"/>
    <x v="561"/>
    <x v="1"/>
    <x v="1"/>
    <n v="5400"/>
    <x v="1"/>
    <x v="2"/>
    <s v="Cancelled"/>
    <x v="0"/>
    <s v="Central"/>
    <n v="0.1"/>
    <x v="0"/>
    <n v="4860"/>
    <x v="0"/>
  </r>
  <r>
    <s v="ORD1087"/>
    <x v="363"/>
    <x v="0"/>
    <x v="0"/>
    <n v="1500"/>
    <x v="2"/>
    <x v="0"/>
    <s v="Cancelled"/>
    <x v="0"/>
    <s v="Western"/>
    <n v="0"/>
    <x v="1"/>
    <n v="1500"/>
    <x v="0"/>
  </r>
  <r>
    <s v="ORD1088"/>
    <x v="28"/>
    <x v="1"/>
    <x v="0"/>
    <n v="500"/>
    <x v="2"/>
    <x v="0"/>
    <s v="Cancelled"/>
    <x v="0"/>
    <s v="Northern"/>
    <n v="0"/>
    <x v="3"/>
    <n v="500"/>
    <x v="0"/>
  </r>
  <r>
    <s v="ORD1089"/>
    <x v="283"/>
    <x v="1"/>
    <x v="0"/>
    <n v="500"/>
    <x v="0"/>
    <x v="1"/>
    <s v="Active"/>
    <x v="1"/>
    <s v="Savannah"/>
    <n v="0"/>
    <x v="3"/>
    <n v="500"/>
    <x v="1"/>
  </r>
  <r>
    <s v="ORD1090"/>
    <x v="562"/>
    <x v="2"/>
    <x v="1"/>
    <n v="10800"/>
    <x v="2"/>
    <x v="2"/>
    <s v="Active"/>
    <x v="1"/>
    <s v="Western"/>
    <n v="0.1"/>
    <x v="1"/>
    <n v="9720"/>
    <x v="1"/>
  </r>
  <r>
    <s v="ORD1091"/>
    <x v="133"/>
    <x v="2"/>
    <x v="0"/>
    <n v="1000"/>
    <x v="2"/>
    <x v="0"/>
    <s v="Active"/>
    <x v="1"/>
    <s v="Western North"/>
    <n v="0"/>
    <x v="1"/>
    <n v="1000"/>
    <x v="1"/>
  </r>
  <r>
    <s v="ORD1092"/>
    <x v="98"/>
    <x v="1"/>
    <x v="1"/>
    <n v="5400"/>
    <x v="1"/>
    <x v="0"/>
    <s v="Active"/>
    <x v="1"/>
    <s v="Central"/>
    <n v="0.1"/>
    <x v="0"/>
    <n v="4860"/>
    <x v="1"/>
  </r>
  <r>
    <s v="ORD1093"/>
    <x v="563"/>
    <x v="2"/>
    <x v="0"/>
    <n v="1000"/>
    <x v="2"/>
    <x v="2"/>
    <s v="Active"/>
    <x v="1"/>
    <s v="Eastern"/>
    <n v="0"/>
    <x v="2"/>
    <n v="1000"/>
    <x v="1"/>
  </r>
  <r>
    <s v="ORD1094"/>
    <x v="529"/>
    <x v="1"/>
    <x v="0"/>
    <n v="500"/>
    <x v="1"/>
    <x v="1"/>
    <s v="Active"/>
    <x v="1"/>
    <s v="Western"/>
    <n v="0"/>
    <x v="1"/>
    <n v="500"/>
    <x v="1"/>
  </r>
  <r>
    <s v="ORD1095"/>
    <x v="459"/>
    <x v="2"/>
    <x v="1"/>
    <n v="10800"/>
    <x v="3"/>
    <x v="2"/>
    <s v="Cancelled"/>
    <x v="0"/>
    <s v="Ashanti"/>
    <n v="0.1"/>
    <x v="1"/>
    <n v="9720"/>
    <x v="0"/>
  </r>
  <r>
    <s v="ORD1096"/>
    <x v="263"/>
    <x v="1"/>
    <x v="1"/>
    <n v="5400"/>
    <x v="0"/>
    <x v="0"/>
    <s v="Cancelled"/>
    <x v="0"/>
    <s v="Upper East"/>
    <n v="0.1"/>
    <x v="3"/>
    <n v="4860"/>
    <x v="0"/>
  </r>
  <r>
    <s v="ORD1097"/>
    <x v="103"/>
    <x v="2"/>
    <x v="0"/>
    <n v="1000"/>
    <x v="2"/>
    <x v="1"/>
    <s v="Active"/>
    <x v="1"/>
    <s v="Eastern"/>
    <n v="0"/>
    <x v="2"/>
    <n v="1000"/>
    <x v="1"/>
  </r>
  <r>
    <s v="ORD1098"/>
    <x v="293"/>
    <x v="0"/>
    <x v="0"/>
    <n v="1500"/>
    <x v="0"/>
    <x v="1"/>
    <s v="Active"/>
    <x v="1"/>
    <s v="Volta"/>
    <n v="0"/>
    <x v="2"/>
    <n v="1500"/>
    <x v="1"/>
  </r>
  <r>
    <s v="ORD1099"/>
    <x v="8"/>
    <x v="0"/>
    <x v="0"/>
    <n v="1500"/>
    <x v="0"/>
    <x v="0"/>
    <s v="Active"/>
    <x v="1"/>
    <s v="Greater Accra"/>
    <n v="0"/>
    <x v="0"/>
    <n v="1500"/>
    <x v="1"/>
  </r>
  <r>
    <s v="ORD1100"/>
    <x v="313"/>
    <x v="2"/>
    <x v="0"/>
    <n v="1000"/>
    <x v="3"/>
    <x v="2"/>
    <s v="Active"/>
    <x v="1"/>
    <s v="Eastern"/>
    <n v="0"/>
    <x v="2"/>
    <n v="1000"/>
    <x v="1"/>
  </r>
  <r>
    <s v="ORD1101"/>
    <x v="416"/>
    <x v="0"/>
    <x v="1"/>
    <n v="16200"/>
    <x v="3"/>
    <x v="2"/>
    <s v="Cancelled"/>
    <x v="0"/>
    <s v="Ahafo"/>
    <n v="0.1"/>
    <x v="1"/>
    <n v="14580"/>
    <x v="0"/>
  </r>
  <r>
    <s v="ORD1102"/>
    <x v="334"/>
    <x v="1"/>
    <x v="1"/>
    <n v="5400"/>
    <x v="0"/>
    <x v="2"/>
    <s v="Active"/>
    <x v="1"/>
    <s v="Savannah"/>
    <n v="0.1"/>
    <x v="3"/>
    <n v="4860"/>
    <x v="1"/>
  </r>
  <r>
    <s v="ORD1103"/>
    <x v="564"/>
    <x v="0"/>
    <x v="1"/>
    <n v="16200"/>
    <x v="3"/>
    <x v="2"/>
    <s v="Active"/>
    <x v="1"/>
    <s v="Ashanti"/>
    <n v="0.1"/>
    <x v="1"/>
    <n v="14580"/>
    <x v="1"/>
  </r>
  <r>
    <s v="ORD1104"/>
    <x v="85"/>
    <x v="0"/>
    <x v="1"/>
    <n v="16200"/>
    <x v="3"/>
    <x v="1"/>
    <s v="Cancelled"/>
    <x v="0"/>
    <s v="Greater Accra"/>
    <n v="0.1"/>
    <x v="0"/>
    <n v="14580"/>
    <x v="0"/>
  </r>
  <r>
    <s v="ORD1105"/>
    <x v="565"/>
    <x v="2"/>
    <x v="1"/>
    <n v="10800"/>
    <x v="2"/>
    <x v="2"/>
    <s v="Active"/>
    <x v="1"/>
    <s v="Eastern"/>
    <n v="0.1"/>
    <x v="2"/>
    <n v="9720"/>
    <x v="1"/>
  </r>
  <r>
    <s v="ORD1106"/>
    <x v="74"/>
    <x v="2"/>
    <x v="1"/>
    <n v="10800"/>
    <x v="3"/>
    <x v="1"/>
    <s v="Cancelled"/>
    <x v="0"/>
    <s v="Greater Accra"/>
    <n v="0.1"/>
    <x v="0"/>
    <n v="9720"/>
    <x v="0"/>
  </r>
  <r>
    <s v="ORD1107"/>
    <x v="212"/>
    <x v="1"/>
    <x v="0"/>
    <n v="500"/>
    <x v="0"/>
    <x v="1"/>
    <s v="Cancelled"/>
    <x v="0"/>
    <s v="Volta"/>
    <n v="0"/>
    <x v="2"/>
    <n v="500"/>
    <x v="0"/>
  </r>
  <r>
    <s v="ORD1108"/>
    <x v="127"/>
    <x v="2"/>
    <x v="0"/>
    <n v="1000"/>
    <x v="1"/>
    <x v="1"/>
    <s v="Cancelled"/>
    <x v="0"/>
    <s v="Central"/>
    <n v="0"/>
    <x v="0"/>
    <n v="1000"/>
    <x v="0"/>
  </r>
  <r>
    <s v="ORD1109"/>
    <x v="408"/>
    <x v="0"/>
    <x v="1"/>
    <n v="16200"/>
    <x v="0"/>
    <x v="2"/>
    <s v="Active"/>
    <x v="1"/>
    <s v="Ashanti"/>
    <n v="0.1"/>
    <x v="1"/>
    <n v="14580"/>
    <x v="1"/>
  </r>
  <r>
    <s v="ORD1110"/>
    <x v="226"/>
    <x v="2"/>
    <x v="0"/>
    <n v="1000"/>
    <x v="1"/>
    <x v="0"/>
    <s v="Active"/>
    <x v="1"/>
    <s v="Greater Accra"/>
    <n v="0"/>
    <x v="0"/>
    <n v="1000"/>
    <x v="1"/>
  </r>
  <r>
    <s v="ORD1111"/>
    <x v="193"/>
    <x v="0"/>
    <x v="0"/>
    <n v="1500"/>
    <x v="1"/>
    <x v="0"/>
    <s v="Active"/>
    <x v="1"/>
    <s v="Central"/>
    <n v="0"/>
    <x v="0"/>
    <n v="1500"/>
    <x v="1"/>
  </r>
  <r>
    <s v="ORD1112"/>
    <x v="160"/>
    <x v="0"/>
    <x v="0"/>
    <n v="1500"/>
    <x v="2"/>
    <x v="2"/>
    <s v="Cancelled"/>
    <x v="0"/>
    <s v="Northern"/>
    <n v="0"/>
    <x v="3"/>
    <n v="1500"/>
    <x v="0"/>
  </r>
  <r>
    <s v="ORD1113"/>
    <x v="121"/>
    <x v="1"/>
    <x v="0"/>
    <n v="500"/>
    <x v="0"/>
    <x v="1"/>
    <s v="Active"/>
    <x v="1"/>
    <s v="Volta"/>
    <n v="0"/>
    <x v="2"/>
    <n v="500"/>
    <x v="1"/>
  </r>
  <r>
    <s v="ORD1114"/>
    <x v="342"/>
    <x v="0"/>
    <x v="0"/>
    <n v="1500"/>
    <x v="0"/>
    <x v="0"/>
    <s v="Active"/>
    <x v="1"/>
    <s v="Savannah"/>
    <n v="0"/>
    <x v="3"/>
    <n v="1500"/>
    <x v="1"/>
  </r>
  <r>
    <s v="ORD1115"/>
    <x v="294"/>
    <x v="0"/>
    <x v="0"/>
    <n v="1500"/>
    <x v="3"/>
    <x v="2"/>
    <s v="Cancelled"/>
    <x v="0"/>
    <s v="Oti"/>
    <n v="0"/>
    <x v="2"/>
    <n v="1500"/>
    <x v="0"/>
  </r>
  <r>
    <s v="ORD1116"/>
    <x v="566"/>
    <x v="0"/>
    <x v="1"/>
    <n v="16200"/>
    <x v="0"/>
    <x v="2"/>
    <s v="Active"/>
    <x v="1"/>
    <s v="Upper East"/>
    <n v="0.1"/>
    <x v="3"/>
    <n v="14580"/>
    <x v="1"/>
  </r>
  <r>
    <s v="ORD1117"/>
    <x v="567"/>
    <x v="1"/>
    <x v="0"/>
    <n v="500"/>
    <x v="2"/>
    <x v="0"/>
    <s v="Active"/>
    <x v="1"/>
    <s v="Northern"/>
    <n v="0"/>
    <x v="3"/>
    <n v="500"/>
    <x v="1"/>
  </r>
  <r>
    <s v="ORD1118"/>
    <x v="80"/>
    <x v="2"/>
    <x v="0"/>
    <n v="1000"/>
    <x v="1"/>
    <x v="0"/>
    <s v="Cancelled"/>
    <x v="0"/>
    <s v="Central"/>
    <n v="0"/>
    <x v="0"/>
    <n v="1000"/>
    <x v="0"/>
  </r>
  <r>
    <s v="ORD1119"/>
    <x v="568"/>
    <x v="2"/>
    <x v="0"/>
    <n v="1000"/>
    <x v="0"/>
    <x v="0"/>
    <s v="Cancelled"/>
    <x v="0"/>
    <s v="Savannah"/>
    <n v="0"/>
    <x v="3"/>
    <n v="1000"/>
    <x v="0"/>
  </r>
  <r>
    <s v="ORD1120"/>
    <x v="302"/>
    <x v="1"/>
    <x v="1"/>
    <n v="5400"/>
    <x v="1"/>
    <x v="2"/>
    <s v="Cancelled"/>
    <x v="0"/>
    <s v="Greater Accra"/>
    <n v="0.1"/>
    <x v="0"/>
    <n v="4860"/>
    <x v="0"/>
  </r>
  <r>
    <s v="ORD1121"/>
    <x v="444"/>
    <x v="1"/>
    <x v="1"/>
    <n v="5400"/>
    <x v="2"/>
    <x v="1"/>
    <s v="Cancelled"/>
    <x v="0"/>
    <s v="Western"/>
    <n v="0.1"/>
    <x v="1"/>
    <n v="4860"/>
    <x v="0"/>
  </r>
  <r>
    <s v="ORD1122"/>
    <x v="358"/>
    <x v="2"/>
    <x v="1"/>
    <n v="10800"/>
    <x v="1"/>
    <x v="2"/>
    <s v="Cancelled"/>
    <x v="0"/>
    <s v="Western"/>
    <n v="0.1"/>
    <x v="1"/>
    <n v="9720"/>
    <x v="0"/>
  </r>
  <r>
    <s v="ORD1123"/>
    <x v="151"/>
    <x v="1"/>
    <x v="1"/>
    <n v="5400"/>
    <x v="1"/>
    <x v="1"/>
    <s v="Cancelled"/>
    <x v="0"/>
    <s v="Ashanti"/>
    <n v="0.1"/>
    <x v="1"/>
    <n v="4860"/>
    <x v="0"/>
  </r>
  <r>
    <s v="ORD1124"/>
    <x v="508"/>
    <x v="0"/>
    <x v="0"/>
    <n v="1500"/>
    <x v="1"/>
    <x v="1"/>
    <s v="Active"/>
    <x v="1"/>
    <s v="Central"/>
    <n v="0"/>
    <x v="0"/>
    <n v="1500"/>
    <x v="1"/>
  </r>
  <r>
    <s v="ORD1125"/>
    <x v="82"/>
    <x v="2"/>
    <x v="0"/>
    <n v="1000"/>
    <x v="0"/>
    <x v="2"/>
    <s v="Cancelled"/>
    <x v="0"/>
    <s v="Volta"/>
    <n v="0"/>
    <x v="2"/>
    <n v="1000"/>
    <x v="0"/>
  </r>
  <r>
    <s v="ORD1126"/>
    <x v="255"/>
    <x v="0"/>
    <x v="0"/>
    <n v="1500"/>
    <x v="0"/>
    <x v="0"/>
    <s v="Active"/>
    <x v="1"/>
    <s v="Volta"/>
    <n v="0"/>
    <x v="2"/>
    <n v="1500"/>
    <x v="1"/>
  </r>
  <r>
    <s v="ORD1127"/>
    <x v="230"/>
    <x v="2"/>
    <x v="1"/>
    <n v="10800"/>
    <x v="0"/>
    <x v="0"/>
    <s v="Cancelled"/>
    <x v="0"/>
    <s v="Upper East"/>
    <n v="0.1"/>
    <x v="3"/>
    <n v="9720"/>
    <x v="0"/>
  </r>
  <r>
    <s v="ORD1128"/>
    <x v="252"/>
    <x v="2"/>
    <x v="0"/>
    <n v="1000"/>
    <x v="2"/>
    <x v="1"/>
    <s v="Active"/>
    <x v="1"/>
    <s v="Western"/>
    <n v="0"/>
    <x v="1"/>
    <n v="1000"/>
    <x v="1"/>
  </r>
  <r>
    <s v="ORD1129"/>
    <x v="249"/>
    <x v="1"/>
    <x v="0"/>
    <n v="500"/>
    <x v="2"/>
    <x v="1"/>
    <s v="Active"/>
    <x v="1"/>
    <s v="Northern"/>
    <n v="0"/>
    <x v="3"/>
    <n v="500"/>
    <x v="1"/>
  </r>
  <r>
    <s v="ORD1130"/>
    <x v="482"/>
    <x v="2"/>
    <x v="0"/>
    <n v="1000"/>
    <x v="1"/>
    <x v="0"/>
    <s v="Active"/>
    <x v="1"/>
    <s v="Greater Accra"/>
    <n v="0"/>
    <x v="0"/>
    <n v="1000"/>
    <x v="1"/>
  </r>
  <r>
    <s v="ORD1131"/>
    <x v="569"/>
    <x v="1"/>
    <x v="0"/>
    <n v="500"/>
    <x v="1"/>
    <x v="1"/>
    <s v="Active"/>
    <x v="1"/>
    <s v="Western"/>
    <n v="0"/>
    <x v="1"/>
    <n v="500"/>
    <x v="1"/>
  </r>
  <r>
    <s v="ORD1132"/>
    <x v="570"/>
    <x v="0"/>
    <x v="1"/>
    <n v="16200"/>
    <x v="0"/>
    <x v="2"/>
    <s v="Active"/>
    <x v="1"/>
    <s v="Greater Accra"/>
    <n v="0.1"/>
    <x v="0"/>
    <n v="14580"/>
    <x v="1"/>
  </r>
  <r>
    <s v="ORD1133"/>
    <x v="90"/>
    <x v="1"/>
    <x v="0"/>
    <n v="500"/>
    <x v="3"/>
    <x v="1"/>
    <s v="Cancelled"/>
    <x v="0"/>
    <s v="Western"/>
    <n v="0"/>
    <x v="1"/>
    <n v="500"/>
    <x v="0"/>
  </r>
  <r>
    <s v="ORD1134"/>
    <x v="62"/>
    <x v="1"/>
    <x v="1"/>
    <n v="5400"/>
    <x v="0"/>
    <x v="2"/>
    <s v="Active"/>
    <x v="1"/>
    <s v="Volta"/>
    <n v="0.1"/>
    <x v="2"/>
    <n v="4860"/>
    <x v="1"/>
  </r>
  <r>
    <s v="ORD1135"/>
    <x v="571"/>
    <x v="2"/>
    <x v="1"/>
    <n v="10800"/>
    <x v="1"/>
    <x v="1"/>
    <s v="Cancelled"/>
    <x v="0"/>
    <s v="Greater Accra"/>
    <n v="0.1"/>
    <x v="0"/>
    <n v="9720"/>
    <x v="0"/>
  </r>
  <r>
    <s v="ORD1136"/>
    <x v="572"/>
    <x v="1"/>
    <x v="1"/>
    <n v="5400"/>
    <x v="3"/>
    <x v="1"/>
    <s v="Active"/>
    <x v="1"/>
    <s v="Western"/>
    <n v="0.1"/>
    <x v="1"/>
    <n v="4860"/>
    <x v="1"/>
  </r>
  <r>
    <s v="ORD1137"/>
    <x v="22"/>
    <x v="1"/>
    <x v="0"/>
    <n v="500"/>
    <x v="1"/>
    <x v="1"/>
    <s v="Cancelled"/>
    <x v="0"/>
    <s v="Greater Accra"/>
    <n v="0"/>
    <x v="0"/>
    <n v="500"/>
    <x v="0"/>
  </r>
  <r>
    <s v="ORD1138"/>
    <x v="308"/>
    <x v="2"/>
    <x v="1"/>
    <n v="10800"/>
    <x v="2"/>
    <x v="2"/>
    <s v="Cancelled"/>
    <x v="0"/>
    <s v="Western"/>
    <n v="0.1"/>
    <x v="1"/>
    <n v="9720"/>
    <x v="0"/>
  </r>
  <r>
    <s v="ORD1139"/>
    <x v="221"/>
    <x v="1"/>
    <x v="1"/>
    <n v="5400"/>
    <x v="0"/>
    <x v="1"/>
    <s v="Cancelled"/>
    <x v="0"/>
    <s v="Upper East"/>
    <n v="0.1"/>
    <x v="3"/>
    <n v="4860"/>
    <x v="0"/>
  </r>
  <r>
    <s v="ORD1140"/>
    <x v="573"/>
    <x v="0"/>
    <x v="1"/>
    <n v="16200"/>
    <x v="1"/>
    <x v="2"/>
    <s v="Active"/>
    <x v="1"/>
    <s v="Central"/>
    <n v="0.1"/>
    <x v="0"/>
    <n v="14580"/>
    <x v="1"/>
  </r>
  <r>
    <s v="ORD1141"/>
    <x v="33"/>
    <x v="1"/>
    <x v="1"/>
    <n v="5400"/>
    <x v="1"/>
    <x v="1"/>
    <s v="Cancelled"/>
    <x v="0"/>
    <s v="Greater Accra"/>
    <n v="0.1"/>
    <x v="0"/>
    <n v="4860"/>
    <x v="0"/>
  </r>
  <r>
    <s v="ORD1142"/>
    <x v="14"/>
    <x v="1"/>
    <x v="1"/>
    <n v="5400"/>
    <x v="1"/>
    <x v="1"/>
    <s v="Cancelled"/>
    <x v="0"/>
    <s v="Ashanti"/>
    <n v="0.1"/>
    <x v="1"/>
    <n v="4860"/>
    <x v="0"/>
  </r>
  <r>
    <s v="ORD1143"/>
    <x v="320"/>
    <x v="1"/>
    <x v="0"/>
    <n v="500"/>
    <x v="3"/>
    <x v="2"/>
    <s v="Cancelled"/>
    <x v="0"/>
    <s v="Eastern"/>
    <n v="0"/>
    <x v="2"/>
    <n v="500"/>
    <x v="0"/>
  </r>
  <r>
    <s v="ORD1144"/>
    <x v="368"/>
    <x v="2"/>
    <x v="1"/>
    <n v="10800"/>
    <x v="3"/>
    <x v="0"/>
    <s v="Active"/>
    <x v="1"/>
    <s v="Eastern"/>
    <n v="0.1"/>
    <x v="2"/>
    <n v="9720"/>
    <x v="1"/>
  </r>
  <r>
    <s v="ORD1145"/>
    <x v="130"/>
    <x v="0"/>
    <x v="0"/>
    <n v="1500"/>
    <x v="3"/>
    <x v="0"/>
    <s v="Active"/>
    <x v="1"/>
    <s v="Oti"/>
    <n v="0"/>
    <x v="2"/>
    <n v="1500"/>
    <x v="1"/>
  </r>
  <r>
    <s v="ORD1146"/>
    <x v="465"/>
    <x v="0"/>
    <x v="1"/>
    <n v="16200"/>
    <x v="1"/>
    <x v="1"/>
    <s v="Active"/>
    <x v="1"/>
    <s v="Central"/>
    <n v="0.1"/>
    <x v="0"/>
    <n v="14580"/>
    <x v="1"/>
  </r>
  <r>
    <s v="ORD1147"/>
    <x v="573"/>
    <x v="0"/>
    <x v="1"/>
    <n v="16200"/>
    <x v="0"/>
    <x v="1"/>
    <s v="Cancelled"/>
    <x v="0"/>
    <s v="Greater Accra"/>
    <n v="0.1"/>
    <x v="0"/>
    <n v="14580"/>
    <x v="0"/>
  </r>
  <r>
    <s v="ORD1148"/>
    <x v="574"/>
    <x v="1"/>
    <x v="0"/>
    <n v="500"/>
    <x v="2"/>
    <x v="2"/>
    <s v="Active"/>
    <x v="1"/>
    <s v="Northern"/>
    <n v="0"/>
    <x v="3"/>
    <n v="500"/>
    <x v="1"/>
  </r>
  <r>
    <s v="ORD1149"/>
    <x v="542"/>
    <x v="0"/>
    <x v="0"/>
    <n v="1500"/>
    <x v="3"/>
    <x v="0"/>
    <s v="Active"/>
    <x v="1"/>
    <s v="Ahafo"/>
    <n v="0"/>
    <x v="1"/>
    <n v="1500"/>
    <x v="1"/>
  </r>
  <r>
    <s v="ORD1150"/>
    <x v="575"/>
    <x v="0"/>
    <x v="0"/>
    <n v="1500"/>
    <x v="3"/>
    <x v="0"/>
    <s v="Active"/>
    <x v="1"/>
    <s v="Oti"/>
    <n v="0"/>
    <x v="2"/>
    <n v="1500"/>
    <x v="1"/>
  </r>
  <r>
    <s v="ORD1151"/>
    <x v="533"/>
    <x v="2"/>
    <x v="0"/>
    <n v="1000"/>
    <x v="1"/>
    <x v="0"/>
    <s v="Cancelled"/>
    <x v="0"/>
    <s v="Western"/>
    <n v="0"/>
    <x v="1"/>
    <n v="1000"/>
    <x v="0"/>
  </r>
  <r>
    <s v="ORD1152"/>
    <x v="297"/>
    <x v="1"/>
    <x v="1"/>
    <n v="5400"/>
    <x v="2"/>
    <x v="1"/>
    <s v="Active"/>
    <x v="1"/>
    <s v="Northern"/>
    <n v="0.1"/>
    <x v="3"/>
    <n v="4860"/>
    <x v="1"/>
  </r>
  <r>
    <s v="ORD1153"/>
    <x v="88"/>
    <x v="2"/>
    <x v="0"/>
    <n v="1000"/>
    <x v="3"/>
    <x v="1"/>
    <s v="Cancelled"/>
    <x v="0"/>
    <s v="Ashanti"/>
    <n v="0"/>
    <x v="1"/>
    <n v="1000"/>
    <x v="0"/>
  </r>
  <r>
    <s v="ORD1154"/>
    <x v="576"/>
    <x v="0"/>
    <x v="0"/>
    <n v="1500"/>
    <x v="2"/>
    <x v="0"/>
    <s v="Active"/>
    <x v="1"/>
    <s v="Northern"/>
    <n v="0"/>
    <x v="3"/>
    <n v="1500"/>
    <x v="1"/>
  </r>
  <r>
    <s v="ORD1155"/>
    <x v="304"/>
    <x v="0"/>
    <x v="0"/>
    <n v="1500"/>
    <x v="3"/>
    <x v="2"/>
    <s v="Cancelled"/>
    <x v="0"/>
    <s v="Oti"/>
    <n v="0"/>
    <x v="2"/>
    <n v="1500"/>
    <x v="0"/>
  </r>
  <r>
    <s v="ORD1156"/>
    <x v="372"/>
    <x v="2"/>
    <x v="1"/>
    <n v="10800"/>
    <x v="0"/>
    <x v="0"/>
    <s v="Cancelled"/>
    <x v="0"/>
    <s v="Upper East"/>
    <n v="0.1"/>
    <x v="3"/>
    <n v="9720"/>
    <x v="0"/>
  </r>
  <r>
    <s v="ORD1157"/>
    <x v="475"/>
    <x v="1"/>
    <x v="1"/>
    <n v="5400"/>
    <x v="2"/>
    <x v="0"/>
    <s v="Active"/>
    <x v="1"/>
    <s v="Bono"/>
    <n v="0.1"/>
    <x v="1"/>
    <n v="4860"/>
    <x v="1"/>
  </r>
  <r>
    <s v="ORD1158"/>
    <x v="577"/>
    <x v="0"/>
    <x v="0"/>
    <n v="1500"/>
    <x v="1"/>
    <x v="0"/>
    <s v="Cancelled"/>
    <x v="0"/>
    <s v="Ashanti"/>
    <n v="0"/>
    <x v="1"/>
    <n v="1500"/>
    <x v="0"/>
  </r>
  <r>
    <s v="ORD1159"/>
    <x v="333"/>
    <x v="0"/>
    <x v="0"/>
    <n v="1500"/>
    <x v="3"/>
    <x v="1"/>
    <s v="Cancelled"/>
    <x v="0"/>
    <s v="Greater Accra"/>
    <n v="0"/>
    <x v="0"/>
    <n v="1500"/>
    <x v="0"/>
  </r>
  <r>
    <s v="ORD1160"/>
    <x v="244"/>
    <x v="1"/>
    <x v="0"/>
    <n v="500"/>
    <x v="2"/>
    <x v="2"/>
    <s v="Cancelled"/>
    <x v="0"/>
    <s v="Western"/>
    <n v="0"/>
    <x v="1"/>
    <n v="500"/>
    <x v="0"/>
  </r>
  <r>
    <s v="ORD1161"/>
    <x v="178"/>
    <x v="2"/>
    <x v="1"/>
    <n v="10800"/>
    <x v="3"/>
    <x v="1"/>
    <s v="Cancelled"/>
    <x v="0"/>
    <s v="Ahafo"/>
    <n v="0.1"/>
    <x v="1"/>
    <n v="9720"/>
    <x v="0"/>
  </r>
  <r>
    <s v="ORD1162"/>
    <x v="461"/>
    <x v="1"/>
    <x v="1"/>
    <n v="5400"/>
    <x v="3"/>
    <x v="2"/>
    <s v="Cancelled"/>
    <x v="0"/>
    <s v="Ahafo"/>
    <n v="0.1"/>
    <x v="1"/>
    <n v="4860"/>
    <x v="0"/>
  </r>
  <r>
    <s v="ORD1163"/>
    <x v="566"/>
    <x v="0"/>
    <x v="0"/>
    <n v="1500"/>
    <x v="0"/>
    <x v="0"/>
    <s v="Active"/>
    <x v="1"/>
    <s v="Ashanti"/>
    <n v="0"/>
    <x v="1"/>
    <n v="1500"/>
    <x v="1"/>
  </r>
  <r>
    <s v="ORD1164"/>
    <x v="555"/>
    <x v="2"/>
    <x v="0"/>
    <n v="1000"/>
    <x v="1"/>
    <x v="2"/>
    <s v="Cancelled"/>
    <x v="0"/>
    <s v="Western"/>
    <n v="0"/>
    <x v="1"/>
    <n v="1000"/>
    <x v="0"/>
  </r>
  <r>
    <s v="ORD1165"/>
    <x v="488"/>
    <x v="2"/>
    <x v="0"/>
    <n v="1000"/>
    <x v="0"/>
    <x v="2"/>
    <s v="Active"/>
    <x v="1"/>
    <s v="Volta"/>
    <n v="0"/>
    <x v="2"/>
    <n v="1000"/>
    <x v="1"/>
  </r>
  <r>
    <s v="ORD1166"/>
    <x v="1"/>
    <x v="0"/>
    <x v="1"/>
    <n v="16200"/>
    <x v="0"/>
    <x v="2"/>
    <s v="Active"/>
    <x v="1"/>
    <s v="Greater Accra"/>
    <n v="0.1"/>
    <x v="0"/>
    <n v="14580"/>
    <x v="1"/>
  </r>
  <r>
    <s v="ORD1167"/>
    <x v="578"/>
    <x v="2"/>
    <x v="0"/>
    <n v="1000"/>
    <x v="2"/>
    <x v="1"/>
    <s v="Active"/>
    <x v="1"/>
    <s v="Northern"/>
    <n v="0"/>
    <x v="3"/>
    <n v="1000"/>
    <x v="1"/>
  </r>
  <r>
    <s v="ORD1168"/>
    <x v="70"/>
    <x v="1"/>
    <x v="1"/>
    <n v="5400"/>
    <x v="2"/>
    <x v="1"/>
    <s v="Active"/>
    <x v="1"/>
    <s v="Western North"/>
    <n v="0.1"/>
    <x v="1"/>
    <n v="4860"/>
    <x v="1"/>
  </r>
  <r>
    <s v="ORD1169"/>
    <x v="579"/>
    <x v="1"/>
    <x v="1"/>
    <n v="5400"/>
    <x v="0"/>
    <x v="2"/>
    <s v="Cancelled"/>
    <x v="0"/>
    <s v="Upper East"/>
    <n v="0.1"/>
    <x v="3"/>
    <n v="4860"/>
    <x v="0"/>
  </r>
  <r>
    <s v="ORD1170"/>
    <x v="370"/>
    <x v="1"/>
    <x v="1"/>
    <n v="5400"/>
    <x v="1"/>
    <x v="0"/>
    <s v="Cancelled"/>
    <x v="0"/>
    <s v="Ashanti"/>
    <n v="0.1"/>
    <x v="1"/>
    <n v="4860"/>
    <x v="0"/>
  </r>
  <r>
    <s v="ORD1171"/>
    <x v="580"/>
    <x v="2"/>
    <x v="1"/>
    <n v="10800"/>
    <x v="3"/>
    <x v="0"/>
    <s v="Active"/>
    <x v="1"/>
    <s v="Western"/>
    <n v="0.1"/>
    <x v="1"/>
    <n v="9720"/>
    <x v="1"/>
  </r>
  <r>
    <s v="ORD1172"/>
    <x v="581"/>
    <x v="2"/>
    <x v="0"/>
    <n v="1000"/>
    <x v="0"/>
    <x v="0"/>
    <s v="Cancelled"/>
    <x v="0"/>
    <s v="Volta"/>
    <n v="0"/>
    <x v="2"/>
    <n v="1000"/>
    <x v="0"/>
  </r>
  <r>
    <s v="ORD1173"/>
    <x v="462"/>
    <x v="0"/>
    <x v="0"/>
    <n v="1500"/>
    <x v="1"/>
    <x v="0"/>
    <s v="Cancelled"/>
    <x v="0"/>
    <s v="Central"/>
    <n v="0"/>
    <x v="0"/>
    <n v="1500"/>
    <x v="0"/>
  </r>
  <r>
    <s v="ORD1174"/>
    <x v="582"/>
    <x v="1"/>
    <x v="0"/>
    <n v="500"/>
    <x v="1"/>
    <x v="2"/>
    <s v="Active"/>
    <x v="1"/>
    <s v="Greater Accra"/>
    <n v="0"/>
    <x v="0"/>
    <n v="500"/>
    <x v="1"/>
  </r>
  <r>
    <s v="ORD1175"/>
    <x v="478"/>
    <x v="2"/>
    <x v="1"/>
    <n v="10800"/>
    <x v="1"/>
    <x v="2"/>
    <s v="Active"/>
    <x v="1"/>
    <s v="Greater Accra"/>
    <n v="0.1"/>
    <x v="0"/>
    <n v="9720"/>
    <x v="1"/>
  </r>
  <r>
    <s v="ORD1176"/>
    <x v="292"/>
    <x v="1"/>
    <x v="1"/>
    <n v="5400"/>
    <x v="0"/>
    <x v="1"/>
    <s v="Cancelled"/>
    <x v="0"/>
    <s v="Volta"/>
    <n v="0.1"/>
    <x v="2"/>
    <n v="4860"/>
    <x v="0"/>
  </r>
  <r>
    <s v="ORD1177"/>
    <x v="178"/>
    <x v="2"/>
    <x v="1"/>
    <n v="10800"/>
    <x v="0"/>
    <x v="1"/>
    <s v="Cancelled"/>
    <x v="0"/>
    <s v="Volta"/>
    <n v="0.1"/>
    <x v="2"/>
    <n v="9720"/>
    <x v="0"/>
  </r>
  <r>
    <s v="ORD1178"/>
    <x v="583"/>
    <x v="0"/>
    <x v="1"/>
    <n v="16200"/>
    <x v="2"/>
    <x v="2"/>
    <s v="Cancelled"/>
    <x v="0"/>
    <s v="Western"/>
    <n v="0.1"/>
    <x v="1"/>
    <n v="14580"/>
    <x v="0"/>
  </r>
  <r>
    <s v="ORD1179"/>
    <x v="42"/>
    <x v="0"/>
    <x v="0"/>
    <n v="1500"/>
    <x v="2"/>
    <x v="2"/>
    <s v="Cancelled"/>
    <x v="0"/>
    <s v="Western"/>
    <n v="0"/>
    <x v="1"/>
    <n v="1500"/>
    <x v="0"/>
  </r>
  <r>
    <s v="ORD1180"/>
    <x v="355"/>
    <x v="0"/>
    <x v="0"/>
    <n v="1500"/>
    <x v="0"/>
    <x v="2"/>
    <s v="Active"/>
    <x v="1"/>
    <s v="Volta"/>
    <n v="0"/>
    <x v="2"/>
    <n v="1500"/>
    <x v="1"/>
  </r>
  <r>
    <s v="ORD1181"/>
    <x v="583"/>
    <x v="0"/>
    <x v="0"/>
    <n v="1500"/>
    <x v="2"/>
    <x v="0"/>
    <s v="Cancelled"/>
    <x v="0"/>
    <s v="Western North"/>
    <n v="0"/>
    <x v="1"/>
    <n v="1500"/>
    <x v="0"/>
  </r>
  <r>
    <s v="ORD1182"/>
    <x v="317"/>
    <x v="1"/>
    <x v="0"/>
    <n v="500"/>
    <x v="0"/>
    <x v="1"/>
    <s v="Cancelled"/>
    <x v="0"/>
    <s v="Savannah"/>
    <n v="0"/>
    <x v="3"/>
    <n v="500"/>
    <x v="0"/>
  </r>
  <r>
    <s v="ORD1183"/>
    <x v="388"/>
    <x v="0"/>
    <x v="0"/>
    <n v="1500"/>
    <x v="1"/>
    <x v="0"/>
    <s v="Active"/>
    <x v="1"/>
    <s v="Central"/>
    <n v="0"/>
    <x v="0"/>
    <n v="1500"/>
    <x v="1"/>
  </r>
  <r>
    <s v="ORD1184"/>
    <x v="127"/>
    <x v="2"/>
    <x v="0"/>
    <n v="1000"/>
    <x v="2"/>
    <x v="2"/>
    <s v="Active"/>
    <x v="1"/>
    <s v="Western North"/>
    <n v="0"/>
    <x v="1"/>
    <n v="1000"/>
    <x v="1"/>
  </r>
  <r>
    <s v="ORD1185"/>
    <x v="90"/>
    <x v="1"/>
    <x v="0"/>
    <n v="500"/>
    <x v="2"/>
    <x v="2"/>
    <s v="Active"/>
    <x v="1"/>
    <s v="Western"/>
    <n v="0"/>
    <x v="1"/>
    <n v="500"/>
    <x v="1"/>
  </r>
  <r>
    <s v="ORD1186"/>
    <x v="393"/>
    <x v="1"/>
    <x v="0"/>
    <n v="500"/>
    <x v="1"/>
    <x v="0"/>
    <s v="Active"/>
    <x v="1"/>
    <s v="Western"/>
    <n v="0"/>
    <x v="1"/>
    <n v="500"/>
    <x v="1"/>
  </r>
  <r>
    <s v="ORD1187"/>
    <x v="130"/>
    <x v="2"/>
    <x v="0"/>
    <n v="1000"/>
    <x v="3"/>
    <x v="0"/>
    <s v="Cancelled"/>
    <x v="0"/>
    <s v="Oti"/>
    <n v="0"/>
    <x v="2"/>
    <n v="1000"/>
    <x v="0"/>
  </r>
  <r>
    <s v="ORD1188"/>
    <x v="584"/>
    <x v="1"/>
    <x v="0"/>
    <n v="500"/>
    <x v="1"/>
    <x v="1"/>
    <s v="Active"/>
    <x v="1"/>
    <s v="Ashanti"/>
    <n v="0"/>
    <x v="1"/>
    <n v="500"/>
    <x v="1"/>
  </r>
  <r>
    <s v="ORD1189"/>
    <x v="585"/>
    <x v="1"/>
    <x v="1"/>
    <n v="5400"/>
    <x v="0"/>
    <x v="2"/>
    <s v="Active"/>
    <x v="1"/>
    <s v="Savannah"/>
    <n v="0.1"/>
    <x v="3"/>
    <n v="4860"/>
    <x v="1"/>
  </r>
  <r>
    <s v="ORD1190"/>
    <x v="96"/>
    <x v="0"/>
    <x v="1"/>
    <n v="16200"/>
    <x v="1"/>
    <x v="2"/>
    <s v="Active"/>
    <x v="1"/>
    <s v="Central"/>
    <n v="0.1"/>
    <x v="0"/>
    <n v="14580"/>
    <x v="1"/>
  </r>
  <r>
    <s v="ORD1191"/>
    <x v="180"/>
    <x v="0"/>
    <x v="0"/>
    <n v="1500"/>
    <x v="0"/>
    <x v="0"/>
    <s v="Cancelled"/>
    <x v="0"/>
    <s v="Savannah"/>
    <n v="0"/>
    <x v="3"/>
    <n v="1500"/>
    <x v="0"/>
  </r>
  <r>
    <s v="ORD1192"/>
    <x v="151"/>
    <x v="1"/>
    <x v="0"/>
    <n v="500"/>
    <x v="3"/>
    <x v="2"/>
    <s v="Active"/>
    <x v="1"/>
    <s v="Western"/>
    <n v="0"/>
    <x v="1"/>
    <n v="500"/>
    <x v="1"/>
  </r>
  <r>
    <s v="ORD1193"/>
    <x v="57"/>
    <x v="2"/>
    <x v="1"/>
    <n v="10800"/>
    <x v="2"/>
    <x v="1"/>
    <s v="Active"/>
    <x v="1"/>
    <s v="Bono"/>
    <n v="0.1"/>
    <x v="1"/>
    <n v="9720"/>
    <x v="1"/>
  </r>
  <r>
    <s v="ORD1194"/>
    <x v="586"/>
    <x v="0"/>
    <x v="0"/>
    <n v="1500"/>
    <x v="3"/>
    <x v="0"/>
    <s v="Cancelled"/>
    <x v="0"/>
    <s v="Western"/>
    <n v="0"/>
    <x v="1"/>
    <n v="1500"/>
    <x v="0"/>
  </r>
  <r>
    <s v="ORD1195"/>
    <x v="587"/>
    <x v="2"/>
    <x v="1"/>
    <n v="10800"/>
    <x v="2"/>
    <x v="2"/>
    <s v="Cancelled"/>
    <x v="0"/>
    <s v="Northern"/>
    <n v="0.1"/>
    <x v="3"/>
    <n v="9720"/>
    <x v="0"/>
  </r>
  <r>
    <s v="ORD1196"/>
    <x v="556"/>
    <x v="2"/>
    <x v="0"/>
    <n v="1000"/>
    <x v="1"/>
    <x v="1"/>
    <s v="Active"/>
    <x v="1"/>
    <s v="Central"/>
    <n v="0"/>
    <x v="0"/>
    <n v="1000"/>
    <x v="1"/>
  </r>
  <r>
    <s v="ORD1197"/>
    <x v="524"/>
    <x v="2"/>
    <x v="1"/>
    <n v="10800"/>
    <x v="1"/>
    <x v="1"/>
    <s v="Cancelled"/>
    <x v="0"/>
    <s v="Western"/>
    <n v="0.1"/>
    <x v="1"/>
    <n v="9720"/>
    <x v="0"/>
  </r>
  <r>
    <s v="ORD1198"/>
    <x v="588"/>
    <x v="0"/>
    <x v="0"/>
    <n v="1500"/>
    <x v="0"/>
    <x v="1"/>
    <s v="Active"/>
    <x v="1"/>
    <s v="Savannah"/>
    <n v="0"/>
    <x v="3"/>
    <n v="1500"/>
    <x v="1"/>
  </r>
  <r>
    <s v="ORD1199"/>
    <x v="539"/>
    <x v="2"/>
    <x v="1"/>
    <n v="10800"/>
    <x v="0"/>
    <x v="0"/>
    <s v="Active"/>
    <x v="1"/>
    <s v="Volta"/>
    <n v="0.1"/>
    <x v="2"/>
    <n v="9720"/>
    <x v="1"/>
  </r>
  <r>
    <s v="ORD1200"/>
    <x v="589"/>
    <x v="2"/>
    <x v="0"/>
    <n v="1000"/>
    <x v="1"/>
    <x v="2"/>
    <s v="Active"/>
    <x v="1"/>
    <s v="Central"/>
    <n v="0"/>
    <x v="0"/>
    <n v="1000"/>
    <x v="1"/>
  </r>
  <r>
    <s v="ORD1201"/>
    <x v="316"/>
    <x v="2"/>
    <x v="1"/>
    <n v="10800"/>
    <x v="3"/>
    <x v="1"/>
    <s v="Active"/>
    <x v="1"/>
    <s v="Western"/>
    <n v="0.1"/>
    <x v="1"/>
    <n v="9720"/>
    <x v="1"/>
  </r>
  <r>
    <s v="ORD1202"/>
    <x v="590"/>
    <x v="0"/>
    <x v="0"/>
    <n v="1500"/>
    <x v="1"/>
    <x v="0"/>
    <s v="Active"/>
    <x v="1"/>
    <s v="Central"/>
    <n v="0"/>
    <x v="0"/>
    <n v="1500"/>
    <x v="1"/>
  </r>
  <r>
    <s v="ORD1203"/>
    <x v="11"/>
    <x v="1"/>
    <x v="1"/>
    <n v="5400"/>
    <x v="2"/>
    <x v="1"/>
    <s v="Active"/>
    <x v="1"/>
    <s v="Eastern"/>
    <n v="0.1"/>
    <x v="2"/>
    <n v="4860"/>
    <x v="1"/>
  </r>
  <r>
    <s v="ORD1204"/>
    <x v="591"/>
    <x v="2"/>
    <x v="1"/>
    <n v="10800"/>
    <x v="2"/>
    <x v="2"/>
    <s v="Active"/>
    <x v="1"/>
    <s v="Western"/>
    <n v="0.1"/>
    <x v="1"/>
    <n v="9720"/>
    <x v="1"/>
  </r>
  <r>
    <s v="ORD1205"/>
    <x v="398"/>
    <x v="2"/>
    <x v="1"/>
    <n v="10800"/>
    <x v="2"/>
    <x v="0"/>
    <s v="Active"/>
    <x v="1"/>
    <s v="Northern"/>
    <n v="0.1"/>
    <x v="3"/>
    <n v="9720"/>
    <x v="1"/>
  </r>
  <r>
    <s v="ORD1206"/>
    <x v="417"/>
    <x v="0"/>
    <x v="0"/>
    <n v="1500"/>
    <x v="3"/>
    <x v="1"/>
    <s v="Active"/>
    <x v="1"/>
    <s v="Ashanti"/>
    <n v="0"/>
    <x v="1"/>
    <n v="1500"/>
    <x v="1"/>
  </r>
  <r>
    <s v="ORD1207"/>
    <x v="504"/>
    <x v="2"/>
    <x v="1"/>
    <n v="10800"/>
    <x v="2"/>
    <x v="0"/>
    <s v="Active"/>
    <x v="1"/>
    <s v="Western"/>
    <n v="0.1"/>
    <x v="1"/>
    <n v="9720"/>
    <x v="1"/>
  </r>
  <r>
    <s v="ORD1208"/>
    <x v="300"/>
    <x v="2"/>
    <x v="1"/>
    <n v="10800"/>
    <x v="3"/>
    <x v="2"/>
    <s v="Active"/>
    <x v="1"/>
    <s v="Ashanti"/>
    <n v="0.1"/>
    <x v="1"/>
    <n v="9720"/>
    <x v="1"/>
  </r>
  <r>
    <s v="ORD1209"/>
    <x v="173"/>
    <x v="2"/>
    <x v="0"/>
    <n v="1000"/>
    <x v="3"/>
    <x v="0"/>
    <s v="Active"/>
    <x v="1"/>
    <s v="Eastern"/>
    <n v="0"/>
    <x v="2"/>
    <n v="1000"/>
    <x v="1"/>
  </r>
  <r>
    <s v="ORD1210"/>
    <x v="411"/>
    <x v="0"/>
    <x v="0"/>
    <n v="1500"/>
    <x v="0"/>
    <x v="2"/>
    <s v="Active"/>
    <x v="1"/>
    <s v="Ashanti"/>
    <n v="0"/>
    <x v="1"/>
    <n v="1500"/>
    <x v="1"/>
  </r>
  <r>
    <s v="ORD1211"/>
    <x v="77"/>
    <x v="2"/>
    <x v="1"/>
    <n v="10800"/>
    <x v="0"/>
    <x v="0"/>
    <s v="Cancelled"/>
    <x v="0"/>
    <s v="Upper East"/>
    <n v="0.1"/>
    <x v="3"/>
    <n v="9720"/>
    <x v="0"/>
  </r>
  <r>
    <s v="ORD1212"/>
    <x v="544"/>
    <x v="1"/>
    <x v="0"/>
    <n v="500"/>
    <x v="2"/>
    <x v="0"/>
    <s v="Active"/>
    <x v="1"/>
    <s v="Western North"/>
    <n v="0"/>
    <x v="1"/>
    <n v="500"/>
    <x v="1"/>
  </r>
  <r>
    <s v="ORD1213"/>
    <x v="479"/>
    <x v="2"/>
    <x v="1"/>
    <n v="10800"/>
    <x v="1"/>
    <x v="2"/>
    <s v="Cancelled"/>
    <x v="0"/>
    <s v="Western"/>
    <n v="0.1"/>
    <x v="1"/>
    <n v="9720"/>
    <x v="0"/>
  </r>
  <r>
    <s v="ORD1214"/>
    <x v="491"/>
    <x v="2"/>
    <x v="1"/>
    <n v="10800"/>
    <x v="1"/>
    <x v="0"/>
    <s v="Cancelled"/>
    <x v="0"/>
    <s v="Central"/>
    <n v="0.1"/>
    <x v="0"/>
    <n v="9720"/>
    <x v="0"/>
  </r>
  <r>
    <s v="ORD1215"/>
    <x v="592"/>
    <x v="0"/>
    <x v="1"/>
    <n v="16200"/>
    <x v="0"/>
    <x v="0"/>
    <s v="Active"/>
    <x v="1"/>
    <s v="Upper East"/>
    <n v="0.1"/>
    <x v="3"/>
    <n v="14580"/>
    <x v="1"/>
  </r>
  <r>
    <s v="ORD1216"/>
    <x v="593"/>
    <x v="1"/>
    <x v="1"/>
    <n v="5400"/>
    <x v="0"/>
    <x v="1"/>
    <s v="Cancelled"/>
    <x v="0"/>
    <s v="Greater Accra"/>
    <n v="0.1"/>
    <x v="0"/>
    <n v="4860"/>
    <x v="0"/>
  </r>
  <r>
    <s v="ORD1217"/>
    <x v="291"/>
    <x v="2"/>
    <x v="0"/>
    <n v="1000"/>
    <x v="2"/>
    <x v="1"/>
    <s v="Active"/>
    <x v="1"/>
    <s v="Western North"/>
    <n v="0"/>
    <x v="1"/>
    <n v="1000"/>
    <x v="1"/>
  </r>
  <r>
    <s v="ORD1218"/>
    <x v="143"/>
    <x v="2"/>
    <x v="0"/>
    <n v="1000"/>
    <x v="2"/>
    <x v="1"/>
    <s v="Cancelled"/>
    <x v="0"/>
    <s v="Bono"/>
    <n v="0"/>
    <x v="1"/>
    <n v="1000"/>
    <x v="0"/>
  </r>
  <r>
    <s v="ORD1219"/>
    <x v="594"/>
    <x v="0"/>
    <x v="1"/>
    <n v="16200"/>
    <x v="0"/>
    <x v="1"/>
    <s v="Cancelled"/>
    <x v="0"/>
    <s v="Greater Accra"/>
    <n v="0.1"/>
    <x v="0"/>
    <n v="14580"/>
    <x v="0"/>
  </r>
  <r>
    <s v="ORD1220"/>
    <x v="141"/>
    <x v="0"/>
    <x v="0"/>
    <n v="1500"/>
    <x v="1"/>
    <x v="0"/>
    <s v="Active"/>
    <x v="1"/>
    <s v="Central"/>
    <n v="0"/>
    <x v="0"/>
    <n v="1500"/>
    <x v="1"/>
  </r>
  <r>
    <s v="ORD1221"/>
    <x v="348"/>
    <x v="0"/>
    <x v="0"/>
    <n v="1500"/>
    <x v="3"/>
    <x v="0"/>
    <s v="Active"/>
    <x v="1"/>
    <s v="Eastern"/>
    <n v="0"/>
    <x v="2"/>
    <n v="1500"/>
    <x v="1"/>
  </r>
  <r>
    <s v="ORD1222"/>
    <x v="595"/>
    <x v="1"/>
    <x v="1"/>
    <n v="5400"/>
    <x v="0"/>
    <x v="1"/>
    <s v="Active"/>
    <x v="1"/>
    <s v="Greater Accra"/>
    <n v="0.1"/>
    <x v="0"/>
    <n v="4860"/>
    <x v="1"/>
  </r>
  <r>
    <s v="ORD1223"/>
    <x v="291"/>
    <x v="2"/>
    <x v="1"/>
    <n v="10800"/>
    <x v="0"/>
    <x v="1"/>
    <s v="Active"/>
    <x v="1"/>
    <s v="Volta"/>
    <n v="0.1"/>
    <x v="2"/>
    <n v="9720"/>
    <x v="1"/>
  </r>
  <r>
    <s v="ORD1224"/>
    <x v="522"/>
    <x v="2"/>
    <x v="0"/>
    <n v="1000"/>
    <x v="1"/>
    <x v="1"/>
    <s v="Cancelled"/>
    <x v="0"/>
    <s v="Western"/>
    <n v="0"/>
    <x v="1"/>
    <n v="1000"/>
    <x v="0"/>
  </r>
  <r>
    <s v="ORD1225"/>
    <x v="47"/>
    <x v="2"/>
    <x v="1"/>
    <n v="10800"/>
    <x v="2"/>
    <x v="2"/>
    <s v="Active"/>
    <x v="1"/>
    <s v="Northern"/>
    <n v="0.1"/>
    <x v="3"/>
    <n v="9720"/>
    <x v="1"/>
  </r>
  <r>
    <s v="ORD1226"/>
    <x v="301"/>
    <x v="2"/>
    <x v="0"/>
    <n v="1000"/>
    <x v="3"/>
    <x v="1"/>
    <s v="Cancelled"/>
    <x v="0"/>
    <s v="Ahafo"/>
    <n v="0"/>
    <x v="1"/>
    <n v="1000"/>
    <x v="0"/>
  </r>
  <r>
    <s v="ORD1227"/>
    <x v="596"/>
    <x v="1"/>
    <x v="0"/>
    <n v="500"/>
    <x v="2"/>
    <x v="0"/>
    <s v="Cancelled"/>
    <x v="0"/>
    <s v="Western"/>
    <n v="0"/>
    <x v="1"/>
    <n v="500"/>
    <x v="0"/>
  </r>
  <r>
    <s v="ORD1228"/>
    <x v="303"/>
    <x v="2"/>
    <x v="1"/>
    <n v="10800"/>
    <x v="0"/>
    <x v="0"/>
    <s v="Active"/>
    <x v="1"/>
    <s v="Greater Accra"/>
    <n v="0.1"/>
    <x v="0"/>
    <n v="9720"/>
    <x v="1"/>
  </r>
  <r>
    <s v="ORD1229"/>
    <x v="597"/>
    <x v="2"/>
    <x v="0"/>
    <n v="1000"/>
    <x v="1"/>
    <x v="0"/>
    <s v="Active"/>
    <x v="1"/>
    <s v="Greater Accra"/>
    <n v="0"/>
    <x v="0"/>
    <n v="1000"/>
    <x v="1"/>
  </r>
  <r>
    <s v="ORD1230"/>
    <x v="492"/>
    <x v="1"/>
    <x v="1"/>
    <n v="5400"/>
    <x v="0"/>
    <x v="1"/>
    <s v="Cancelled"/>
    <x v="0"/>
    <s v="Volta"/>
    <n v="0.1"/>
    <x v="2"/>
    <n v="4860"/>
    <x v="0"/>
  </r>
  <r>
    <s v="ORD1231"/>
    <x v="128"/>
    <x v="1"/>
    <x v="1"/>
    <n v="5400"/>
    <x v="0"/>
    <x v="0"/>
    <s v="Cancelled"/>
    <x v="0"/>
    <s v="Volta"/>
    <n v="0.1"/>
    <x v="2"/>
    <n v="4860"/>
    <x v="0"/>
  </r>
  <r>
    <s v="ORD1232"/>
    <x v="598"/>
    <x v="1"/>
    <x v="0"/>
    <n v="500"/>
    <x v="3"/>
    <x v="2"/>
    <s v="Cancelled"/>
    <x v="0"/>
    <s v="Ashanti"/>
    <n v="0"/>
    <x v="1"/>
    <n v="500"/>
    <x v="0"/>
  </r>
  <r>
    <s v="ORD1233"/>
    <x v="479"/>
    <x v="0"/>
    <x v="1"/>
    <n v="16200"/>
    <x v="2"/>
    <x v="2"/>
    <s v="Cancelled"/>
    <x v="0"/>
    <s v="Western North"/>
    <n v="0.1"/>
    <x v="1"/>
    <n v="14580"/>
    <x v="0"/>
  </r>
  <r>
    <s v="ORD1234"/>
    <x v="599"/>
    <x v="1"/>
    <x v="1"/>
    <n v="5400"/>
    <x v="2"/>
    <x v="1"/>
    <s v="Active"/>
    <x v="1"/>
    <s v="Western"/>
    <n v="0.1"/>
    <x v="1"/>
    <n v="4860"/>
    <x v="1"/>
  </r>
  <r>
    <s v="ORD1235"/>
    <x v="430"/>
    <x v="0"/>
    <x v="0"/>
    <n v="1500"/>
    <x v="1"/>
    <x v="2"/>
    <s v="Active"/>
    <x v="1"/>
    <s v="Greater Accra"/>
    <n v="0"/>
    <x v="0"/>
    <n v="1500"/>
    <x v="1"/>
  </r>
  <r>
    <s v="ORD1236"/>
    <x v="336"/>
    <x v="2"/>
    <x v="1"/>
    <n v="10800"/>
    <x v="2"/>
    <x v="2"/>
    <s v="Active"/>
    <x v="1"/>
    <s v="Western"/>
    <n v="0.1"/>
    <x v="1"/>
    <n v="9720"/>
    <x v="1"/>
  </r>
  <r>
    <s v="ORD1237"/>
    <x v="475"/>
    <x v="0"/>
    <x v="1"/>
    <n v="16200"/>
    <x v="3"/>
    <x v="1"/>
    <s v="Cancelled"/>
    <x v="0"/>
    <s v="Oti"/>
    <n v="0.1"/>
    <x v="2"/>
    <n v="14580"/>
    <x v="0"/>
  </r>
  <r>
    <s v="ORD1238"/>
    <x v="421"/>
    <x v="1"/>
    <x v="0"/>
    <n v="500"/>
    <x v="2"/>
    <x v="1"/>
    <s v="Cancelled"/>
    <x v="0"/>
    <s v="Western"/>
    <n v="0"/>
    <x v="1"/>
    <n v="500"/>
    <x v="0"/>
  </r>
  <r>
    <s v="ORD1239"/>
    <x v="275"/>
    <x v="2"/>
    <x v="1"/>
    <n v="10800"/>
    <x v="3"/>
    <x v="2"/>
    <s v="Active"/>
    <x v="1"/>
    <s v="Greater Accra"/>
    <n v="0.1"/>
    <x v="0"/>
    <n v="9720"/>
    <x v="1"/>
  </r>
  <r>
    <s v="ORD1240"/>
    <x v="546"/>
    <x v="2"/>
    <x v="0"/>
    <n v="1000"/>
    <x v="0"/>
    <x v="1"/>
    <s v="Cancelled"/>
    <x v="0"/>
    <s v="Ashanti"/>
    <n v="0"/>
    <x v="1"/>
    <n v="1000"/>
    <x v="0"/>
  </r>
  <r>
    <s v="ORD1241"/>
    <x v="256"/>
    <x v="2"/>
    <x v="1"/>
    <n v="10800"/>
    <x v="3"/>
    <x v="0"/>
    <s v="Cancelled"/>
    <x v="0"/>
    <s v="Western"/>
    <n v="0.1"/>
    <x v="1"/>
    <n v="9720"/>
    <x v="0"/>
  </r>
  <r>
    <s v="ORD1242"/>
    <x v="192"/>
    <x v="0"/>
    <x v="1"/>
    <n v="16200"/>
    <x v="1"/>
    <x v="0"/>
    <s v="Cancelled"/>
    <x v="0"/>
    <s v="Central"/>
    <n v="0.1"/>
    <x v="0"/>
    <n v="14580"/>
    <x v="0"/>
  </r>
  <r>
    <s v="ORD1243"/>
    <x v="281"/>
    <x v="2"/>
    <x v="1"/>
    <n v="10800"/>
    <x v="2"/>
    <x v="1"/>
    <s v="Cancelled"/>
    <x v="0"/>
    <s v="Western North"/>
    <n v="0.1"/>
    <x v="1"/>
    <n v="9720"/>
    <x v="0"/>
  </r>
  <r>
    <s v="ORD1244"/>
    <x v="568"/>
    <x v="0"/>
    <x v="0"/>
    <n v="1500"/>
    <x v="0"/>
    <x v="2"/>
    <s v="Active"/>
    <x v="1"/>
    <s v="Volta"/>
    <n v="0"/>
    <x v="2"/>
    <n v="1500"/>
    <x v="1"/>
  </r>
  <r>
    <s v="ORD1245"/>
    <x v="512"/>
    <x v="2"/>
    <x v="1"/>
    <n v="10800"/>
    <x v="0"/>
    <x v="2"/>
    <s v="Cancelled"/>
    <x v="0"/>
    <s v="Greater Accra"/>
    <n v="0.1"/>
    <x v="0"/>
    <n v="9720"/>
    <x v="0"/>
  </r>
  <r>
    <s v="ORD1246"/>
    <x v="323"/>
    <x v="1"/>
    <x v="1"/>
    <n v="5400"/>
    <x v="0"/>
    <x v="0"/>
    <s v="Active"/>
    <x v="1"/>
    <s v="Upper East"/>
    <n v="0.1"/>
    <x v="3"/>
    <n v="4860"/>
    <x v="1"/>
  </r>
  <r>
    <s v="ORD1247"/>
    <x v="526"/>
    <x v="1"/>
    <x v="0"/>
    <n v="500"/>
    <x v="1"/>
    <x v="2"/>
    <s v="Cancelled"/>
    <x v="0"/>
    <s v="Greater Accra"/>
    <n v="0"/>
    <x v="0"/>
    <n v="500"/>
    <x v="0"/>
  </r>
  <r>
    <s v="ORD1248"/>
    <x v="600"/>
    <x v="0"/>
    <x v="0"/>
    <n v="1500"/>
    <x v="2"/>
    <x v="0"/>
    <s v="Active"/>
    <x v="1"/>
    <s v="Northern"/>
    <n v="0"/>
    <x v="3"/>
    <n v="1500"/>
    <x v="1"/>
  </r>
  <r>
    <s v="ORD1249"/>
    <x v="34"/>
    <x v="0"/>
    <x v="1"/>
    <n v="16200"/>
    <x v="3"/>
    <x v="2"/>
    <s v="Cancelled"/>
    <x v="0"/>
    <s v="Western"/>
    <n v="0.1"/>
    <x v="1"/>
    <n v="14580"/>
    <x v="0"/>
  </r>
  <r>
    <s v="ORD1250"/>
    <x v="121"/>
    <x v="2"/>
    <x v="1"/>
    <n v="10800"/>
    <x v="3"/>
    <x v="1"/>
    <s v="Cancelled"/>
    <x v="0"/>
    <s v="Eastern"/>
    <n v="0.1"/>
    <x v="2"/>
    <n v="9720"/>
    <x v="0"/>
  </r>
  <r>
    <s v="ORD1251"/>
    <x v="265"/>
    <x v="2"/>
    <x v="0"/>
    <n v="1000"/>
    <x v="0"/>
    <x v="0"/>
    <s v="Cancelled"/>
    <x v="0"/>
    <s v="Volta"/>
    <n v="0"/>
    <x v="2"/>
    <n v="1000"/>
    <x v="0"/>
  </r>
  <r>
    <s v="ORD1252"/>
    <x v="280"/>
    <x v="1"/>
    <x v="0"/>
    <n v="500"/>
    <x v="2"/>
    <x v="0"/>
    <s v="Cancelled"/>
    <x v="0"/>
    <s v="Eastern"/>
    <n v="0"/>
    <x v="2"/>
    <n v="500"/>
    <x v="0"/>
  </r>
  <r>
    <s v="ORD1253"/>
    <x v="350"/>
    <x v="1"/>
    <x v="1"/>
    <n v="5400"/>
    <x v="0"/>
    <x v="2"/>
    <s v="Active"/>
    <x v="1"/>
    <s v="Upper East"/>
    <n v="0.1"/>
    <x v="3"/>
    <n v="4860"/>
    <x v="1"/>
  </r>
  <r>
    <s v="ORD1254"/>
    <x v="43"/>
    <x v="2"/>
    <x v="0"/>
    <n v="1000"/>
    <x v="3"/>
    <x v="2"/>
    <s v="Cancelled"/>
    <x v="0"/>
    <s v="Western"/>
    <n v="0"/>
    <x v="1"/>
    <n v="1000"/>
    <x v="0"/>
  </r>
  <r>
    <s v="ORD1255"/>
    <x v="440"/>
    <x v="2"/>
    <x v="1"/>
    <n v="10800"/>
    <x v="1"/>
    <x v="1"/>
    <s v="Cancelled"/>
    <x v="0"/>
    <s v="Greater Accra"/>
    <n v="0.1"/>
    <x v="0"/>
    <n v="9720"/>
    <x v="0"/>
  </r>
  <r>
    <s v="ORD1256"/>
    <x v="410"/>
    <x v="0"/>
    <x v="1"/>
    <n v="16200"/>
    <x v="0"/>
    <x v="2"/>
    <s v="Cancelled"/>
    <x v="0"/>
    <s v="Ashanti"/>
    <n v="0.1"/>
    <x v="1"/>
    <n v="14580"/>
    <x v="0"/>
  </r>
  <r>
    <s v="ORD1257"/>
    <x v="207"/>
    <x v="2"/>
    <x v="1"/>
    <n v="10800"/>
    <x v="1"/>
    <x v="0"/>
    <s v="Active"/>
    <x v="1"/>
    <s v="Western"/>
    <n v="0.1"/>
    <x v="1"/>
    <n v="9720"/>
    <x v="1"/>
  </r>
  <r>
    <s v="ORD1258"/>
    <x v="556"/>
    <x v="1"/>
    <x v="1"/>
    <n v="5400"/>
    <x v="0"/>
    <x v="2"/>
    <s v="Cancelled"/>
    <x v="0"/>
    <s v="Volta"/>
    <n v="0.1"/>
    <x v="2"/>
    <n v="4860"/>
    <x v="0"/>
  </r>
  <r>
    <s v="ORD1259"/>
    <x v="99"/>
    <x v="2"/>
    <x v="0"/>
    <n v="1000"/>
    <x v="1"/>
    <x v="0"/>
    <s v="Active"/>
    <x v="1"/>
    <s v="Central"/>
    <n v="0"/>
    <x v="0"/>
    <n v="1000"/>
    <x v="1"/>
  </r>
  <r>
    <s v="ORD1260"/>
    <x v="244"/>
    <x v="1"/>
    <x v="0"/>
    <n v="500"/>
    <x v="2"/>
    <x v="2"/>
    <s v="Cancelled"/>
    <x v="0"/>
    <s v="Eastern"/>
    <n v="0"/>
    <x v="2"/>
    <n v="500"/>
    <x v="0"/>
  </r>
  <r>
    <s v="ORD1261"/>
    <x v="59"/>
    <x v="1"/>
    <x v="0"/>
    <n v="500"/>
    <x v="2"/>
    <x v="0"/>
    <s v="Cancelled"/>
    <x v="0"/>
    <s v="Northern"/>
    <n v="0"/>
    <x v="3"/>
    <n v="500"/>
    <x v="0"/>
  </r>
  <r>
    <s v="ORD1262"/>
    <x v="510"/>
    <x v="2"/>
    <x v="0"/>
    <n v="1000"/>
    <x v="3"/>
    <x v="1"/>
    <s v="Cancelled"/>
    <x v="0"/>
    <s v="Oti"/>
    <n v="0"/>
    <x v="2"/>
    <n v="1000"/>
    <x v="0"/>
  </r>
  <r>
    <s v="ORD1263"/>
    <x v="530"/>
    <x v="1"/>
    <x v="1"/>
    <n v="5400"/>
    <x v="3"/>
    <x v="0"/>
    <s v="Cancelled"/>
    <x v="0"/>
    <s v="Western"/>
    <n v="0.1"/>
    <x v="1"/>
    <n v="4860"/>
    <x v="0"/>
  </r>
  <r>
    <s v="ORD1264"/>
    <x v="160"/>
    <x v="1"/>
    <x v="0"/>
    <n v="500"/>
    <x v="3"/>
    <x v="1"/>
    <s v="Active"/>
    <x v="1"/>
    <s v="Oti"/>
    <n v="0"/>
    <x v="2"/>
    <n v="500"/>
    <x v="1"/>
  </r>
  <r>
    <s v="ORD1265"/>
    <x v="360"/>
    <x v="2"/>
    <x v="1"/>
    <n v="10800"/>
    <x v="2"/>
    <x v="0"/>
    <s v="Cancelled"/>
    <x v="0"/>
    <s v="Northern"/>
    <n v="0.1"/>
    <x v="3"/>
    <n v="9720"/>
    <x v="0"/>
  </r>
  <r>
    <s v="ORD1266"/>
    <x v="145"/>
    <x v="2"/>
    <x v="1"/>
    <n v="10800"/>
    <x v="2"/>
    <x v="2"/>
    <s v="Cancelled"/>
    <x v="0"/>
    <s v="Western North"/>
    <n v="0.1"/>
    <x v="1"/>
    <n v="9720"/>
    <x v="0"/>
  </r>
  <r>
    <s v="ORD1267"/>
    <x v="601"/>
    <x v="2"/>
    <x v="1"/>
    <n v="10800"/>
    <x v="2"/>
    <x v="2"/>
    <s v="Cancelled"/>
    <x v="0"/>
    <s v="Western"/>
    <n v="0.1"/>
    <x v="1"/>
    <n v="9720"/>
    <x v="0"/>
  </r>
  <r>
    <s v="ORD1268"/>
    <x v="300"/>
    <x v="1"/>
    <x v="1"/>
    <n v="5400"/>
    <x v="3"/>
    <x v="2"/>
    <s v="Cancelled"/>
    <x v="0"/>
    <s v="Ashanti"/>
    <n v="0.1"/>
    <x v="1"/>
    <n v="4860"/>
    <x v="0"/>
  </r>
  <r>
    <s v="ORD1269"/>
    <x v="57"/>
    <x v="2"/>
    <x v="0"/>
    <n v="1000"/>
    <x v="2"/>
    <x v="2"/>
    <s v="Cancelled"/>
    <x v="0"/>
    <s v="Western"/>
    <n v="0"/>
    <x v="1"/>
    <n v="1000"/>
    <x v="0"/>
  </r>
  <r>
    <s v="ORD1270"/>
    <x v="84"/>
    <x v="1"/>
    <x v="1"/>
    <n v="5400"/>
    <x v="3"/>
    <x v="0"/>
    <s v="Cancelled"/>
    <x v="0"/>
    <s v="Ahafo"/>
    <n v="0.1"/>
    <x v="1"/>
    <n v="4860"/>
    <x v="0"/>
  </r>
  <r>
    <s v="ORD1271"/>
    <x v="374"/>
    <x v="0"/>
    <x v="0"/>
    <n v="1500"/>
    <x v="3"/>
    <x v="0"/>
    <s v="Cancelled"/>
    <x v="0"/>
    <s v="Ahafo"/>
    <n v="0"/>
    <x v="1"/>
    <n v="1500"/>
    <x v="0"/>
  </r>
  <r>
    <s v="ORD1272"/>
    <x v="459"/>
    <x v="2"/>
    <x v="0"/>
    <n v="1000"/>
    <x v="3"/>
    <x v="0"/>
    <s v="Cancelled"/>
    <x v="0"/>
    <s v="Oti"/>
    <n v="0"/>
    <x v="2"/>
    <n v="1000"/>
    <x v="0"/>
  </r>
  <r>
    <s v="ORD1273"/>
    <x v="602"/>
    <x v="2"/>
    <x v="0"/>
    <n v="1000"/>
    <x v="3"/>
    <x v="2"/>
    <s v="Cancelled"/>
    <x v="0"/>
    <s v="Ahafo"/>
    <n v="0"/>
    <x v="1"/>
    <n v="1000"/>
    <x v="0"/>
  </r>
  <r>
    <s v="ORD1274"/>
    <x v="54"/>
    <x v="1"/>
    <x v="0"/>
    <n v="500"/>
    <x v="2"/>
    <x v="1"/>
    <s v="Active"/>
    <x v="1"/>
    <s v="Bono"/>
    <n v="0"/>
    <x v="1"/>
    <n v="500"/>
    <x v="1"/>
  </r>
  <r>
    <s v="ORD1275"/>
    <x v="560"/>
    <x v="2"/>
    <x v="1"/>
    <n v="10800"/>
    <x v="1"/>
    <x v="2"/>
    <s v="Cancelled"/>
    <x v="0"/>
    <s v="Greater Accra"/>
    <n v="0.1"/>
    <x v="0"/>
    <n v="9720"/>
    <x v="0"/>
  </r>
  <r>
    <s v="ORD1276"/>
    <x v="603"/>
    <x v="0"/>
    <x v="0"/>
    <n v="1500"/>
    <x v="1"/>
    <x v="1"/>
    <s v="Active"/>
    <x v="1"/>
    <s v="Western"/>
    <n v="0"/>
    <x v="1"/>
    <n v="1500"/>
    <x v="1"/>
  </r>
  <r>
    <s v="ORD1277"/>
    <x v="230"/>
    <x v="2"/>
    <x v="1"/>
    <n v="10800"/>
    <x v="0"/>
    <x v="0"/>
    <s v="Cancelled"/>
    <x v="0"/>
    <s v="Ashanti"/>
    <n v="0.1"/>
    <x v="1"/>
    <n v="9720"/>
    <x v="0"/>
  </r>
  <r>
    <s v="ORD1278"/>
    <x v="604"/>
    <x v="0"/>
    <x v="0"/>
    <n v="1500"/>
    <x v="0"/>
    <x v="1"/>
    <s v="Cancelled"/>
    <x v="0"/>
    <s v="Greater Accra"/>
    <n v="0"/>
    <x v="0"/>
    <n v="1500"/>
    <x v="0"/>
  </r>
  <r>
    <s v="ORD1279"/>
    <x v="605"/>
    <x v="1"/>
    <x v="0"/>
    <n v="500"/>
    <x v="3"/>
    <x v="1"/>
    <s v="Active"/>
    <x v="1"/>
    <s v="Eastern"/>
    <n v="0"/>
    <x v="2"/>
    <n v="500"/>
    <x v="1"/>
  </r>
  <r>
    <s v="ORD1280"/>
    <x v="148"/>
    <x v="2"/>
    <x v="1"/>
    <n v="10800"/>
    <x v="3"/>
    <x v="2"/>
    <s v="Active"/>
    <x v="1"/>
    <s v="Ashanti"/>
    <n v="0.1"/>
    <x v="1"/>
    <n v="9720"/>
    <x v="1"/>
  </r>
  <r>
    <s v="ORD1281"/>
    <x v="550"/>
    <x v="0"/>
    <x v="1"/>
    <n v="16200"/>
    <x v="1"/>
    <x v="1"/>
    <s v="Active"/>
    <x v="1"/>
    <s v="Ashanti"/>
    <n v="0.1"/>
    <x v="1"/>
    <n v="14580"/>
    <x v="1"/>
  </r>
  <r>
    <s v="ORD1282"/>
    <x v="501"/>
    <x v="1"/>
    <x v="1"/>
    <n v="5400"/>
    <x v="0"/>
    <x v="0"/>
    <s v="Cancelled"/>
    <x v="0"/>
    <s v="Ashanti"/>
    <n v="0.1"/>
    <x v="1"/>
    <n v="4860"/>
    <x v="0"/>
  </r>
  <r>
    <s v="ORD1283"/>
    <x v="301"/>
    <x v="1"/>
    <x v="1"/>
    <n v="5400"/>
    <x v="2"/>
    <x v="0"/>
    <s v="Active"/>
    <x v="1"/>
    <s v="Bono"/>
    <n v="0.1"/>
    <x v="1"/>
    <n v="4860"/>
    <x v="1"/>
  </r>
  <r>
    <s v="ORD1284"/>
    <x v="228"/>
    <x v="1"/>
    <x v="0"/>
    <n v="500"/>
    <x v="3"/>
    <x v="0"/>
    <s v="Active"/>
    <x v="1"/>
    <s v="Western"/>
    <n v="0"/>
    <x v="1"/>
    <n v="500"/>
    <x v="1"/>
  </r>
  <r>
    <s v="ORD1285"/>
    <x v="372"/>
    <x v="1"/>
    <x v="1"/>
    <n v="5400"/>
    <x v="0"/>
    <x v="1"/>
    <s v="Cancelled"/>
    <x v="0"/>
    <s v="Volta"/>
    <n v="0.1"/>
    <x v="2"/>
    <n v="4860"/>
    <x v="0"/>
  </r>
  <r>
    <s v="ORD1286"/>
    <x v="87"/>
    <x v="1"/>
    <x v="0"/>
    <n v="500"/>
    <x v="3"/>
    <x v="0"/>
    <s v="Cancelled"/>
    <x v="0"/>
    <s v="Western"/>
    <n v="0"/>
    <x v="1"/>
    <n v="500"/>
    <x v="0"/>
  </r>
  <r>
    <s v="ORD1287"/>
    <x v="365"/>
    <x v="0"/>
    <x v="1"/>
    <n v="16200"/>
    <x v="3"/>
    <x v="0"/>
    <s v="Active"/>
    <x v="1"/>
    <s v="Ahafo"/>
    <n v="0.1"/>
    <x v="1"/>
    <n v="14580"/>
    <x v="1"/>
  </r>
  <r>
    <s v="ORD1288"/>
    <x v="606"/>
    <x v="1"/>
    <x v="0"/>
    <n v="500"/>
    <x v="1"/>
    <x v="2"/>
    <s v="Active"/>
    <x v="1"/>
    <s v="Western"/>
    <n v="0"/>
    <x v="1"/>
    <n v="500"/>
    <x v="1"/>
  </r>
  <r>
    <s v="ORD1289"/>
    <x v="193"/>
    <x v="1"/>
    <x v="0"/>
    <n v="500"/>
    <x v="1"/>
    <x v="2"/>
    <s v="Cancelled"/>
    <x v="0"/>
    <s v="Central"/>
    <n v="0"/>
    <x v="0"/>
    <n v="500"/>
    <x v="0"/>
  </r>
  <r>
    <s v="ORD1290"/>
    <x v="294"/>
    <x v="0"/>
    <x v="1"/>
    <n v="16200"/>
    <x v="3"/>
    <x v="1"/>
    <s v="Cancelled"/>
    <x v="0"/>
    <s v="Oti"/>
    <n v="0.1"/>
    <x v="2"/>
    <n v="14580"/>
    <x v="0"/>
  </r>
  <r>
    <s v="ORD1291"/>
    <x v="234"/>
    <x v="2"/>
    <x v="0"/>
    <n v="1000"/>
    <x v="3"/>
    <x v="0"/>
    <s v="Active"/>
    <x v="1"/>
    <s v="Eastern"/>
    <n v="0"/>
    <x v="2"/>
    <n v="1000"/>
    <x v="1"/>
  </r>
  <r>
    <s v="ORD1292"/>
    <x v="109"/>
    <x v="1"/>
    <x v="0"/>
    <n v="500"/>
    <x v="0"/>
    <x v="0"/>
    <s v="Cancelled"/>
    <x v="0"/>
    <s v="Volta"/>
    <n v="0"/>
    <x v="2"/>
    <n v="500"/>
    <x v="0"/>
  </r>
  <r>
    <s v="ORD1293"/>
    <x v="607"/>
    <x v="1"/>
    <x v="0"/>
    <n v="500"/>
    <x v="3"/>
    <x v="0"/>
    <s v="Active"/>
    <x v="1"/>
    <s v="Ashanti"/>
    <n v="0"/>
    <x v="1"/>
    <n v="500"/>
    <x v="1"/>
  </r>
  <r>
    <s v="ORD1294"/>
    <x v="195"/>
    <x v="2"/>
    <x v="0"/>
    <n v="1000"/>
    <x v="3"/>
    <x v="1"/>
    <s v="Cancelled"/>
    <x v="0"/>
    <s v="Oti"/>
    <n v="0"/>
    <x v="2"/>
    <n v="1000"/>
    <x v="0"/>
  </r>
  <r>
    <s v="ORD1295"/>
    <x v="608"/>
    <x v="0"/>
    <x v="0"/>
    <n v="1500"/>
    <x v="3"/>
    <x v="1"/>
    <s v="Active"/>
    <x v="1"/>
    <s v="Western"/>
    <n v="0"/>
    <x v="1"/>
    <n v="1500"/>
    <x v="1"/>
  </r>
  <r>
    <s v="ORD1296"/>
    <x v="162"/>
    <x v="2"/>
    <x v="0"/>
    <n v="1000"/>
    <x v="0"/>
    <x v="0"/>
    <s v="Cancelled"/>
    <x v="0"/>
    <s v="Volta"/>
    <n v="0"/>
    <x v="2"/>
    <n v="1000"/>
    <x v="0"/>
  </r>
  <r>
    <s v="ORD1297"/>
    <x v="609"/>
    <x v="0"/>
    <x v="1"/>
    <n v="16200"/>
    <x v="3"/>
    <x v="0"/>
    <s v="Active"/>
    <x v="1"/>
    <s v="Eastern"/>
    <n v="0.1"/>
    <x v="2"/>
    <n v="14580"/>
    <x v="1"/>
  </r>
  <r>
    <s v="ORD1298"/>
    <x v="511"/>
    <x v="2"/>
    <x v="1"/>
    <n v="10800"/>
    <x v="2"/>
    <x v="1"/>
    <s v="Active"/>
    <x v="1"/>
    <s v="Bono"/>
    <n v="0.1"/>
    <x v="1"/>
    <n v="9720"/>
    <x v="1"/>
  </r>
  <r>
    <s v="ORD1299"/>
    <x v="400"/>
    <x v="0"/>
    <x v="1"/>
    <n v="16200"/>
    <x v="2"/>
    <x v="1"/>
    <s v="Active"/>
    <x v="1"/>
    <s v="Western"/>
    <n v="0.1"/>
    <x v="1"/>
    <n v="14580"/>
    <x v="1"/>
  </r>
  <r>
    <s v="ORD1300"/>
    <x v="75"/>
    <x v="1"/>
    <x v="1"/>
    <n v="5400"/>
    <x v="3"/>
    <x v="1"/>
    <s v="Cancelled"/>
    <x v="0"/>
    <s v="Western"/>
    <n v="0.1"/>
    <x v="1"/>
    <n v="4860"/>
    <x v="0"/>
  </r>
  <r>
    <s v="ORD1301"/>
    <x v="610"/>
    <x v="1"/>
    <x v="0"/>
    <n v="500"/>
    <x v="0"/>
    <x v="0"/>
    <s v="Active"/>
    <x v="1"/>
    <s v="Upper East"/>
    <n v="0"/>
    <x v="3"/>
    <n v="500"/>
    <x v="1"/>
  </r>
  <r>
    <s v="ORD1302"/>
    <x v="565"/>
    <x v="0"/>
    <x v="0"/>
    <n v="1500"/>
    <x v="0"/>
    <x v="0"/>
    <s v="Active"/>
    <x v="1"/>
    <s v="Savannah"/>
    <n v="0"/>
    <x v="3"/>
    <n v="1500"/>
    <x v="1"/>
  </r>
  <r>
    <s v="ORD1303"/>
    <x v="388"/>
    <x v="0"/>
    <x v="1"/>
    <n v="16200"/>
    <x v="0"/>
    <x v="1"/>
    <s v="Active"/>
    <x v="1"/>
    <s v="Ashanti"/>
    <n v="0.1"/>
    <x v="1"/>
    <n v="14580"/>
    <x v="1"/>
  </r>
  <r>
    <s v="ORD1304"/>
    <x v="491"/>
    <x v="1"/>
    <x v="1"/>
    <n v="5400"/>
    <x v="0"/>
    <x v="1"/>
    <s v="Cancelled"/>
    <x v="0"/>
    <s v="Upper East"/>
    <n v="0.1"/>
    <x v="3"/>
    <n v="4860"/>
    <x v="0"/>
  </r>
  <r>
    <s v="ORD1305"/>
    <x v="452"/>
    <x v="0"/>
    <x v="0"/>
    <n v="1500"/>
    <x v="1"/>
    <x v="2"/>
    <s v="Active"/>
    <x v="1"/>
    <s v="Greater Accra"/>
    <n v="0"/>
    <x v="0"/>
    <n v="1500"/>
    <x v="1"/>
  </r>
  <r>
    <s v="ORD1306"/>
    <x v="580"/>
    <x v="0"/>
    <x v="0"/>
    <n v="1500"/>
    <x v="3"/>
    <x v="2"/>
    <s v="Active"/>
    <x v="1"/>
    <s v="Eastern"/>
    <n v="0"/>
    <x v="2"/>
    <n v="1500"/>
    <x v="1"/>
  </r>
  <r>
    <s v="ORD1307"/>
    <x v="98"/>
    <x v="2"/>
    <x v="1"/>
    <n v="10800"/>
    <x v="2"/>
    <x v="2"/>
    <s v="Cancelled"/>
    <x v="0"/>
    <s v="Western"/>
    <n v="0.1"/>
    <x v="1"/>
    <n v="9720"/>
    <x v="0"/>
  </r>
  <r>
    <s v="ORD1308"/>
    <x v="421"/>
    <x v="2"/>
    <x v="0"/>
    <n v="1000"/>
    <x v="3"/>
    <x v="2"/>
    <s v="Cancelled"/>
    <x v="0"/>
    <s v="Oti"/>
    <n v="0"/>
    <x v="2"/>
    <n v="1000"/>
    <x v="0"/>
  </r>
  <r>
    <s v="ORD1309"/>
    <x v="284"/>
    <x v="0"/>
    <x v="1"/>
    <n v="16200"/>
    <x v="2"/>
    <x v="1"/>
    <s v="Cancelled"/>
    <x v="0"/>
    <s v="Western"/>
    <n v="0.1"/>
    <x v="1"/>
    <n v="14580"/>
    <x v="0"/>
  </r>
  <r>
    <s v="ORD1310"/>
    <x v="137"/>
    <x v="2"/>
    <x v="0"/>
    <n v="1000"/>
    <x v="3"/>
    <x v="2"/>
    <s v="Cancelled"/>
    <x v="0"/>
    <s v="Ashanti"/>
    <n v="0"/>
    <x v="1"/>
    <n v="1000"/>
    <x v="0"/>
  </r>
  <r>
    <s v="ORD1311"/>
    <x v="259"/>
    <x v="1"/>
    <x v="1"/>
    <n v="5400"/>
    <x v="0"/>
    <x v="2"/>
    <s v="Active"/>
    <x v="1"/>
    <s v="Ashanti"/>
    <n v="0.1"/>
    <x v="1"/>
    <n v="4860"/>
    <x v="1"/>
  </r>
  <r>
    <s v="ORD1312"/>
    <x v="361"/>
    <x v="1"/>
    <x v="0"/>
    <n v="500"/>
    <x v="0"/>
    <x v="1"/>
    <s v="Active"/>
    <x v="1"/>
    <s v="Ashanti"/>
    <n v="0"/>
    <x v="1"/>
    <n v="500"/>
    <x v="1"/>
  </r>
  <r>
    <s v="ORD1313"/>
    <x v="402"/>
    <x v="1"/>
    <x v="1"/>
    <n v="5400"/>
    <x v="1"/>
    <x v="2"/>
    <s v="Cancelled"/>
    <x v="0"/>
    <s v="Ashanti"/>
    <n v="0.1"/>
    <x v="1"/>
    <n v="4860"/>
    <x v="0"/>
  </r>
  <r>
    <s v="ORD1314"/>
    <x v="559"/>
    <x v="1"/>
    <x v="1"/>
    <n v="5400"/>
    <x v="2"/>
    <x v="2"/>
    <s v="Cancelled"/>
    <x v="0"/>
    <s v="Western"/>
    <n v="0.1"/>
    <x v="1"/>
    <n v="4860"/>
    <x v="0"/>
  </r>
  <r>
    <s v="ORD1315"/>
    <x v="564"/>
    <x v="2"/>
    <x v="0"/>
    <n v="1000"/>
    <x v="1"/>
    <x v="0"/>
    <s v="Active"/>
    <x v="1"/>
    <s v="Ashanti"/>
    <n v="0"/>
    <x v="1"/>
    <n v="1000"/>
    <x v="1"/>
  </r>
  <r>
    <s v="ORD1316"/>
    <x v="72"/>
    <x v="2"/>
    <x v="1"/>
    <n v="10800"/>
    <x v="0"/>
    <x v="1"/>
    <s v="Active"/>
    <x v="1"/>
    <s v="Ashanti"/>
    <n v="0.1"/>
    <x v="1"/>
    <n v="9720"/>
    <x v="1"/>
  </r>
  <r>
    <s v="ORD1317"/>
    <x v="433"/>
    <x v="0"/>
    <x v="0"/>
    <n v="1500"/>
    <x v="2"/>
    <x v="2"/>
    <s v="Active"/>
    <x v="1"/>
    <s v="Northern"/>
    <n v="0"/>
    <x v="3"/>
    <n v="1500"/>
    <x v="1"/>
  </r>
  <r>
    <s v="ORD1318"/>
    <x v="611"/>
    <x v="2"/>
    <x v="1"/>
    <n v="10800"/>
    <x v="1"/>
    <x v="2"/>
    <s v="Cancelled"/>
    <x v="0"/>
    <s v="Greater Accra"/>
    <n v="0.1"/>
    <x v="0"/>
    <n v="9720"/>
    <x v="0"/>
  </r>
  <r>
    <s v="ORD1319"/>
    <x v="567"/>
    <x v="0"/>
    <x v="1"/>
    <n v="16200"/>
    <x v="3"/>
    <x v="1"/>
    <s v="Active"/>
    <x v="1"/>
    <s v="Western"/>
    <n v="0.1"/>
    <x v="1"/>
    <n v="14580"/>
    <x v="1"/>
  </r>
  <r>
    <s v="ORD1320"/>
    <x v="279"/>
    <x v="2"/>
    <x v="0"/>
    <n v="1000"/>
    <x v="3"/>
    <x v="1"/>
    <s v="Active"/>
    <x v="1"/>
    <s v="Oti"/>
    <n v="0"/>
    <x v="2"/>
    <n v="1000"/>
    <x v="1"/>
  </r>
  <r>
    <s v="ORD1321"/>
    <x v="422"/>
    <x v="2"/>
    <x v="1"/>
    <n v="10800"/>
    <x v="0"/>
    <x v="0"/>
    <s v="Active"/>
    <x v="1"/>
    <s v="Ashanti"/>
    <n v="0.1"/>
    <x v="1"/>
    <n v="9720"/>
    <x v="1"/>
  </r>
  <r>
    <s v="ORD1322"/>
    <x v="397"/>
    <x v="2"/>
    <x v="1"/>
    <n v="10800"/>
    <x v="0"/>
    <x v="2"/>
    <s v="Active"/>
    <x v="1"/>
    <s v="Greater Accra"/>
    <n v="0.1"/>
    <x v="0"/>
    <n v="9720"/>
    <x v="1"/>
  </r>
  <r>
    <s v="ORD1323"/>
    <x v="78"/>
    <x v="0"/>
    <x v="0"/>
    <n v="1500"/>
    <x v="2"/>
    <x v="1"/>
    <s v="Active"/>
    <x v="1"/>
    <s v="Northern"/>
    <n v="0"/>
    <x v="3"/>
    <n v="1500"/>
    <x v="1"/>
  </r>
  <r>
    <s v="ORD1324"/>
    <x v="197"/>
    <x v="1"/>
    <x v="1"/>
    <n v="5400"/>
    <x v="1"/>
    <x v="0"/>
    <s v="Cancelled"/>
    <x v="0"/>
    <s v="Greater Accra"/>
    <n v="0.1"/>
    <x v="0"/>
    <n v="4860"/>
    <x v="0"/>
  </r>
  <r>
    <s v="ORD1325"/>
    <x v="552"/>
    <x v="1"/>
    <x v="0"/>
    <n v="500"/>
    <x v="0"/>
    <x v="2"/>
    <s v="Cancelled"/>
    <x v="0"/>
    <s v="Greater Accra"/>
    <n v="0"/>
    <x v="0"/>
    <n v="500"/>
    <x v="0"/>
  </r>
  <r>
    <s v="ORD1326"/>
    <x v="472"/>
    <x v="1"/>
    <x v="0"/>
    <n v="500"/>
    <x v="3"/>
    <x v="0"/>
    <s v="Cancelled"/>
    <x v="0"/>
    <s v="Greater Accra"/>
    <n v="0"/>
    <x v="0"/>
    <n v="500"/>
    <x v="0"/>
  </r>
  <r>
    <s v="ORD1327"/>
    <x v="0"/>
    <x v="2"/>
    <x v="0"/>
    <n v="1000"/>
    <x v="2"/>
    <x v="1"/>
    <s v="Active"/>
    <x v="1"/>
    <s v="Western North"/>
    <n v="0"/>
    <x v="1"/>
    <n v="1000"/>
    <x v="1"/>
  </r>
  <r>
    <s v="ORD1328"/>
    <x v="520"/>
    <x v="0"/>
    <x v="1"/>
    <n v="16200"/>
    <x v="0"/>
    <x v="2"/>
    <s v="Cancelled"/>
    <x v="0"/>
    <s v="Greater Accra"/>
    <n v="0.1"/>
    <x v="0"/>
    <n v="14580"/>
    <x v="0"/>
  </r>
  <r>
    <s v="ORD1329"/>
    <x v="407"/>
    <x v="1"/>
    <x v="0"/>
    <n v="500"/>
    <x v="1"/>
    <x v="0"/>
    <s v="Active"/>
    <x v="1"/>
    <s v="Greater Accra"/>
    <n v="0"/>
    <x v="0"/>
    <n v="500"/>
    <x v="1"/>
  </r>
  <r>
    <s v="ORD1330"/>
    <x v="234"/>
    <x v="2"/>
    <x v="1"/>
    <n v="10800"/>
    <x v="0"/>
    <x v="0"/>
    <s v="Active"/>
    <x v="1"/>
    <s v="Upper East"/>
    <n v="0.1"/>
    <x v="3"/>
    <n v="9720"/>
    <x v="1"/>
  </r>
  <r>
    <s v="ORD1331"/>
    <x v="60"/>
    <x v="1"/>
    <x v="1"/>
    <n v="5400"/>
    <x v="2"/>
    <x v="1"/>
    <s v="Cancelled"/>
    <x v="0"/>
    <s v="Western North"/>
    <n v="0.1"/>
    <x v="1"/>
    <n v="4860"/>
    <x v="0"/>
  </r>
  <r>
    <s v="ORD1332"/>
    <x v="500"/>
    <x v="0"/>
    <x v="1"/>
    <n v="16200"/>
    <x v="2"/>
    <x v="2"/>
    <s v="Active"/>
    <x v="1"/>
    <s v="Bono"/>
    <n v="0.1"/>
    <x v="1"/>
    <n v="14580"/>
    <x v="1"/>
  </r>
  <r>
    <s v="ORD1333"/>
    <x v="449"/>
    <x v="2"/>
    <x v="0"/>
    <n v="1000"/>
    <x v="1"/>
    <x v="1"/>
    <s v="Active"/>
    <x v="1"/>
    <s v="Central"/>
    <n v="0"/>
    <x v="0"/>
    <n v="1000"/>
    <x v="1"/>
  </r>
  <r>
    <s v="ORD1334"/>
    <x v="397"/>
    <x v="1"/>
    <x v="0"/>
    <n v="500"/>
    <x v="2"/>
    <x v="1"/>
    <s v="Active"/>
    <x v="1"/>
    <s v="Eastern"/>
    <n v="0"/>
    <x v="2"/>
    <n v="500"/>
    <x v="1"/>
  </r>
  <r>
    <s v="ORD1335"/>
    <x v="361"/>
    <x v="0"/>
    <x v="0"/>
    <n v="1500"/>
    <x v="2"/>
    <x v="2"/>
    <s v="Cancelled"/>
    <x v="0"/>
    <s v="Eastern"/>
    <n v="0"/>
    <x v="2"/>
    <n v="1500"/>
    <x v="0"/>
  </r>
  <r>
    <s v="ORD1336"/>
    <x v="365"/>
    <x v="0"/>
    <x v="0"/>
    <n v="1500"/>
    <x v="1"/>
    <x v="2"/>
    <s v="Active"/>
    <x v="1"/>
    <s v="Central"/>
    <n v="0"/>
    <x v="0"/>
    <n v="1500"/>
    <x v="1"/>
  </r>
  <r>
    <s v="ORD1337"/>
    <x v="511"/>
    <x v="1"/>
    <x v="0"/>
    <n v="500"/>
    <x v="0"/>
    <x v="2"/>
    <s v="Active"/>
    <x v="1"/>
    <s v="Savannah"/>
    <n v="0"/>
    <x v="3"/>
    <n v="500"/>
    <x v="1"/>
  </r>
  <r>
    <s v="ORD1338"/>
    <x v="488"/>
    <x v="0"/>
    <x v="0"/>
    <n v="1500"/>
    <x v="3"/>
    <x v="1"/>
    <s v="Cancelled"/>
    <x v="0"/>
    <s v="Ashanti"/>
    <n v="0"/>
    <x v="1"/>
    <n v="1500"/>
    <x v="0"/>
  </r>
  <r>
    <s v="ORD1339"/>
    <x v="610"/>
    <x v="1"/>
    <x v="0"/>
    <n v="500"/>
    <x v="1"/>
    <x v="1"/>
    <s v="Active"/>
    <x v="1"/>
    <s v="Greater Accra"/>
    <n v="0"/>
    <x v="0"/>
    <n v="500"/>
    <x v="1"/>
  </r>
  <r>
    <s v="ORD1340"/>
    <x v="132"/>
    <x v="0"/>
    <x v="1"/>
    <n v="16200"/>
    <x v="3"/>
    <x v="0"/>
    <s v="Cancelled"/>
    <x v="0"/>
    <s v="Ashanti"/>
    <n v="0.1"/>
    <x v="1"/>
    <n v="14580"/>
    <x v="0"/>
  </r>
  <r>
    <s v="ORD1341"/>
    <x v="542"/>
    <x v="0"/>
    <x v="1"/>
    <n v="16200"/>
    <x v="2"/>
    <x v="2"/>
    <s v="Active"/>
    <x v="1"/>
    <s v="Western"/>
    <n v="0.1"/>
    <x v="1"/>
    <n v="14580"/>
    <x v="1"/>
  </r>
  <r>
    <s v="ORD1342"/>
    <x v="37"/>
    <x v="1"/>
    <x v="0"/>
    <n v="500"/>
    <x v="1"/>
    <x v="2"/>
    <s v="Active"/>
    <x v="1"/>
    <s v="Greater Accra"/>
    <n v="0"/>
    <x v="0"/>
    <n v="500"/>
    <x v="1"/>
  </r>
  <r>
    <s v="ORD1343"/>
    <x v="195"/>
    <x v="0"/>
    <x v="0"/>
    <n v="1500"/>
    <x v="1"/>
    <x v="0"/>
    <s v="Active"/>
    <x v="1"/>
    <s v="Greater Accra"/>
    <n v="0"/>
    <x v="0"/>
    <n v="1500"/>
    <x v="1"/>
  </r>
  <r>
    <s v="ORD1344"/>
    <x v="547"/>
    <x v="0"/>
    <x v="0"/>
    <n v="1500"/>
    <x v="3"/>
    <x v="2"/>
    <s v="Cancelled"/>
    <x v="0"/>
    <s v="Ahafo"/>
    <n v="0"/>
    <x v="1"/>
    <n v="1500"/>
    <x v="0"/>
  </r>
  <r>
    <s v="ORD1345"/>
    <x v="238"/>
    <x v="0"/>
    <x v="1"/>
    <n v="16200"/>
    <x v="1"/>
    <x v="0"/>
    <s v="Active"/>
    <x v="1"/>
    <s v="Greater Accra"/>
    <n v="0.1"/>
    <x v="0"/>
    <n v="14580"/>
    <x v="1"/>
  </r>
  <r>
    <s v="ORD1346"/>
    <x v="107"/>
    <x v="1"/>
    <x v="1"/>
    <n v="5400"/>
    <x v="3"/>
    <x v="0"/>
    <s v="Cancelled"/>
    <x v="0"/>
    <s v="Oti"/>
    <n v="0.1"/>
    <x v="2"/>
    <n v="4860"/>
    <x v="0"/>
  </r>
  <r>
    <s v="ORD1347"/>
    <x v="349"/>
    <x v="1"/>
    <x v="1"/>
    <n v="5400"/>
    <x v="1"/>
    <x v="0"/>
    <s v="Cancelled"/>
    <x v="0"/>
    <s v="Ashanti"/>
    <n v="0.1"/>
    <x v="1"/>
    <n v="4860"/>
    <x v="0"/>
  </r>
  <r>
    <s v="ORD1348"/>
    <x v="159"/>
    <x v="1"/>
    <x v="1"/>
    <n v="5400"/>
    <x v="1"/>
    <x v="2"/>
    <s v="Active"/>
    <x v="1"/>
    <s v="Greater Accra"/>
    <n v="0.1"/>
    <x v="0"/>
    <n v="4860"/>
    <x v="1"/>
  </r>
  <r>
    <s v="ORD1349"/>
    <x v="315"/>
    <x v="2"/>
    <x v="0"/>
    <n v="1000"/>
    <x v="3"/>
    <x v="0"/>
    <s v="Active"/>
    <x v="1"/>
    <s v="Western"/>
    <n v="0"/>
    <x v="1"/>
    <n v="1000"/>
    <x v="1"/>
  </r>
  <r>
    <s v="ORD1350"/>
    <x v="281"/>
    <x v="1"/>
    <x v="0"/>
    <n v="500"/>
    <x v="0"/>
    <x v="0"/>
    <s v="Cancelled"/>
    <x v="0"/>
    <s v="Ashanti"/>
    <n v="0"/>
    <x v="1"/>
    <n v="500"/>
    <x v="0"/>
  </r>
  <r>
    <s v="ORD1351"/>
    <x v="593"/>
    <x v="1"/>
    <x v="0"/>
    <n v="500"/>
    <x v="2"/>
    <x v="1"/>
    <s v="Active"/>
    <x v="1"/>
    <s v="Western"/>
    <n v="0"/>
    <x v="1"/>
    <n v="500"/>
    <x v="1"/>
  </r>
  <r>
    <s v="ORD1352"/>
    <x v="546"/>
    <x v="1"/>
    <x v="1"/>
    <n v="5400"/>
    <x v="0"/>
    <x v="2"/>
    <s v="Active"/>
    <x v="1"/>
    <s v="Savannah"/>
    <n v="0.1"/>
    <x v="3"/>
    <n v="4860"/>
    <x v="1"/>
  </r>
  <r>
    <s v="ORD1353"/>
    <x v="87"/>
    <x v="1"/>
    <x v="0"/>
    <n v="500"/>
    <x v="1"/>
    <x v="0"/>
    <s v="Active"/>
    <x v="1"/>
    <s v="Greater Accra"/>
    <n v="0"/>
    <x v="0"/>
    <n v="500"/>
    <x v="1"/>
  </r>
  <r>
    <s v="ORD1354"/>
    <x v="230"/>
    <x v="0"/>
    <x v="0"/>
    <n v="1500"/>
    <x v="0"/>
    <x v="2"/>
    <s v="Active"/>
    <x v="1"/>
    <s v="Volta"/>
    <n v="0"/>
    <x v="2"/>
    <n v="1500"/>
    <x v="1"/>
  </r>
  <r>
    <s v="ORD1355"/>
    <x v="291"/>
    <x v="2"/>
    <x v="1"/>
    <n v="10800"/>
    <x v="1"/>
    <x v="1"/>
    <s v="Active"/>
    <x v="1"/>
    <s v="Central"/>
    <n v="0.1"/>
    <x v="0"/>
    <n v="9720"/>
    <x v="1"/>
  </r>
  <r>
    <s v="ORD1356"/>
    <x v="2"/>
    <x v="2"/>
    <x v="0"/>
    <n v="1000"/>
    <x v="0"/>
    <x v="2"/>
    <s v="Active"/>
    <x v="1"/>
    <s v="Greater Accra"/>
    <n v="0"/>
    <x v="0"/>
    <n v="1000"/>
    <x v="1"/>
  </r>
  <r>
    <s v="ORD1357"/>
    <x v="144"/>
    <x v="0"/>
    <x v="1"/>
    <n v="16200"/>
    <x v="0"/>
    <x v="1"/>
    <s v="Cancelled"/>
    <x v="0"/>
    <s v="Volta"/>
    <n v="0.1"/>
    <x v="2"/>
    <n v="14580"/>
    <x v="0"/>
  </r>
  <r>
    <s v="ORD1358"/>
    <x v="233"/>
    <x v="1"/>
    <x v="0"/>
    <n v="500"/>
    <x v="2"/>
    <x v="1"/>
    <s v="Active"/>
    <x v="1"/>
    <s v="Western"/>
    <n v="0"/>
    <x v="1"/>
    <n v="500"/>
    <x v="1"/>
  </r>
  <r>
    <s v="ORD1359"/>
    <x v="130"/>
    <x v="0"/>
    <x v="1"/>
    <n v="16200"/>
    <x v="2"/>
    <x v="0"/>
    <s v="Active"/>
    <x v="1"/>
    <s v="Western"/>
    <n v="0.1"/>
    <x v="1"/>
    <n v="14580"/>
    <x v="1"/>
  </r>
  <r>
    <s v="ORD1360"/>
    <x v="417"/>
    <x v="2"/>
    <x v="1"/>
    <n v="10800"/>
    <x v="2"/>
    <x v="0"/>
    <s v="Cancelled"/>
    <x v="0"/>
    <s v="Eastern"/>
    <n v="0.1"/>
    <x v="2"/>
    <n v="9720"/>
    <x v="0"/>
  </r>
  <r>
    <s v="ORD1361"/>
    <x v="594"/>
    <x v="2"/>
    <x v="1"/>
    <n v="10800"/>
    <x v="3"/>
    <x v="1"/>
    <s v="Active"/>
    <x v="1"/>
    <s v="Ahafo"/>
    <n v="0.1"/>
    <x v="1"/>
    <n v="9720"/>
    <x v="1"/>
  </r>
  <r>
    <s v="ORD1362"/>
    <x v="612"/>
    <x v="2"/>
    <x v="0"/>
    <n v="1000"/>
    <x v="3"/>
    <x v="1"/>
    <s v="Active"/>
    <x v="1"/>
    <s v="Western"/>
    <n v="0"/>
    <x v="1"/>
    <n v="1000"/>
    <x v="1"/>
  </r>
  <r>
    <s v="ORD1363"/>
    <x v="117"/>
    <x v="0"/>
    <x v="0"/>
    <n v="1500"/>
    <x v="3"/>
    <x v="0"/>
    <s v="Active"/>
    <x v="1"/>
    <s v="Greater Accra"/>
    <n v="0"/>
    <x v="0"/>
    <n v="1500"/>
    <x v="1"/>
  </r>
  <r>
    <s v="ORD1364"/>
    <x v="613"/>
    <x v="0"/>
    <x v="1"/>
    <n v="16200"/>
    <x v="1"/>
    <x v="1"/>
    <s v="Cancelled"/>
    <x v="0"/>
    <s v="Central"/>
    <n v="0.1"/>
    <x v="0"/>
    <n v="14580"/>
    <x v="0"/>
  </r>
  <r>
    <s v="ORD1365"/>
    <x v="231"/>
    <x v="2"/>
    <x v="0"/>
    <n v="1000"/>
    <x v="2"/>
    <x v="0"/>
    <s v="Cancelled"/>
    <x v="0"/>
    <s v="Eastern"/>
    <n v="0"/>
    <x v="2"/>
    <n v="1000"/>
    <x v="0"/>
  </r>
  <r>
    <s v="ORD1366"/>
    <x v="565"/>
    <x v="0"/>
    <x v="0"/>
    <n v="1500"/>
    <x v="1"/>
    <x v="2"/>
    <s v="Cancelled"/>
    <x v="0"/>
    <s v="Central"/>
    <n v="0"/>
    <x v="0"/>
    <n v="1500"/>
    <x v="0"/>
  </r>
  <r>
    <s v="ORD1367"/>
    <x v="562"/>
    <x v="0"/>
    <x v="1"/>
    <n v="16200"/>
    <x v="2"/>
    <x v="0"/>
    <s v="Cancelled"/>
    <x v="0"/>
    <s v="Western North"/>
    <n v="0.1"/>
    <x v="1"/>
    <n v="14580"/>
    <x v="0"/>
  </r>
  <r>
    <s v="ORD1368"/>
    <x v="206"/>
    <x v="2"/>
    <x v="1"/>
    <n v="10800"/>
    <x v="0"/>
    <x v="1"/>
    <s v="Cancelled"/>
    <x v="0"/>
    <s v="Volta"/>
    <n v="0.1"/>
    <x v="2"/>
    <n v="9720"/>
    <x v="0"/>
  </r>
  <r>
    <s v="ORD1369"/>
    <x v="349"/>
    <x v="2"/>
    <x v="0"/>
    <n v="1000"/>
    <x v="3"/>
    <x v="2"/>
    <s v="Active"/>
    <x v="1"/>
    <s v="Western"/>
    <n v="0"/>
    <x v="1"/>
    <n v="1000"/>
    <x v="1"/>
  </r>
  <r>
    <s v="ORD1370"/>
    <x v="375"/>
    <x v="2"/>
    <x v="1"/>
    <n v="10800"/>
    <x v="1"/>
    <x v="1"/>
    <s v="Cancelled"/>
    <x v="0"/>
    <s v="Ashanti"/>
    <n v="0.1"/>
    <x v="1"/>
    <n v="9720"/>
    <x v="0"/>
  </r>
  <r>
    <s v="ORD1371"/>
    <x v="614"/>
    <x v="1"/>
    <x v="1"/>
    <n v="5400"/>
    <x v="3"/>
    <x v="1"/>
    <s v="Active"/>
    <x v="1"/>
    <s v="Eastern"/>
    <n v="0.1"/>
    <x v="2"/>
    <n v="4860"/>
    <x v="1"/>
  </r>
  <r>
    <s v="ORD1372"/>
    <x v="269"/>
    <x v="1"/>
    <x v="0"/>
    <n v="500"/>
    <x v="3"/>
    <x v="0"/>
    <s v="Active"/>
    <x v="1"/>
    <s v="Greater Accra"/>
    <n v="0"/>
    <x v="0"/>
    <n v="500"/>
    <x v="1"/>
  </r>
  <r>
    <s v="ORD1373"/>
    <x v="487"/>
    <x v="1"/>
    <x v="1"/>
    <n v="5400"/>
    <x v="2"/>
    <x v="2"/>
    <s v="Cancelled"/>
    <x v="0"/>
    <s v="Eastern"/>
    <n v="0.1"/>
    <x v="2"/>
    <n v="4860"/>
    <x v="0"/>
  </r>
  <r>
    <s v="ORD1374"/>
    <x v="327"/>
    <x v="1"/>
    <x v="0"/>
    <n v="500"/>
    <x v="0"/>
    <x v="2"/>
    <s v="Active"/>
    <x v="1"/>
    <s v="Upper East"/>
    <n v="0"/>
    <x v="3"/>
    <n v="500"/>
    <x v="1"/>
  </r>
  <r>
    <s v="ORD1375"/>
    <x v="235"/>
    <x v="2"/>
    <x v="1"/>
    <n v="10800"/>
    <x v="3"/>
    <x v="0"/>
    <s v="Cancelled"/>
    <x v="0"/>
    <s v="Ashanti"/>
    <n v="0.1"/>
    <x v="1"/>
    <n v="9720"/>
    <x v="0"/>
  </r>
  <r>
    <s v="ORD1376"/>
    <x v="174"/>
    <x v="0"/>
    <x v="1"/>
    <n v="16200"/>
    <x v="2"/>
    <x v="1"/>
    <s v="Cancelled"/>
    <x v="0"/>
    <s v="Western North"/>
    <n v="0.1"/>
    <x v="1"/>
    <n v="14580"/>
    <x v="0"/>
  </r>
  <r>
    <s v="ORD1377"/>
    <x v="165"/>
    <x v="2"/>
    <x v="0"/>
    <n v="1000"/>
    <x v="2"/>
    <x v="2"/>
    <s v="Cancelled"/>
    <x v="0"/>
    <s v="Western"/>
    <n v="0"/>
    <x v="1"/>
    <n v="1000"/>
    <x v="0"/>
  </r>
  <r>
    <s v="ORD1378"/>
    <x v="97"/>
    <x v="1"/>
    <x v="0"/>
    <n v="500"/>
    <x v="0"/>
    <x v="1"/>
    <s v="Active"/>
    <x v="1"/>
    <s v="Greater Accra"/>
    <n v="0"/>
    <x v="0"/>
    <n v="500"/>
    <x v="1"/>
  </r>
  <r>
    <s v="ORD1379"/>
    <x v="137"/>
    <x v="2"/>
    <x v="0"/>
    <n v="1000"/>
    <x v="0"/>
    <x v="1"/>
    <s v="Active"/>
    <x v="1"/>
    <s v="Savannah"/>
    <n v="0"/>
    <x v="3"/>
    <n v="1000"/>
    <x v="1"/>
  </r>
  <r>
    <s v="ORD1380"/>
    <x v="302"/>
    <x v="1"/>
    <x v="1"/>
    <n v="5400"/>
    <x v="0"/>
    <x v="0"/>
    <s v="Cancelled"/>
    <x v="0"/>
    <s v="Volta"/>
    <n v="0.1"/>
    <x v="2"/>
    <n v="4860"/>
    <x v="0"/>
  </r>
  <r>
    <s v="ORD1381"/>
    <x v="550"/>
    <x v="1"/>
    <x v="1"/>
    <n v="5400"/>
    <x v="0"/>
    <x v="2"/>
    <s v="Active"/>
    <x v="1"/>
    <s v="Volta"/>
    <n v="0.1"/>
    <x v="2"/>
    <n v="4860"/>
    <x v="1"/>
  </r>
  <r>
    <s v="ORD1382"/>
    <x v="254"/>
    <x v="2"/>
    <x v="0"/>
    <n v="1000"/>
    <x v="1"/>
    <x v="2"/>
    <s v="Active"/>
    <x v="1"/>
    <s v="Greater Accra"/>
    <n v="0"/>
    <x v="0"/>
    <n v="1000"/>
    <x v="1"/>
  </r>
  <r>
    <s v="ORD1383"/>
    <x v="615"/>
    <x v="2"/>
    <x v="0"/>
    <n v="1000"/>
    <x v="2"/>
    <x v="1"/>
    <s v="Cancelled"/>
    <x v="0"/>
    <s v="Western"/>
    <n v="0"/>
    <x v="1"/>
    <n v="1000"/>
    <x v="0"/>
  </r>
  <r>
    <s v="ORD1384"/>
    <x v="616"/>
    <x v="1"/>
    <x v="0"/>
    <n v="500"/>
    <x v="2"/>
    <x v="0"/>
    <s v="Active"/>
    <x v="1"/>
    <s v="Eastern"/>
    <n v="0"/>
    <x v="2"/>
    <n v="500"/>
    <x v="1"/>
  </r>
  <r>
    <s v="ORD1385"/>
    <x v="401"/>
    <x v="0"/>
    <x v="1"/>
    <n v="16200"/>
    <x v="0"/>
    <x v="1"/>
    <s v="Active"/>
    <x v="1"/>
    <s v="Volta"/>
    <n v="0.1"/>
    <x v="2"/>
    <n v="14580"/>
    <x v="1"/>
  </r>
  <r>
    <s v="ORD1386"/>
    <x v="118"/>
    <x v="1"/>
    <x v="0"/>
    <n v="500"/>
    <x v="0"/>
    <x v="1"/>
    <s v="Active"/>
    <x v="1"/>
    <s v="Volta"/>
    <n v="0"/>
    <x v="2"/>
    <n v="500"/>
    <x v="1"/>
  </r>
  <r>
    <s v="ORD1387"/>
    <x v="358"/>
    <x v="0"/>
    <x v="1"/>
    <n v="16200"/>
    <x v="3"/>
    <x v="2"/>
    <s v="Cancelled"/>
    <x v="0"/>
    <s v="Eastern"/>
    <n v="0.1"/>
    <x v="2"/>
    <n v="14580"/>
    <x v="0"/>
  </r>
  <r>
    <s v="ORD1388"/>
    <x v="583"/>
    <x v="0"/>
    <x v="1"/>
    <n v="16200"/>
    <x v="1"/>
    <x v="2"/>
    <s v="Cancelled"/>
    <x v="0"/>
    <s v="Western"/>
    <n v="0.1"/>
    <x v="1"/>
    <n v="14580"/>
    <x v="0"/>
  </r>
  <r>
    <s v="ORD1389"/>
    <x v="617"/>
    <x v="1"/>
    <x v="0"/>
    <n v="500"/>
    <x v="3"/>
    <x v="0"/>
    <s v="Active"/>
    <x v="1"/>
    <s v="Eastern"/>
    <n v="0"/>
    <x v="2"/>
    <n v="500"/>
    <x v="1"/>
  </r>
  <r>
    <s v="ORD1390"/>
    <x v="57"/>
    <x v="0"/>
    <x v="0"/>
    <n v="1500"/>
    <x v="2"/>
    <x v="2"/>
    <s v="Cancelled"/>
    <x v="0"/>
    <s v="Eastern"/>
    <n v="0"/>
    <x v="2"/>
    <n v="1500"/>
    <x v="0"/>
  </r>
  <r>
    <s v="ORD1391"/>
    <x v="527"/>
    <x v="1"/>
    <x v="0"/>
    <n v="500"/>
    <x v="2"/>
    <x v="0"/>
    <s v="Active"/>
    <x v="1"/>
    <s v="Western North"/>
    <n v="0"/>
    <x v="1"/>
    <n v="500"/>
    <x v="1"/>
  </r>
  <r>
    <s v="ORD1392"/>
    <x v="278"/>
    <x v="0"/>
    <x v="1"/>
    <n v="16200"/>
    <x v="1"/>
    <x v="1"/>
    <s v="Active"/>
    <x v="1"/>
    <s v="Central"/>
    <n v="0.1"/>
    <x v="0"/>
    <n v="14580"/>
    <x v="1"/>
  </r>
  <r>
    <s v="ORD1393"/>
    <x v="75"/>
    <x v="1"/>
    <x v="0"/>
    <n v="500"/>
    <x v="2"/>
    <x v="1"/>
    <s v="Active"/>
    <x v="1"/>
    <s v="Bono"/>
    <n v="0"/>
    <x v="1"/>
    <n v="500"/>
    <x v="1"/>
  </r>
  <r>
    <s v="ORD1394"/>
    <x v="291"/>
    <x v="0"/>
    <x v="1"/>
    <n v="16200"/>
    <x v="0"/>
    <x v="1"/>
    <s v="Active"/>
    <x v="1"/>
    <s v="Savannah"/>
    <n v="0.1"/>
    <x v="3"/>
    <n v="14580"/>
    <x v="1"/>
  </r>
  <r>
    <s v="ORD1395"/>
    <x v="618"/>
    <x v="2"/>
    <x v="0"/>
    <n v="1000"/>
    <x v="3"/>
    <x v="1"/>
    <s v="Active"/>
    <x v="1"/>
    <s v="Eastern"/>
    <n v="0"/>
    <x v="2"/>
    <n v="1000"/>
    <x v="1"/>
  </r>
  <r>
    <s v="ORD1396"/>
    <x v="481"/>
    <x v="0"/>
    <x v="1"/>
    <n v="16200"/>
    <x v="2"/>
    <x v="1"/>
    <s v="Active"/>
    <x v="1"/>
    <s v="Western"/>
    <n v="0.1"/>
    <x v="1"/>
    <n v="14580"/>
    <x v="1"/>
  </r>
  <r>
    <s v="ORD1397"/>
    <x v="575"/>
    <x v="1"/>
    <x v="0"/>
    <n v="500"/>
    <x v="1"/>
    <x v="0"/>
    <s v="Cancelled"/>
    <x v="0"/>
    <s v="Western"/>
    <n v="0"/>
    <x v="1"/>
    <n v="500"/>
    <x v="0"/>
  </r>
  <r>
    <s v="ORD1398"/>
    <x v="204"/>
    <x v="2"/>
    <x v="0"/>
    <n v="1000"/>
    <x v="2"/>
    <x v="2"/>
    <s v="Cancelled"/>
    <x v="0"/>
    <s v="Western"/>
    <n v="0"/>
    <x v="1"/>
    <n v="1000"/>
    <x v="0"/>
  </r>
  <r>
    <s v="ORD1399"/>
    <x v="488"/>
    <x v="1"/>
    <x v="1"/>
    <n v="5400"/>
    <x v="3"/>
    <x v="0"/>
    <s v="Cancelled"/>
    <x v="0"/>
    <s v="Oti"/>
    <n v="0.1"/>
    <x v="2"/>
    <n v="4860"/>
    <x v="0"/>
  </r>
  <r>
    <s v="ORD1400"/>
    <x v="146"/>
    <x v="2"/>
    <x v="1"/>
    <n v="10800"/>
    <x v="2"/>
    <x v="1"/>
    <s v="Active"/>
    <x v="1"/>
    <s v="Eastern"/>
    <n v="0.1"/>
    <x v="2"/>
    <n v="9720"/>
    <x v="1"/>
  </r>
  <r>
    <s v="ORD1401"/>
    <x v="219"/>
    <x v="1"/>
    <x v="0"/>
    <n v="500"/>
    <x v="2"/>
    <x v="0"/>
    <s v="Active"/>
    <x v="1"/>
    <s v="Western North"/>
    <n v="0"/>
    <x v="1"/>
    <n v="500"/>
    <x v="1"/>
  </r>
  <r>
    <s v="ORD1402"/>
    <x v="619"/>
    <x v="2"/>
    <x v="0"/>
    <n v="1000"/>
    <x v="2"/>
    <x v="1"/>
    <s v="Active"/>
    <x v="1"/>
    <s v="Bono"/>
    <n v="0"/>
    <x v="1"/>
    <n v="1000"/>
    <x v="1"/>
  </r>
  <r>
    <s v="ORD1403"/>
    <x v="376"/>
    <x v="1"/>
    <x v="0"/>
    <n v="500"/>
    <x v="2"/>
    <x v="1"/>
    <s v="Active"/>
    <x v="1"/>
    <s v="Western"/>
    <n v="0"/>
    <x v="1"/>
    <n v="500"/>
    <x v="1"/>
  </r>
  <r>
    <s v="ORD1404"/>
    <x v="314"/>
    <x v="0"/>
    <x v="1"/>
    <n v="16200"/>
    <x v="1"/>
    <x v="0"/>
    <s v="Active"/>
    <x v="1"/>
    <s v="Ashanti"/>
    <n v="0.1"/>
    <x v="1"/>
    <n v="14580"/>
    <x v="1"/>
  </r>
  <r>
    <s v="ORD1405"/>
    <x v="421"/>
    <x v="2"/>
    <x v="1"/>
    <n v="10800"/>
    <x v="2"/>
    <x v="1"/>
    <s v="Cancelled"/>
    <x v="0"/>
    <s v="Bono"/>
    <n v="0.1"/>
    <x v="1"/>
    <n v="9720"/>
    <x v="0"/>
  </r>
  <r>
    <s v="ORD1406"/>
    <x v="263"/>
    <x v="1"/>
    <x v="0"/>
    <n v="500"/>
    <x v="0"/>
    <x v="2"/>
    <s v="Cancelled"/>
    <x v="0"/>
    <s v="Ashanti"/>
    <n v="0"/>
    <x v="1"/>
    <n v="500"/>
    <x v="0"/>
  </r>
  <r>
    <s v="ORD1407"/>
    <x v="279"/>
    <x v="1"/>
    <x v="1"/>
    <n v="5400"/>
    <x v="2"/>
    <x v="0"/>
    <s v="Active"/>
    <x v="1"/>
    <s v="Western North"/>
    <n v="0.1"/>
    <x v="1"/>
    <n v="4860"/>
    <x v="1"/>
  </r>
  <r>
    <s v="ORD1408"/>
    <x v="53"/>
    <x v="2"/>
    <x v="1"/>
    <n v="10800"/>
    <x v="3"/>
    <x v="2"/>
    <s v="Cancelled"/>
    <x v="0"/>
    <s v="Ashanti"/>
    <n v="0.1"/>
    <x v="1"/>
    <n v="9720"/>
    <x v="0"/>
  </r>
  <r>
    <s v="ORD1409"/>
    <x v="458"/>
    <x v="2"/>
    <x v="1"/>
    <n v="10800"/>
    <x v="1"/>
    <x v="1"/>
    <s v="Cancelled"/>
    <x v="0"/>
    <s v="Central"/>
    <n v="0.1"/>
    <x v="0"/>
    <n v="9720"/>
    <x v="0"/>
  </r>
  <r>
    <s v="ORD1410"/>
    <x v="21"/>
    <x v="1"/>
    <x v="0"/>
    <n v="500"/>
    <x v="2"/>
    <x v="2"/>
    <s v="Active"/>
    <x v="1"/>
    <s v="Bono"/>
    <n v="0"/>
    <x v="1"/>
    <n v="500"/>
    <x v="1"/>
  </r>
  <r>
    <s v="ORD1411"/>
    <x v="178"/>
    <x v="2"/>
    <x v="0"/>
    <n v="1000"/>
    <x v="1"/>
    <x v="1"/>
    <s v="Active"/>
    <x v="1"/>
    <s v="Ashanti"/>
    <n v="0"/>
    <x v="1"/>
    <n v="1000"/>
    <x v="1"/>
  </r>
  <r>
    <s v="ORD1412"/>
    <x v="143"/>
    <x v="2"/>
    <x v="0"/>
    <n v="1000"/>
    <x v="0"/>
    <x v="2"/>
    <s v="Active"/>
    <x v="1"/>
    <s v="Ashanti"/>
    <n v="0"/>
    <x v="1"/>
    <n v="1000"/>
    <x v="1"/>
  </r>
  <r>
    <s v="ORD1413"/>
    <x v="368"/>
    <x v="0"/>
    <x v="0"/>
    <n v="1500"/>
    <x v="1"/>
    <x v="0"/>
    <s v="Cancelled"/>
    <x v="0"/>
    <s v="Ashanti"/>
    <n v="0"/>
    <x v="1"/>
    <n v="1500"/>
    <x v="0"/>
  </r>
  <r>
    <s v="ORD1414"/>
    <x v="359"/>
    <x v="1"/>
    <x v="1"/>
    <n v="5400"/>
    <x v="3"/>
    <x v="0"/>
    <s v="Active"/>
    <x v="1"/>
    <s v="Ashanti"/>
    <n v="0.1"/>
    <x v="1"/>
    <n v="4860"/>
    <x v="1"/>
  </r>
  <r>
    <s v="ORD1415"/>
    <x v="329"/>
    <x v="1"/>
    <x v="0"/>
    <n v="500"/>
    <x v="3"/>
    <x v="0"/>
    <s v="Cancelled"/>
    <x v="0"/>
    <s v="Greater Accra"/>
    <n v="0"/>
    <x v="0"/>
    <n v="500"/>
    <x v="0"/>
  </r>
  <r>
    <s v="ORD1416"/>
    <x v="515"/>
    <x v="0"/>
    <x v="0"/>
    <n v="1500"/>
    <x v="2"/>
    <x v="1"/>
    <s v="Cancelled"/>
    <x v="0"/>
    <s v="Eastern"/>
    <n v="0"/>
    <x v="2"/>
    <n v="1500"/>
    <x v="0"/>
  </r>
  <r>
    <s v="ORD1417"/>
    <x v="587"/>
    <x v="1"/>
    <x v="1"/>
    <n v="5400"/>
    <x v="0"/>
    <x v="0"/>
    <s v="Cancelled"/>
    <x v="0"/>
    <s v="Ashanti"/>
    <n v="0.1"/>
    <x v="1"/>
    <n v="4860"/>
    <x v="0"/>
  </r>
  <r>
    <s v="ORD1418"/>
    <x v="123"/>
    <x v="1"/>
    <x v="1"/>
    <n v="5400"/>
    <x v="2"/>
    <x v="2"/>
    <s v="Cancelled"/>
    <x v="0"/>
    <s v="Western"/>
    <n v="0.1"/>
    <x v="1"/>
    <n v="4860"/>
    <x v="0"/>
  </r>
  <r>
    <s v="ORD1419"/>
    <x v="159"/>
    <x v="0"/>
    <x v="1"/>
    <n v="16200"/>
    <x v="1"/>
    <x v="1"/>
    <s v="Cancelled"/>
    <x v="0"/>
    <s v="Central"/>
    <n v="0.1"/>
    <x v="0"/>
    <n v="14580"/>
    <x v="0"/>
  </r>
  <r>
    <s v="ORD1420"/>
    <x v="619"/>
    <x v="2"/>
    <x v="0"/>
    <n v="1000"/>
    <x v="2"/>
    <x v="1"/>
    <s v="Active"/>
    <x v="1"/>
    <s v="Western"/>
    <n v="0"/>
    <x v="1"/>
    <n v="1000"/>
    <x v="1"/>
  </r>
  <r>
    <s v="ORD1421"/>
    <x v="620"/>
    <x v="1"/>
    <x v="1"/>
    <n v="5400"/>
    <x v="0"/>
    <x v="1"/>
    <s v="Cancelled"/>
    <x v="0"/>
    <s v="Upper East"/>
    <n v="0.1"/>
    <x v="3"/>
    <n v="4860"/>
    <x v="0"/>
  </r>
  <r>
    <s v="ORD1422"/>
    <x v="394"/>
    <x v="1"/>
    <x v="0"/>
    <n v="500"/>
    <x v="2"/>
    <x v="2"/>
    <s v="Cancelled"/>
    <x v="0"/>
    <s v="Western North"/>
    <n v="0"/>
    <x v="1"/>
    <n v="500"/>
    <x v="0"/>
  </r>
  <r>
    <s v="ORD1423"/>
    <x v="62"/>
    <x v="0"/>
    <x v="1"/>
    <n v="16200"/>
    <x v="2"/>
    <x v="2"/>
    <s v="Active"/>
    <x v="1"/>
    <s v="Eastern"/>
    <n v="0.1"/>
    <x v="2"/>
    <n v="14580"/>
    <x v="1"/>
  </r>
  <r>
    <s v="ORD1424"/>
    <x v="256"/>
    <x v="1"/>
    <x v="0"/>
    <n v="500"/>
    <x v="3"/>
    <x v="0"/>
    <s v="Active"/>
    <x v="1"/>
    <s v="Ashanti"/>
    <n v="0"/>
    <x v="1"/>
    <n v="500"/>
    <x v="1"/>
  </r>
  <r>
    <s v="ORD1425"/>
    <x v="174"/>
    <x v="2"/>
    <x v="1"/>
    <n v="10800"/>
    <x v="3"/>
    <x v="1"/>
    <s v="Active"/>
    <x v="1"/>
    <s v="Oti"/>
    <n v="0.1"/>
    <x v="2"/>
    <n v="9720"/>
    <x v="1"/>
  </r>
  <r>
    <s v="ORD1426"/>
    <x v="395"/>
    <x v="2"/>
    <x v="1"/>
    <n v="10800"/>
    <x v="0"/>
    <x v="0"/>
    <s v="Active"/>
    <x v="1"/>
    <s v="Volta"/>
    <n v="0.1"/>
    <x v="2"/>
    <n v="9720"/>
    <x v="1"/>
  </r>
  <r>
    <s v="ORD1427"/>
    <x v="99"/>
    <x v="1"/>
    <x v="0"/>
    <n v="500"/>
    <x v="2"/>
    <x v="0"/>
    <s v="Active"/>
    <x v="1"/>
    <s v="Bono"/>
    <n v="0"/>
    <x v="1"/>
    <n v="500"/>
    <x v="1"/>
  </r>
  <r>
    <s v="ORD1428"/>
    <x v="185"/>
    <x v="0"/>
    <x v="1"/>
    <n v="16200"/>
    <x v="1"/>
    <x v="1"/>
    <s v="Cancelled"/>
    <x v="0"/>
    <s v="Ashanti"/>
    <n v="0.1"/>
    <x v="1"/>
    <n v="14580"/>
    <x v="0"/>
  </r>
  <r>
    <s v="ORD1429"/>
    <x v="235"/>
    <x v="1"/>
    <x v="1"/>
    <n v="5400"/>
    <x v="0"/>
    <x v="0"/>
    <s v="Active"/>
    <x v="1"/>
    <s v="Upper East"/>
    <n v="0.1"/>
    <x v="3"/>
    <n v="4860"/>
    <x v="1"/>
  </r>
  <r>
    <s v="ORD1430"/>
    <x v="96"/>
    <x v="1"/>
    <x v="0"/>
    <n v="500"/>
    <x v="2"/>
    <x v="0"/>
    <s v="Cancelled"/>
    <x v="0"/>
    <s v="Western North"/>
    <n v="0"/>
    <x v="1"/>
    <n v="500"/>
    <x v="0"/>
  </r>
  <r>
    <s v="ORD1431"/>
    <x v="569"/>
    <x v="1"/>
    <x v="0"/>
    <n v="500"/>
    <x v="0"/>
    <x v="0"/>
    <s v="Cancelled"/>
    <x v="0"/>
    <s v="Greater Accra"/>
    <n v="0"/>
    <x v="0"/>
    <n v="500"/>
    <x v="0"/>
  </r>
  <r>
    <s v="ORD1432"/>
    <x v="137"/>
    <x v="0"/>
    <x v="0"/>
    <n v="1500"/>
    <x v="0"/>
    <x v="2"/>
    <s v="Active"/>
    <x v="1"/>
    <s v="Savannah"/>
    <n v="0"/>
    <x v="3"/>
    <n v="1500"/>
    <x v="1"/>
  </r>
  <r>
    <s v="ORD1433"/>
    <x v="261"/>
    <x v="0"/>
    <x v="0"/>
    <n v="1500"/>
    <x v="0"/>
    <x v="2"/>
    <s v="Active"/>
    <x v="1"/>
    <s v="Volta"/>
    <n v="0"/>
    <x v="2"/>
    <n v="1500"/>
    <x v="1"/>
  </r>
  <r>
    <s v="ORD1434"/>
    <x v="129"/>
    <x v="2"/>
    <x v="1"/>
    <n v="10800"/>
    <x v="2"/>
    <x v="2"/>
    <s v="Cancelled"/>
    <x v="0"/>
    <s v="Western North"/>
    <n v="0.1"/>
    <x v="1"/>
    <n v="9720"/>
    <x v="0"/>
  </r>
  <r>
    <s v="ORD1435"/>
    <x v="472"/>
    <x v="1"/>
    <x v="0"/>
    <n v="500"/>
    <x v="0"/>
    <x v="0"/>
    <s v="Cancelled"/>
    <x v="0"/>
    <s v="Volta"/>
    <n v="0"/>
    <x v="2"/>
    <n v="500"/>
    <x v="0"/>
  </r>
  <r>
    <s v="ORD1436"/>
    <x v="427"/>
    <x v="1"/>
    <x v="1"/>
    <n v="5400"/>
    <x v="2"/>
    <x v="2"/>
    <s v="Active"/>
    <x v="1"/>
    <s v="Eastern"/>
    <n v="0.1"/>
    <x v="2"/>
    <n v="4860"/>
    <x v="1"/>
  </r>
  <r>
    <s v="ORD1437"/>
    <x v="303"/>
    <x v="2"/>
    <x v="1"/>
    <n v="10800"/>
    <x v="0"/>
    <x v="0"/>
    <s v="Cancelled"/>
    <x v="0"/>
    <s v="Ashanti"/>
    <n v="0.1"/>
    <x v="1"/>
    <n v="9720"/>
    <x v="0"/>
  </r>
  <r>
    <s v="ORD1438"/>
    <x v="318"/>
    <x v="2"/>
    <x v="1"/>
    <n v="10800"/>
    <x v="2"/>
    <x v="2"/>
    <s v="Cancelled"/>
    <x v="0"/>
    <s v="Eastern"/>
    <n v="0.1"/>
    <x v="2"/>
    <n v="9720"/>
    <x v="0"/>
  </r>
  <r>
    <s v="ORD1439"/>
    <x v="56"/>
    <x v="0"/>
    <x v="1"/>
    <n v="16200"/>
    <x v="3"/>
    <x v="1"/>
    <s v="Active"/>
    <x v="1"/>
    <s v="Ashanti"/>
    <n v="0.1"/>
    <x v="1"/>
    <n v="14580"/>
    <x v="1"/>
  </r>
  <r>
    <s v="ORD1440"/>
    <x v="422"/>
    <x v="1"/>
    <x v="0"/>
    <n v="500"/>
    <x v="1"/>
    <x v="0"/>
    <s v="Active"/>
    <x v="1"/>
    <s v="Greater Accra"/>
    <n v="0"/>
    <x v="0"/>
    <n v="500"/>
    <x v="1"/>
  </r>
  <r>
    <s v="ORD1441"/>
    <x v="136"/>
    <x v="2"/>
    <x v="1"/>
    <n v="10800"/>
    <x v="0"/>
    <x v="1"/>
    <s v="Cancelled"/>
    <x v="0"/>
    <s v="Volta"/>
    <n v="0.1"/>
    <x v="2"/>
    <n v="9720"/>
    <x v="0"/>
  </r>
  <r>
    <s v="ORD1442"/>
    <x v="350"/>
    <x v="2"/>
    <x v="1"/>
    <n v="10800"/>
    <x v="3"/>
    <x v="2"/>
    <s v="Active"/>
    <x v="1"/>
    <s v="Ashanti"/>
    <n v="0.1"/>
    <x v="1"/>
    <n v="9720"/>
    <x v="1"/>
  </r>
  <r>
    <s v="ORD1443"/>
    <x v="442"/>
    <x v="1"/>
    <x v="0"/>
    <n v="500"/>
    <x v="2"/>
    <x v="2"/>
    <s v="Cancelled"/>
    <x v="0"/>
    <s v="Western"/>
    <n v="0"/>
    <x v="1"/>
    <n v="500"/>
    <x v="0"/>
  </r>
  <r>
    <s v="ORD1444"/>
    <x v="72"/>
    <x v="1"/>
    <x v="1"/>
    <n v="5400"/>
    <x v="2"/>
    <x v="1"/>
    <s v="Cancelled"/>
    <x v="0"/>
    <s v="Eastern"/>
    <n v="0.1"/>
    <x v="2"/>
    <n v="4860"/>
    <x v="0"/>
  </r>
  <r>
    <s v="ORD1445"/>
    <x v="586"/>
    <x v="2"/>
    <x v="1"/>
    <n v="10800"/>
    <x v="1"/>
    <x v="2"/>
    <s v="Cancelled"/>
    <x v="0"/>
    <s v="Greater Accra"/>
    <n v="0.1"/>
    <x v="0"/>
    <n v="9720"/>
    <x v="0"/>
  </r>
  <r>
    <s v="ORD1446"/>
    <x v="621"/>
    <x v="2"/>
    <x v="1"/>
    <n v="10800"/>
    <x v="3"/>
    <x v="0"/>
    <s v="Active"/>
    <x v="1"/>
    <s v="Ashanti"/>
    <n v="0.1"/>
    <x v="1"/>
    <n v="9720"/>
    <x v="1"/>
  </r>
  <r>
    <s v="ORD1447"/>
    <x v="90"/>
    <x v="1"/>
    <x v="1"/>
    <n v="5400"/>
    <x v="1"/>
    <x v="1"/>
    <s v="Cancelled"/>
    <x v="0"/>
    <s v="Central"/>
    <n v="0.1"/>
    <x v="0"/>
    <n v="4860"/>
    <x v="0"/>
  </r>
  <r>
    <s v="ORD1448"/>
    <x v="416"/>
    <x v="1"/>
    <x v="1"/>
    <n v="5400"/>
    <x v="1"/>
    <x v="0"/>
    <s v="Cancelled"/>
    <x v="0"/>
    <s v="Western"/>
    <n v="0.1"/>
    <x v="1"/>
    <n v="4860"/>
    <x v="0"/>
  </r>
  <r>
    <s v="ORD1449"/>
    <x v="613"/>
    <x v="1"/>
    <x v="1"/>
    <n v="5400"/>
    <x v="0"/>
    <x v="0"/>
    <s v="Active"/>
    <x v="1"/>
    <s v="Volta"/>
    <n v="0.1"/>
    <x v="2"/>
    <n v="4860"/>
    <x v="1"/>
  </r>
  <r>
    <s v="ORD1450"/>
    <x v="99"/>
    <x v="2"/>
    <x v="0"/>
    <n v="1000"/>
    <x v="2"/>
    <x v="1"/>
    <s v="Cancelled"/>
    <x v="0"/>
    <s v="Western"/>
    <n v="0"/>
    <x v="1"/>
    <n v="1000"/>
    <x v="0"/>
  </r>
  <r>
    <s v="ORD1451"/>
    <x v="471"/>
    <x v="2"/>
    <x v="1"/>
    <n v="10800"/>
    <x v="3"/>
    <x v="0"/>
    <s v="Cancelled"/>
    <x v="0"/>
    <s v="Western"/>
    <n v="0.1"/>
    <x v="1"/>
    <n v="9720"/>
    <x v="0"/>
  </r>
  <r>
    <s v="ORD1452"/>
    <x v="468"/>
    <x v="2"/>
    <x v="1"/>
    <n v="10800"/>
    <x v="3"/>
    <x v="2"/>
    <s v="Active"/>
    <x v="1"/>
    <s v="Eastern"/>
    <n v="0.1"/>
    <x v="2"/>
    <n v="9720"/>
    <x v="1"/>
  </r>
  <r>
    <s v="ORD1453"/>
    <x v="256"/>
    <x v="1"/>
    <x v="0"/>
    <n v="500"/>
    <x v="0"/>
    <x v="1"/>
    <s v="Cancelled"/>
    <x v="0"/>
    <s v="Volta"/>
    <n v="0"/>
    <x v="2"/>
    <n v="500"/>
    <x v="0"/>
  </r>
  <r>
    <s v="ORD1454"/>
    <x v="190"/>
    <x v="0"/>
    <x v="1"/>
    <n v="16200"/>
    <x v="3"/>
    <x v="2"/>
    <s v="Active"/>
    <x v="1"/>
    <s v="Ahafo"/>
    <n v="0.1"/>
    <x v="1"/>
    <n v="14580"/>
    <x v="1"/>
  </r>
  <r>
    <s v="ORD1455"/>
    <x v="259"/>
    <x v="2"/>
    <x v="1"/>
    <n v="10800"/>
    <x v="0"/>
    <x v="2"/>
    <s v="Active"/>
    <x v="1"/>
    <s v="Volta"/>
    <n v="0.1"/>
    <x v="2"/>
    <n v="9720"/>
    <x v="1"/>
  </r>
  <r>
    <s v="ORD1456"/>
    <x v="213"/>
    <x v="1"/>
    <x v="0"/>
    <n v="500"/>
    <x v="0"/>
    <x v="0"/>
    <s v="Active"/>
    <x v="1"/>
    <s v="Savannah"/>
    <n v="0"/>
    <x v="3"/>
    <n v="500"/>
    <x v="1"/>
  </r>
  <r>
    <s v="ORD1457"/>
    <x v="396"/>
    <x v="0"/>
    <x v="1"/>
    <n v="16200"/>
    <x v="3"/>
    <x v="2"/>
    <s v="Cancelled"/>
    <x v="0"/>
    <s v="Greater Accra"/>
    <n v="0.1"/>
    <x v="0"/>
    <n v="14580"/>
    <x v="0"/>
  </r>
  <r>
    <s v="ORD1458"/>
    <x v="587"/>
    <x v="1"/>
    <x v="1"/>
    <n v="5400"/>
    <x v="3"/>
    <x v="0"/>
    <s v="Active"/>
    <x v="1"/>
    <s v="Oti"/>
    <n v="0.1"/>
    <x v="2"/>
    <n v="4860"/>
    <x v="1"/>
  </r>
  <r>
    <s v="ORD1459"/>
    <x v="622"/>
    <x v="0"/>
    <x v="0"/>
    <n v="1500"/>
    <x v="3"/>
    <x v="0"/>
    <s v="Active"/>
    <x v="1"/>
    <s v="Eastern"/>
    <n v="0"/>
    <x v="2"/>
    <n v="1500"/>
    <x v="1"/>
  </r>
  <r>
    <s v="ORD1460"/>
    <x v="623"/>
    <x v="2"/>
    <x v="1"/>
    <n v="10800"/>
    <x v="0"/>
    <x v="1"/>
    <s v="Active"/>
    <x v="1"/>
    <s v="Savannah"/>
    <n v="0.1"/>
    <x v="3"/>
    <n v="9720"/>
    <x v="1"/>
  </r>
  <r>
    <s v="ORD1461"/>
    <x v="624"/>
    <x v="1"/>
    <x v="1"/>
    <n v="5400"/>
    <x v="3"/>
    <x v="0"/>
    <s v="Cancelled"/>
    <x v="0"/>
    <s v="Ahafo"/>
    <n v="0.1"/>
    <x v="1"/>
    <n v="4860"/>
    <x v="0"/>
  </r>
  <r>
    <s v="ORD1462"/>
    <x v="416"/>
    <x v="1"/>
    <x v="1"/>
    <n v="5400"/>
    <x v="3"/>
    <x v="1"/>
    <s v="Active"/>
    <x v="1"/>
    <s v="Western"/>
    <n v="0.1"/>
    <x v="1"/>
    <n v="4860"/>
    <x v="1"/>
  </r>
  <r>
    <s v="ORD1463"/>
    <x v="219"/>
    <x v="1"/>
    <x v="0"/>
    <n v="500"/>
    <x v="0"/>
    <x v="2"/>
    <s v="Active"/>
    <x v="1"/>
    <s v="Savannah"/>
    <n v="0"/>
    <x v="3"/>
    <n v="500"/>
    <x v="1"/>
  </r>
  <r>
    <s v="ORD1464"/>
    <x v="625"/>
    <x v="2"/>
    <x v="0"/>
    <n v="1000"/>
    <x v="0"/>
    <x v="2"/>
    <s v="Active"/>
    <x v="1"/>
    <s v="Volta"/>
    <n v="0"/>
    <x v="2"/>
    <n v="1000"/>
    <x v="1"/>
  </r>
  <r>
    <s v="ORD1465"/>
    <x v="468"/>
    <x v="1"/>
    <x v="0"/>
    <n v="500"/>
    <x v="0"/>
    <x v="1"/>
    <s v="Active"/>
    <x v="1"/>
    <s v="Savannah"/>
    <n v="0"/>
    <x v="3"/>
    <n v="500"/>
    <x v="1"/>
  </r>
  <r>
    <s v="ORD1466"/>
    <x v="64"/>
    <x v="2"/>
    <x v="1"/>
    <n v="10800"/>
    <x v="0"/>
    <x v="1"/>
    <s v="Cancelled"/>
    <x v="0"/>
    <s v="Greater Accra"/>
    <n v="0.1"/>
    <x v="0"/>
    <n v="9720"/>
    <x v="0"/>
  </r>
  <r>
    <s v="ORD1467"/>
    <x v="65"/>
    <x v="0"/>
    <x v="1"/>
    <n v="16200"/>
    <x v="2"/>
    <x v="0"/>
    <s v="Cancelled"/>
    <x v="0"/>
    <s v="Western"/>
    <n v="0.1"/>
    <x v="1"/>
    <n v="14580"/>
    <x v="0"/>
  </r>
  <r>
    <s v="ORD1468"/>
    <x v="512"/>
    <x v="0"/>
    <x v="0"/>
    <n v="1500"/>
    <x v="0"/>
    <x v="2"/>
    <s v="Cancelled"/>
    <x v="0"/>
    <s v="Volta"/>
    <n v="0"/>
    <x v="2"/>
    <n v="1500"/>
    <x v="0"/>
  </r>
  <r>
    <s v="ORD1469"/>
    <x v="40"/>
    <x v="2"/>
    <x v="1"/>
    <n v="10800"/>
    <x v="2"/>
    <x v="0"/>
    <s v="Cancelled"/>
    <x v="0"/>
    <s v="Western North"/>
    <n v="0.1"/>
    <x v="1"/>
    <n v="9720"/>
    <x v="0"/>
  </r>
  <r>
    <s v="ORD1470"/>
    <x v="83"/>
    <x v="0"/>
    <x v="1"/>
    <n v="16200"/>
    <x v="0"/>
    <x v="2"/>
    <s v="Cancelled"/>
    <x v="0"/>
    <s v="Volta"/>
    <n v="0.1"/>
    <x v="2"/>
    <n v="14580"/>
    <x v="0"/>
  </r>
  <r>
    <s v="ORD1471"/>
    <x v="585"/>
    <x v="0"/>
    <x v="0"/>
    <n v="1500"/>
    <x v="3"/>
    <x v="0"/>
    <s v="Active"/>
    <x v="1"/>
    <s v="Ahafo"/>
    <n v="0"/>
    <x v="1"/>
    <n v="1500"/>
    <x v="1"/>
  </r>
  <r>
    <s v="ORD1472"/>
    <x v="626"/>
    <x v="1"/>
    <x v="0"/>
    <n v="500"/>
    <x v="2"/>
    <x v="2"/>
    <s v="Cancelled"/>
    <x v="0"/>
    <s v="Western North"/>
    <n v="0"/>
    <x v="1"/>
    <n v="500"/>
    <x v="0"/>
  </r>
  <r>
    <s v="ORD1473"/>
    <x v="275"/>
    <x v="2"/>
    <x v="1"/>
    <n v="10800"/>
    <x v="1"/>
    <x v="1"/>
    <s v="Cancelled"/>
    <x v="0"/>
    <s v="Western"/>
    <n v="0.1"/>
    <x v="1"/>
    <n v="9720"/>
    <x v="0"/>
  </r>
  <r>
    <s v="ORD1474"/>
    <x v="362"/>
    <x v="0"/>
    <x v="0"/>
    <n v="1500"/>
    <x v="3"/>
    <x v="0"/>
    <s v="Cancelled"/>
    <x v="0"/>
    <s v="Western"/>
    <n v="0"/>
    <x v="1"/>
    <n v="1500"/>
    <x v="0"/>
  </r>
  <r>
    <s v="ORD1475"/>
    <x v="627"/>
    <x v="2"/>
    <x v="0"/>
    <n v="1000"/>
    <x v="3"/>
    <x v="0"/>
    <s v="Cancelled"/>
    <x v="0"/>
    <s v="Western"/>
    <n v="0"/>
    <x v="1"/>
    <n v="1000"/>
    <x v="0"/>
  </r>
  <r>
    <s v="ORD1476"/>
    <x v="628"/>
    <x v="1"/>
    <x v="0"/>
    <n v="500"/>
    <x v="0"/>
    <x v="1"/>
    <s v="Active"/>
    <x v="1"/>
    <s v="Ashanti"/>
    <n v="0"/>
    <x v="1"/>
    <n v="500"/>
    <x v="1"/>
  </r>
  <r>
    <s v="ORD1477"/>
    <x v="516"/>
    <x v="1"/>
    <x v="0"/>
    <n v="500"/>
    <x v="0"/>
    <x v="2"/>
    <s v="Active"/>
    <x v="1"/>
    <s v="Ashanti"/>
    <n v="0"/>
    <x v="1"/>
    <n v="500"/>
    <x v="1"/>
  </r>
  <r>
    <s v="ORD1478"/>
    <x v="117"/>
    <x v="2"/>
    <x v="1"/>
    <n v="10800"/>
    <x v="1"/>
    <x v="2"/>
    <s v="Active"/>
    <x v="1"/>
    <s v="Greater Accra"/>
    <n v="0.1"/>
    <x v="0"/>
    <n v="9720"/>
    <x v="1"/>
  </r>
  <r>
    <s v="ORD1479"/>
    <x v="180"/>
    <x v="2"/>
    <x v="1"/>
    <n v="10800"/>
    <x v="0"/>
    <x v="0"/>
    <s v="Active"/>
    <x v="1"/>
    <s v="Ashanti"/>
    <n v="0.1"/>
    <x v="1"/>
    <n v="9720"/>
    <x v="1"/>
  </r>
  <r>
    <s v="ORD1480"/>
    <x v="463"/>
    <x v="1"/>
    <x v="0"/>
    <n v="500"/>
    <x v="0"/>
    <x v="2"/>
    <s v="Active"/>
    <x v="1"/>
    <s v="Volta"/>
    <n v="0"/>
    <x v="2"/>
    <n v="500"/>
    <x v="1"/>
  </r>
  <r>
    <s v="ORD1481"/>
    <x v="126"/>
    <x v="0"/>
    <x v="1"/>
    <n v="16200"/>
    <x v="0"/>
    <x v="2"/>
    <s v="Active"/>
    <x v="1"/>
    <s v="Ashanti"/>
    <n v="0.1"/>
    <x v="1"/>
    <n v="14580"/>
    <x v="1"/>
  </r>
  <r>
    <s v="ORD1482"/>
    <x v="629"/>
    <x v="0"/>
    <x v="1"/>
    <n v="16200"/>
    <x v="0"/>
    <x v="1"/>
    <s v="Active"/>
    <x v="1"/>
    <s v="Savannah"/>
    <n v="0.1"/>
    <x v="3"/>
    <n v="14580"/>
    <x v="1"/>
  </r>
  <r>
    <s v="ORD1483"/>
    <x v="116"/>
    <x v="0"/>
    <x v="1"/>
    <n v="16200"/>
    <x v="2"/>
    <x v="1"/>
    <s v="Active"/>
    <x v="1"/>
    <s v="Western North"/>
    <n v="0.1"/>
    <x v="1"/>
    <n v="14580"/>
    <x v="1"/>
  </r>
  <r>
    <s v="ORD1484"/>
    <x v="517"/>
    <x v="1"/>
    <x v="0"/>
    <n v="500"/>
    <x v="1"/>
    <x v="1"/>
    <s v="Cancelled"/>
    <x v="0"/>
    <s v="Greater Accra"/>
    <n v="0"/>
    <x v="0"/>
    <n v="500"/>
    <x v="0"/>
  </r>
  <r>
    <s v="ORD1485"/>
    <x v="32"/>
    <x v="1"/>
    <x v="0"/>
    <n v="500"/>
    <x v="1"/>
    <x v="1"/>
    <s v="Cancelled"/>
    <x v="0"/>
    <s v="Greater Accra"/>
    <n v="0"/>
    <x v="0"/>
    <n v="500"/>
    <x v="0"/>
  </r>
  <r>
    <s v="ORD1486"/>
    <x v="513"/>
    <x v="1"/>
    <x v="1"/>
    <n v="5400"/>
    <x v="1"/>
    <x v="0"/>
    <s v="Cancelled"/>
    <x v="0"/>
    <s v="Central"/>
    <n v="0.1"/>
    <x v="0"/>
    <n v="4860"/>
    <x v="0"/>
  </r>
  <r>
    <s v="ORD1487"/>
    <x v="505"/>
    <x v="2"/>
    <x v="1"/>
    <n v="10800"/>
    <x v="1"/>
    <x v="0"/>
    <s v="Cancelled"/>
    <x v="0"/>
    <s v="Greater Accra"/>
    <n v="0.1"/>
    <x v="0"/>
    <n v="9720"/>
    <x v="0"/>
  </r>
  <r>
    <s v="ORD1488"/>
    <x v="343"/>
    <x v="0"/>
    <x v="0"/>
    <n v="1500"/>
    <x v="1"/>
    <x v="1"/>
    <s v="Cancelled"/>
    <x v="0"/>
    <s v="Central"/>
    <n v="0"/>
    <x v="0"/>
    <n v="1500"/>
    <x v="0"/>
  </r>
  <r>
    <s v="ORD1489"/>
    <x v="256"/>
    <x v="2"/>
    <x v="1"/>
    <n v="10800"/>
    <x v="1"/>
    <x v="2"/>
    <s v="Active"/>
    <x v="1"/>
    <s v="Greater Accra"/>
    <n v="0.1"/>
    <x v="0"/>
    <n v="9720"/>
    <x v="1"/>
  </r>
  <r>
    <s v="ORD1490"/>
    <x v="488"/>
    <x v="1"/>
    <x v="0"/>
    <n v="500"/>
    <x v="1"/>
    <x v="0"/>
    <s v="Active"/>
    <x v="1"/>
    <s v="Central"/>
    <n v="0"/>
    <x v="0"/>
    <n v="500"/>
    <x v="1"/>
  </r>
  <r>
    <s v="ORD1491"/>
    <x v="630"/>
    <x v="0"/>
    <x v="0"/>
    <n v="1500"/>
    <x v="3"/>
    <x v="1"/>
    <s v="Cancelled"/>
    <x v="0"/>
    <s v="Oti"/>
    <n v="0"/>
    <x v="2"/>
    <n v="1500"/>
    <x v="0"/>
  </r>
  <r>
    <s v="ORD1492"/>
    <x v="631"/>
    <x v="1"/>
    <x v="1"/>
    <n v="5400"/>
    <x v="0"/>
    <x v="2"/>
    <s v="Cancelled"/>
    <x v="0"/>
    <s v="Savannah"/>
    <n v="0.1"/>
    <x v="3"/>
    <n v="4860"/>
    <x v="0"/>
  </r>
  <r>
    <s v="ORD1493"/>
    <x v="185"/>
    <x v="1"/>
    <x v="1"/>
    <n v="5400"/>
    <x v="1"/>
    <x v="2"/>
    <s v="Active"/>
    <x v="1"/>
    <s v="Greater Accra"/>
    <n v="0.1"/>
    <x v="0"/>
    <n v="4860"/>
    <x v="1"/>
  </r>
  <r>
    <s v="ORD1494"/>
    <x v="501"/>
    <x v="1"/>
    <x v="0"/>
    <n v="500"/>
    <x v="3"/>
    <x v="2"/>
    <s v="Active"/>
    <x v="1"/>
    <s v="Ahafo"/>
    <n v="0"/>
    <x v="1"/>
    <n v="500"/>
    <x v="1"/>
  </r>
  <r>
    <s v="ORD1495"/>
    <x v="446"/>
    <x v="2"/>
    <x v="1"/>
    <n v="10800"/>
    <x v="1"/>
    <x v="2"/>
    <s v="Cancelled"/>
    <x v="0"/>
    <s v="Central"/>
    <n v="0.1"/>
    <x v="0"/>
    <n v="9720"/>
    <x v="0"/>
  </r>
  <r>
    <s v="ORD1496"/>
    <x v="96"/>
    <x v="1"/>
    <x v="0"/>
    <n v="500"/>
    <x v="2"/>
    <x v="2"/>
    <s v="Cancelled"/>
    <x v="0"/>
    <s v="Western"/>
    <n v="0"/>
    <x v="1"/>
    <n v="500"/>
    <x v="0"/>
  </r>
  <r>
    <s v="ORD1497"/>
    <x v="394"/>
    <x v="0"/>
    <x v="1"/>
    <n v="16200"/>
    <x v="0"/>
    <x v="0"/>
    <s v="Cancelled"/>
    <x v="0"/>
    <s v="Upper East"/>
    <n v="0.1"/>
    <x v="3"/>
    <n v="14580"/>
    <x v="0"/>
  </r>
  <r>
    <s v="ORD1498"/>
    <x v="307"/>
    <x v="2"/>
    <x v="0"/>
    <n v="1000"/>
    <x v="3"/>
    <x v="1"/>
    <s v="Cancelled"/>
    <x v="0"/>
    <s v="Ashanti"/>
    <n v="0"/>
    <x v="1"/>
    <n v="1000"/>
    <x v="0"/>
  </r>
  <r>
    <s v="ORD1499"/>
    <x v="206"/>
    <x v="1"/>
    <x v="0"/>
    <n v="500"/>
    <x v="3"/>
    <x v="0"/>
    <s v="Cancelled"/>
    <x v="0"/>
    <s v="Greater Accra"/>
    <n v="0"/>
    <x v="0"/>
    <n v="500"/>
    <x v="0"/>
  </r>
  <r>
    <s v="ORD1500"/>
    <x v="615"/>
    <x v="1"/>
    <x v="0"/>
    <n v="500"/>
    <x v="2"/>
    <x v="0"/>
    <s v="Cancelled"/>
    <x v="0"/>
    <s v="Bono"/>
    <n v="0"/>
    <x v="1"/>
    <n v="500"/>
    <x v="0"/>
  </r>
  <r>
    <s v="ORD1501"/>
    <x v="540"/>
    <x v="0"/>
    <x v="1"/>
    <n v="16200"/>
    <x v="2"/>
    <x v="1"/>
    <s v="Active"/>
    <x v="1"/>
    <s v="Northern"/>
    <n v="0.1"/>
    <x v="3"/>
    <n v="14580"/>
    <x v="1"/>
  </r>
  <r>
    <s v="ORD1502"/>
    <x v="309"/>
    <x v="1"/>
    <x v="0"/>
    <n v="500"/>
    <x v="1"/>
    <x v="2"/>
    <s v="Cancelled"/>
    <x v="0"/>
    <s v="Western"/>
    <n v="0"/>
    <x v="1"/>
    <n v="500"/>
    <x v="0"/>
  </r>
  <r>
    <s v="ORD1503"/>
    <x v="493"/>
    <x v="1"/>
    <x v="1"/>
    <n v="5400"/>
    <x v="3"/>
    <x v="1"/>
    <s v="Cancelled"/>
    <x v="0"/>
    <s v="Oti"/>
    <n v="0.1"/>
    <x v="2"/>
    <n v="4860"/>
    <x v="0"/>
  </r>
  <r>
    <s v="ORD1504"/>
    <x v="632"/>
    <x v="2"/>
    <x v="0"/>
    <n v="1000"/>
    <x v="3"/>
    <x v="2"/>
    <s v="Cancelled"/>
    <x v="0"/>
    <s v="Ahafo"/>
    <n v="0"/>
    <x v="1"/>
    <n v="1000"/>
    <x v="0"/>
  </r>
  <r>
    <s v="ORD1505"/>
    <x v="276"/>
    <x v="0"/>
    <x v="0"/>
    <n v="1500"/>
    <x v="3"/>
    <x v="0"/>
    <s v="Active"/>
    <x v="1"/>
    <s v="Ashanti"/>
    <n v="0"/>
    <x v="1"/>
    <n v="1500"/>
    <x v="1"/>
  </r>
  <r>
    <s v="ORD1506"/>
    <x v="115"/>
    <x v="1"/>
    <x v="0"/>
    <n v="500"/>
    <x v="1"/>
    <x v="2"/>
    <s v="Cancelled"/>
    <x v="0"/>
    <s v="Western"/>
    <n v="0"/>
    <x v="1"/>
    <n v="500"/>
    <x v="0"/>
  </r>
  <r>
    <s v="ORD1507"/>
    <x v="7"/>
    <x v="1"/>
    <x v="0"/>
    <n v="500"/>
    <x v="3"/>
    <x v="2"/>
    <s v="Active"/>
    <x v="1"/>
    <s v="Greater Accra"/>
    <n v="0"/>
    <x v="0"/>
    <n v="500"/>
    <x v="1"/>
  </r>
  <r>
    <s v="ORD1508"/>
    <x v="498"/>
    <x v="0"/>
    <x v="0"/>
    <n v="1500"/>
    <x v="3"/>
    <x v="2"/>
    <s v="Active"/>
    <x v="1"/>
    <s v="Ashanti"/>
    <n v="0"/>
    <x v="1"/>
    <n v="1500"/>
    <x v="1"/>
  </r>
  <r>
    <s v="ORD1509"/>
    <x v="628"/>
    <x v="2"/>
    <x v="1"/>
    <n v="10800"/>
    <x v="3"/>
    <x v="2"/>
    <s v="Active"/>
    <x v="1"/>
    <s v="Oti"/>
    <n v="0.1"/>
    <x v="2"/>
    <n v="9720"/>
    <x v="1"/>
  </r>
  <r>
    <s v="ORD1510"/>
    <x v="353"/>
    <x v="0"/>
    <x v="0"/>
    <n v="1500"/>
    <x v="3"/>
    <x v="1"/>
    <s v="Cancelled"/>
    <x v="0"/>
    <s v="Western"/>
    <n v="0"/>
    <x v="1"/>
    <n v="1500"/>
    <x v="0"/>
  </r>
  <r>
    <s v="ORD1511"/>
    <x v="423"/>
    <x v="2"/>
    <x v="0"/>
    <n v="1000"/>
    <x v="0"/>
    <x v="1"/>
    <s v="Active"/>
    <x v="1"/>
    <s v="Upper East"/>
    <n v="0"/>
    <x v="3"/>
    <n v="1000"/>
    <x v="1"/>
  </r>
  <r>
    <s v="ORD1512"/>
    <x v="462"/>
    <x v="1"/>
    <x v="1"/>
    <n v="5400"/>
    <x v="3"/>
    <x v="0"/>
    <s v="Active"/>
    <x v="1"/>
    <s v="Greater Accra"/>
    <n v="0.1"/>
    <x v="0"/>
    <n v="4860"/>
    <x v="1"/>
  </r>
  <r>
    <s v="ORD1513"/>
    <x v="74"/>
    <x v="0"/>
    <x v="0"/>
    <n v="1500"/>
    <x v="0"/>
    <x v="1"/>
    <s v="Active"/>
    <x v="1"/>
    <s v="Savannah"/>
    <n v="0"/>
    <x v="3"/>
    <n v="1500"/>
    <x v="1"/>
  </r>
  <r>
    <s v="ORD1514"/>
    <x v="270"/>
    <x v="0"/>
    <x v="1"/>
    <n v="16200"/>
    <x v="3"/>
    <x v="0"/>
    <s v="Active"/>
    <x v="1"/>
    <s v="Ahafo"/>
    <n v="0.1"/>
    <x v="1"/>
    <n v="14580"/>
    <x v="1"/>
  </r>
  <r>
    <s v="ORD1515"/>
    <x v="633"/>
    <x v="1"/>
    <x v="1"/>
    <n v="5400"/>
    <x v="1"/>
    <x v="1"/>
    <s v="Cancelled"/>
    <x v="0"/>
    <s v="Ashanti"/>
    <n v="0.1"/>
    <x v="1"/>
    <n v="4860"/>
    <x v="0"/>
  </r>
  <r>
    <s v="ORD1516"/>
    <x v="208"/>
    <x v="2"/>
    <x v="1"/>
    <n v="10800"/>
    <x v="1"/>
    <x v="2"/>
    <s v="Active"/>
    <x v="1"/>
    <s v="Central"/>
    <n v="0.1"/>
    <x v="0"/>
    <n v="9720"/>
    <x v="1"/>
  </r>
  <r>
    <s v="ORD1517"/>
    <x v="161"/>
    <x v="1"/>
    <x v="0"/>
    <n v="500"/>
    <x v="2"/>
    <x v="0"/>
    <s v="Cancelled"/>
    <x v="0"/>
    <s v="Western"/>
    <n v="0"/>
    <x v="1"/>
    <n v="500"/>
    <x v="0"/>
  </r>
  <r>
    <s v="ORD1518"/>
    <x v="36"/>
    <x v="0"/>
    <x v="1"/>
    <n v="16200"/>
    <x v="1"/>
    <x v="0"/>
    <s v="Cancelled"/>
    <x v="0"/>
    <s v="Ashanti"/>
    <n v="0.1"/>
    <x v="1"/>
    <n v="14580"/>
    <x v="0"/>
  </r>
  <r>
    <s v="ORD1519"/>
    <x v="546"/>
    <x v="0"/>
    <x v="1"/>
    <n v="16200"/>
    <x v="2"/>
    <x v="0"/>
    <s v="Active"/>
    <x v="1"/>
    <s v="Western"/>
    <n v="0.1"/>
    <x v="1"/>
    <n v="14580"/>
    <x v="1"/>
  </r>
  <r>
    <s v="ORD1520"/>
    <x v="428"/>
    <x v="2"/>
    <x v="1"/>
    <n v="10800"/>
    <x v="1"/>
    <x v="1"/>
    <s v="Cancelled"/>
    <x v="0"/>
    <s v="Greater Accra"/>
    <n v="0.1"/>
    <x v="0"/>
    <n v="9720"/>
    <x v="0"/>
  </r>
  <r>
    <s v="ORD1521"/>
    <x v="16"/>
    <x v="1"/>
    <x v="1"/>
    <n v="5400"/>
    <x v="0"/>
    <x v="2"/>
    <s v="Active"/>
    <x v="1"/>
    <s v="Savannah"/>
    <n v="0.1"/>
    <x v="3"/>
    <n v="4860"/>
    <x v="1"/>
  </r>
  <r>
    <s v="ORD1522"/>
    <x v="226"/>
    <x v="1"/>
    <x v="0"/>
    <n v="500"/>
    <x v="2"/>
    <x v="1"/>
    <s v="Cancelled"/>
    <x v="0"/>
    <s v="Western"/>
    <n v="0"/>
    <x v="1"/>
    <n v="500"/>
    <x v="0"/>
  </r>
  <r>
    <s v="ORD1523"/>
    <x v="525"/>
    <x v="0"/>
    <x v="0"/>
    <n v="1500"/>
    <x v="2"/>
    <x v="1"/>
    <s v="Active"/>
    <x v="1"/>
    <s v="Northern"/>
    <n v="0"/>
    <x v="3"/>
    <n v="1500"/>
    <x v="1"/>
  </r>
  <r>
    <s v="ORD1524"/>
    <x v="27"/>
    <x v="1"/>
    <x v="0"/>
    <n v="500"/>
    <x v="2"/>
    <x v="1"/>
    <s v="Cancelled"/>
    <x v="0"/>
    <s v="Western"/>
    <n v="0"/>
    <x v="1"/>
    <n v="500"/>
    <x v="0"/>
  </r>
  <r>
    <s v="ORD1525"/>
    <x v="452"/>
    <x v="0"/>
    <x v="1"/>
    <n v="16200"/>
    <x v="3"/>
    <x v="1"/>
    <s v="Active"/>
    <x v="1"/>
    <s v="Oti"/>
    <n v="0.1"/>
    <x v="2"/>
    <n v="14580"/>
    <x v="1"/>
  </r>
  <r>
    <s v="ORD1526"/>
    <x v="146"/>
    <x v="0"/>
    <x v="1"/>
    <n v="16200"/>
    <x v="3"/>
    <x v="2"/>
    <s v="Active"/>
    <x v="1"/>
    <s v="Ashanti"/>
    <n v="0.1"/>
    <x v="1"/>
    <n v="14580"/>
    <x v="1"/>
  </r>
  <r>
    <s v="ORD1527"/>
    <x v="277"/>
    <x v="2"/>
    <x v="1"/>
    <n v="10800"/>
    <x v="3"/>
    <x v="1"/>
    <s v="Active"/>
    <x v="1"/>
    <s v="Western"/>
    <n v="0.1"/>
    <x v="1"/>
    <n v="9720"/>
    <x v="1"/>
  </r>
  <r>
    <s v="ORD1528"/>
    <x v="223"/>
    <x v="2"/>
    <x v="1"/>
    <n v="10800"/>
    <x v="3"/>
    <x v="0"/>
    <s v="Active"/>
    <x v="1"/>
    <s v="Greater Accra"/>
    <n v="0.1"/>
    <x v="0"/>
    <n v="9720"/>
    <x v="1"/>
  </r>
  <r>
    <s v="ORD1529"/>
    <x v="575"/>
    <x v="0"/>
    <x v="1"/>
    <n v="16200"/>
    <x v="1"/>
    <x v="2"/>
    <s v="Active"/>
    <x v="1"/>
    <s v="Western"/>
    <n v="0.1"/>
    <x v="1"/>
    <n v="14580"/>
    <x v="1"/>
  </r>
  <r>
    <s v="ORD1530"/>
    <x v="581"/>
    <x v="2"/>
    <x v="1"/>
    <n v="10800"/>
    <x v="2"/>
    <x v="0"/>
    <s v="Active"/>
    <x v="1"/>
    <s v="Western"/>
    <n v="0.1"/>
    <x v="1"/>
    <n v="9720"/>
    <x v="1"/>
  </r>
  <r>
    <s v="ORD1531"/>
    <x v="634"/>
    <x v="2"/>
    <x v="1"/>
    <n v="10800"/>
    <x v="1"/>
    <x v="2"/>
    <s v="Cancelled"/>
    <x v="0"/>
    <s v="Central"/>
    <n v="0.1"/>
    <x v="0"/>
    <n v="9720"/>
    <x v="0"/>
  </r>
  <r>
    <s v="ORD1532"/>
    <x v="401"/>
    <x v="2"/>
    <x v="1"/>
    <n v="10800"/>
    <x v="3"/>
    <x v="2"/>
    <s v="Cancelled"/>
    <x v="0"/>
    <s v="Western"/>
    <n v="0.1"/>
    <x v="1"/>
    <n v="9720"/>
    <x v="0"/>
  </r>
  <r>
    <s v="ORD1533"/>
    <x v="471"/>
    <x v="0"/>
    <x v="0"/>
    <n v="1500"/>
    <x v="3"/>
    <x v="0"/>
    <s v="Active"/>
    <x v="1"/>
    <s v="Ahafo"/>
    <n v="0"/>
    <x v="1"/>
    <n v="1500"/>
    <x v="1"/>
  </r>
  <r>
    <s v="ORD1534"/>
    <x v="205"/>
    <x v="1"/>
    <x v="1"/>
    <n v="5400"/>
    <x v="0"/>
    <x v="2"/>
    <s v="Cancelled"/>
    <x v="0"/>
    <s v="Volta"/>
    <n v="0.1"/>
    <x v="2"/>
    <n v="4860"/>
    <x v="0"/>
  </r>
  <r>
    <s v="ORD1535"/>
    <x v="299"/>
    <x v="1"/>
    <x v="1"/>
    <n v="5400"/>
    <x v="2"/>
    <x v="0"/>
    <s v="Active"/>
    <x v="1"/>
    <s v="Western North"/>
    <n v="0.1"/>
    <x v="1"/>
    <n v="4860"/>
    <x v="1"/>
  </r>
  <r>
    <s v="ORD1536"/>
    <x v="463"/>
    <x v="1"/>
    <x v="0"/>
    <n v="500"/>
    <x v="2"/>
    <x v="2"/>
    <s v="Cancelled"/>
    <x v="0"/>
    <s v="Western North"/>
    <n v="0"/>
    <x v="1"/>
    <n v="500"/>
    <x v="0"/>
  </r>
  <r>
    <s v="ORD1537"/>
    <x v="371"/>
    <x v="1"/>
    <x v="1"/>
    <n v="5400"/>
    <x v="1"/>
    <x v="2"/>
    <s v="Cancelled"/>
    <x v="0"/>
    <s v="Western"/>
    <n v="0.1"/>
    <x v="1"/>
    <n v="4860"/>
    <x v="0"/>
  </r>
  <r>
    <s v="ORD1538"/>
    <x v="88"/>
    <x v="2"/>
    <x v="1"/>
    <n v="10800"/>
    <x v="2"/>
    <x v="2"/>
    <s v="Cancelled"/>
    <x v="0"/>
    <s v="Western North"/>
    <n v="0.1"/>
    <x v="1"/>
    <n v="9720"/>
    <x v="0"/>
  </r>
  <r>
    <s v="ORD1539"/>
    <x v="289"/>
    <x v="1"/>
    <x v="0"/>
    <n v="500"/>
    <x v="3"/>
    <x v="2"/>
    <s v="Active"/>
    <x v="1"/>
    <s v="Ahafo"/>
    <n v="0"/>
    <x v="1"/>
    <n v="500"/>
    <x v="1"/>
  </r>
  <r>
    <s v="ORD1540"/>
    <x v="404"/>
    <x v="2"/>
    <x v="0"/>
    <n v="1000"/>
    <x v="1"/>
    <x v="2"/>
    <s v="Cancelled"/>
    <x v="0"/>
    <s v="Ashanti"/>
    <n v="0"/>
    <x v="1"/>
    <n v="1000"/>
    <x v="0"/>
  </r>
  <r>
    <s v="ORD1541"/>
    <x v="635"/>
    <x v="2"/>
    <x v="1"/>
    <n v="10800"/>
    <x v="2"/>
    <x v="2"/>
    <s v="Cancelled"/>
    <x v="0"/>
    <s v="Western"/>
    <n v="0.1"/>
    <x v="1"/>
    <n v="9720"/>
    <x v="0"/>
  </r>
  <r>
    <s v="ORD1542"/>
    <x v="177"/>
    <x v="1"/>
    <x v="1"/>
    <n v="5400"/>
    <x v="2"/>
    <x v="2"/>
    <s v="Cancelled"/>
    <x v="0"/>
    <s v="Bono"/>
    <n v="0.1"/>
    <x v="1"/>
    <n v="4860"/>
    <x v="0"/>
  </r>
  <r>
    <s v="ORD1543"/>
    <x v="636"/>
    <x v="2"/>
    <x v="0"/>
    <n v="1000"/>
    <x v="0"/>
    <x v="1"/>
    <s v="Cancelled"/>
    <x v="0"/>
    <s v="Ashanti"/>
    <n v="0"/>
    <x v="1"/>
    <n v="1000"/>
    <x v="0"/>
  </r>
  <r>
    <s v="ORD1544"/>
    <x v="573"/>
    <x v="2"/>
    <x v="1"/>
    <n v="10800"/>
    <x v="0"/>
    <x v="2"/>
    <s v="Cancelled"/>
    <x v="0"/>
    <s v="Volta"/>
    <n v="0.1"/>
    <x v="2"/>
    <n v="9720"/>
    <x v="0"/>
  </r>
  <r>
    <s v="ORD1545"/>
    <x v="453"/>
    <x v="2"/>
    <x v="1"/>
    <n v="10800"/>
    <x v="0"/>
    <x v="2"/>
    <s v="Active"/>
    <x v="1"/>
    <s v="Volta"/>
    <n v="0.1"/>
    <x v="2"/>
    <n v="9720"/>
    <x v="1"/>
  </r>
  <r>
    <s v="ORD1546"/>
    <x v="108"/>
    <x v="0"/>
    <x v="0"/>
    <n v="1500"/>
    <x v="2"/>
    <x v="1"/>
    <s v="Cancelled"/>
    <x v="0"/>
    <s v="Bono"/>
    <n v="0"/>
    <x v="1"/>
    <n v="1500"/>
    <x v="0"/>
  </r>
  <r>
    <s v="ORD1547"/>
    <x v="153"/>
    <x v="2"/>
    <x v="1"/>
    <n v="10800"/>
    <x v="3"/>
    <x v="2"/>
    <s v="Cancelled"/>
    <x v="0"/>
    <s v="Greater Accra"/>
    <n v="0.1"/>
    <x v="0"/>
    <n v="9720"/>
    <x v="0"/>
  </r>
  <r>
    <s v="ORD1548"/>
    <x v="452"/>
    <x v="0"/>
    <x v="1"/>
    <n v="16200"/>
    <x v="0"/>
    <x v="1"/>
    <s v="Cancelled"/>
    <x v="0"/>
    <s v="Volta"/>
    <n v="0.1"/>
    <x v="2"/>
    <n v="14580"/>
    <x v="0"/>
  </r>
  <r>
    <s v="ORD1549"/>
    <x v="40"/>
    <x v="0"/>
    <x v="0"/>
    <n v="1500"/>
    <x v="1"/>
    <x v="2"/>
    <s v="Cancelled"/>
    <x v="0"/>
    <s v="Central"/>
    <n v="0"/>
    <x v="0"/>
    <n v="1500"/>
    <x v="0"/>
  </r>
  <r>
    <s v="ORD1550"/>
    <x v="180"/>
    <x v="1"/>
    <x v="1"/>
    <n v="5400"/>
    <x v="3"/>
    <x v="2"/>
    <s v="Cancelled"/>
    <x v="0"/>
    <s v="Greater Accra"/>
    <n v="0.1"/>
    <x v="0"/>
    <n v="4860"/>
    <x v="0"/>
  </r>
  <r>
    <s v="ORD1551"/>
    <x v="318"/>
    <x v="2"/>
    <x v="0"/>
    <n v="1000"/>
    <x v="3"/>
    <x v="2"/>
    <s v="Cancelled"/>
    <x v="0"/>
    <s v="Ashanti"/>
    <n v="0"/>
    <x v="1"/>
    <n v="1000"/>
    <x v="0"/>
  </r>
  <r>
    <s v="ORD1552"/>
    <x v="637"/>
    <x v="2"/>
    <x v="0"/>
    <n v="1000"/>
    <x v="1"/>
    <x v="1"/>
    <s v="Active"/>
    <x v="1"/>
    <s v="Western"/>
    <n v="0"/>
    <x v="1"/>
    <n v="1000"/>
    <x v="1"/>
  </r>
  <r>
    <s v="ORD1553"/>
    <x v="580"/>
    <x v="1"/>
    <x v="0"/>
    <n v="500"/>
    <x v="3"/>
    <x v="1"/>
    <s v="Cancelled"/>
    <x v="0"/>
    <s v="Ashanti"/>
    <n v="0"/>
    <x v="1"/>
    <n v="500"/>
    <x v="0"/>
  </r>
  <r>
    <s v="ORD1554"/>
    <x v="386"/>
    <x v="1"/>
    <x v="0"/>
    <n v="500"/>
    <x v="0"/>
    <x v="1"/>
    <s v="Active"/>
    <x v="1"/>
    <s v="Savannah"/>
    <n v="0"/>
    <x v="3"/>
    <n v="500"/>
    <x v="1"/>
  </r>
  <r>
    <s v="ORD1555"/>
    <x v="408"/>
    <x v="0"/>
    <x v="0"/>
    <n v="1500"/>
    <x v="2"/>
    <x v="0"/>
    <s v="Active"/>
    <x v="1"/>
    <s v="Northern"/>
    <n v="0"/>
    <x v="3"/>
    <n v="1500"/>
    <x v="1"/>
  </r>
  <r>
    <s v="ORD1556"/>
    <x v="37"/>
    <x v="2"/>
    <x v="1"/>
    <n v="10800"/>
    <x v="3"/>
    <x v="0"/>
    <s v="Active"/>
    <x v="1"/>
    <s v="Ahafo"/>
    <n v="0.1"/>
    <x v="1"/>
    <n v="9720"/>
    <x v="1"/>
  </r>
  <r>
    <s v="ORD1557"/>
    <x v="517"/>
    <x v="1"/>
    <x v="0"/>
    <n v="500"/>
    <x v="2"/>
    <x v="1"/>
    <s v="Active"/>
    <x v="1"/>
    <s v="Western North"/>
    <n v="0"/>
    <x v="1"/>
    <n v="500"/>
    <x v="1"/>
  </r>
  <r>
    <s v="ORD1558"/>
    <x v="44"/>
    <x v="1"/>
    <x v="1"/>
    <n v="5400"/>
    <x v="3"/>
    <x v="0"/>
    <s v="Active"/>
    <x v="1"/>
    <s v="Eastern"/>
    <n v="0.1"/>
    <x v="2"/>
    <n v="4860"/>
    <x v="1"/>
  </r>
  <r>
    <s v="ORD1559"/>
    <x v="147"/>
    <x v="1"/>
    <x v="1"/>
    <n v="5400"/>
    <x v="2"/>
    <x v="0"/>
    <s v="Cancelled"/>
    <x v="0"/>
    <s v="Bono"/>
    <n v="0.1"/>
    <x v="1"/>
    <n v="4860"/>
    <x v="0"/>
  </r>
  <r>
    <s v="ORD1560"/>
    <x v="185"/>
    <x v="2"/>
    <x v="0"/>
    <n v="1000"/>
    <x v="0"/>
    <x v="2"/>
    <s v="Cancelled"/>
    <x v="0"/>
    <s v="Volta"/>
    <n v="0"/>
    <x v="2"/>
    <n v="1000"/>
    <x v="0"/>
  </r>
  <r>
    <s v="ORD1561"/>
    <x v="638"/>
    <x v="1"/>
    <x v="0"/>
    <n v="500"/>
    <x v="1"/>
    <x v="2"/>
    <s v="Cancelled"/>
    <x v="0"/>
    <s v="Western"/>
    <n v="0"/>
    <x v="1"/>
    <n v="500"/>
    <x v="0"/>
  </r>
  <r>
    <s v="ORD1562"/>
    <x v="165"/>
    <x v="0"/>
    <x v="1"/>
    <n v="16200"/>
    <x v="1"/>
    <x v="0"/>
    <s v="Cancelled"/>
    <x v="0"/>
    <s v="Greater Accra"/>
    <n v="0.1"/>
    <x v="0"/>
    <n v="14580"/>
    <x v="0"/>
  </r>
  <r>
    <s v="ORD1563"/>
    <x v="334"/>
    <x v="0"/>
    <x v="1"/>
    <n v="16200"/>
    <x v="0"/>
    <x v="2"/>
    <s v="Cancelled"/>
    <x v="0"/>
    <s v="Greater Accra"/>
    <n v="0.1"/>
    <x v="0"/>
    <n v="14580"/>
    <x v="0"/>
  </r>
  <r>
    <s v="ORD1564"/>
    <x v="639"/>
    <x v="1"/>
    <x v="1"/>
    <n v="5400"/>
    <x v="3"/>
    <x v="2"/>
    <s v="Cancelled"/>
    <x v="0"/>
    <s v="Ashanti"/>
    <n v="0.1"/>
    <x v="1"/>
    <n v="4860"/>
    <x v="0"/>
  </r>
  <r>
    <s v="ORD1565"/>
    <x v="288"/>
    <x v="0"/>
    <x v="1"/>
    <n v="16200"/>
    <x v="1"/>
    <x v="2"/>
    <s v="Active"/>
    <x v="1"/>
    <s v="Western"/>
    <n v="0.1"/>
    <x v="1"/>
    <n v="14580"/>
    <x v="1"/>
  </r>
  <r>
    <s v="ORD1566"/>
    <x v="199"/>
    <x v="2"/>
    <x v="1"/>
    <n v="10800"/>
    <x v="2"/>
    <x v="0"/>
    <s v="Active"/>
    <x v="1"/>
    <s v="Western"/>
    <n v="0.1"/>
    <x v="1"/>
    <n v="9720"/>
    <x v="1"/>
  </r>
  <r>
    <s v="ORD1567"/>
    <x v="228"/>
    <x v="1"/>
    <x v="0"/>
    <n v="500"/>
    <x v="1"/>
    <x v="1"/>
    <s v="Active"/>
    <x v="1"/>
    <s v="Central"/>
    <n v="0"/>
    <x v="0"/>
    <n v="500"/>
    <x v="1"/>
  </r>
  <r>
    <s v="ORD1568"/>
    <x v="18"/>
    <x v="1"/>
    <x v="1"/>
    <n v="5400"/>
    <x v="3"/>
    <x v="0"/>
    <s v="Active"/>
    <x v="1"/>
    <s v="Western"/>
    <n v="0.1"/>
    <x v="1"/>
    <n v="4860"/>
    <x v="1"/>
  </r>
  <r>
    <s v="ORD1569"/>
    <x v="301"/>
    <x v="0"/>
    <x v="0"/>
    <n v="1500"/>
    <x v="1"/>
    <x v="0"/>
    <s v="Active"/>
    <x v="1"/>
    <s v="Central"/>
    <n v="0"/>
    <x v="0"/>
    <n v="1500"/>
    <x v="1"/>
  </r>
  <r>
    <s v="ORD1570"/>
    <x v="30"/>
    <x v="0"/>
    <x v="0"/>
    <n v="1500"/>
    <x v="3"/>
    <x v="1"/>
    <s v="Cancelled"/>
    <x v="0"/>
    <s v="Oti"/>
    <n v="0"/>
    <x v="2"/>
    <n v="1500"/>
    <x v="0"/>
  </r>
  <r>
    <s v="ORD1571"/>
    <x v="191"/>
    <x v="1"/>
    <x v="1"/>
    <n v="5400"/>
    <x v="0"/>
    <x v="2"/>
    <s v="Active"/>
    <x v="1"/>
    <s v="Ashanti"/>
    <n v="0.1"/>
    <x v="1"/>
    <n v="4860"/>
    <x v="1"/>
  </r>
  <r>
    <s v="ORD1572"/>
    <x v="640"/>
    <x v="2"/>
    <x v="1"/>
    <n v="10800"/>
    <x v="1"/>
    <x v="2"/>
    <s v="Cancelled"/>
    <x v="0"/>
    <s v="Greater Accra"/>
    <n v="0.1"/>
    <x v="0"/>
    <n v="9720"/>
    <x v="0"/>
  </r>
  <r>
    <s v="ORD1573"/>
    <x v="641"/>
    <x v="1"/>
    <x v="1"/>
    <n v="5400"/>
    <x v="0"/>
    <x v="0"/>
    <s v="Cancelled"/>
    <x v="0"/>
    <s v="Volta"/>
    <n v="0.1"/>
    <x v="2"/>
    <n v="4860"/>
    <x v="0"/>
  </r>
  <r>
    <s v="ORD1574"/>
    <x v="167"/>
    <x v="2"/>
    <x v="1"/>
    <n v="10800"/>
    <x v="3"/>
    <x v="2"/>
    <s v="Cancelled"/>
    <x v="0"/>
    <s v="Oti"/>
    <n v="0.1"/>
    <x v="2"/>
    <n v="9720"/>
    <x v="0"/>
  </r>
  <r>
    <s v="ORD1575"/>
    <x v="363"/>
    <x v="2"/>
    <x v="0"/>
    <n v="1000"/>
    <x v="2"/>
    <x v="2"/>
    <s v="Cancelled"/>
    <x v="0"/>
    <s v="Western"/>
    <n v="0"/>
    <x v="1"/>
    <n v="1000"/>
    <x v="0"/>
  </r>
  <r>
    <s v="ORD1576"/>
    <x v="352"/>
    <x v="0"/>
    <x v="1"/>
    <n v="16200"/>
    <x v="2"/>
    <x v="1"/>
    <s v="Cancelled"/>
    <x v="0"/>
    <s v="Western North"/>
    <n v="0.1"/>
    <x v="1"/>
    <n v="14580"/>
    <x v="0"/>
  </r>
  <r>
    <s v="ORD1577"/>
    <x v="38"/>
    <x v="2"/>
    <x v="0"/>
    <n v="1000"/>
    <x v="2"/>
    <x v="0"/>
    <s v="Cancelled"/>
    <x v="0"/>
    <s v="Western"/>
    <n v="0"/>
    <x v="1"/>
    <n v="1000"/>
    <x v="0"/>
  </r>
  <r>
    <s v="ORD1578"/>
    <x v="265"/>
    <x v="1"/>
    <x v="1"/>
    <n v="5400"/>
    <x v="2"/>
    <x v="1"/>
    <s v="Cancelled"/>
    <x v="0"/>
    <s v="Bono"/>
    <n v="0.1"/>
    <x v="1"/>
    <n v="4860"/>
    <x v="0"/>
  </r>
  <r>
    <s v="ORD1579"/>
    <x v="298"/>
    <x v="1"/>
    <x v="0"/>
    <n v="500"/>
    <x v="2"/>
    <x v="1"/>
    <s v="Cancelled"/>
    <x v="0"/>
    <s v="Bono"/>
    <n v="0"/>
    <x v="1"/>
    <n v="500"/>
    <x v="0"/>
  </r>
  <r>
    <s v="ORD1580"/>
    <x v="370"/>
    <x v="0"/>
    <x v="0"/>
    <n v="1500"/>
    <x v="1"/>
    <x v="1"/>
    <s v="Cancelled"/>
    <x v="0"/>
    <s v="Greater Accra"/>
    <n v="0"/>
    <x v="0"/>
    <n v="1500"/>
    <x v="0"/>
  </r>
  <r>
    <s v="ORD1581"/>
    <x v="206"/>
    <x v="1"/>
    <x v="1"/>
    <n v="5400"/>
    <x v="2"/>
    <x v="2"/>
    <s v="Active"/>
    <x v="1"/>
    <s v="Northern"/>
    <n v="0.1"/>
    <x v="3"/>
    <n v="4860"/>
    <x v="1"/>
  </r>
  <r>
    <s v="ORD1582"/>
    <x v="92"/>
    <x v="0"/>
    <x v="0"/>
    <n v="1500"/>
    <x v="1"/>
    <x v="2"/>
    <s v="Active"/>
    <x v="1"/>
    <s v="Central"/>
    <n v="0"/>
    <x v="0"/>
    <n v="1500"/>
    <x v="1"/>
  </r>
  <r>
    <s v="ORD1583"/>
    <x v="386"/>
    <x v="2"/>
    <x v="0"/>
    <n v="1000"/>
    <x v="3"/>
    <x v="0"/>
    <s v="Cancelled"/>
    <x v="0"/>
    <s v="Western"/>
    <n v="0"/>
    <x v="1"/>
    <n v="1000"/>
    <x v="0"/>
  </r>
  <r>
    <s v="ORD1584"/>
    <x v="374"/>
    <x v="1"/>
    <x v="1"/>
    <n v="5400"/>
    <x v="0"/>
    <x v="2"/>
    <s v="Cancelled"/>
    <x v="0"/>
    <s v="Volta"/>
    <n v="0.1"/>
    <x v="2"/>
    <n v="4860"/>
    <x v="0"/>
  </r>
  <r>
    <s v="ORD1585"/>
    <x v="313"/>
    <x v="2"/>
    <x v="0"/>
    <n v="1000"/>
    <x v="0"/>
    <x v="2"/>
    <s v="Cancelled"/>
    <x v="0"/>
    <s v="Upper East"/>
    <n v="0"/>
    <x v="3"/>
    <n v="1000"/>
    <x v="0"/>
  </r>
  <r>
    <s v="ORD1586"/>
    <x v="286"/>
    <x v="1"/>
    <x v="1"/>
    <n v="5400"/>
    <x v="0"/>
    <x v="0"/>
    <s v="Active"/>
    <x v="1"/>
    <s v="Volta"/>
    <n v="0.1"/>
    <x v="2"/>
    <n v="4860"/>
    <x v="1"/>
  </r>
  <r>
    <s v="ORD1587"/>
    <x v="204"/>
    <x v="0"/>
    <x v="1"/>
    <n v="16200"/>
    <x v="3"/>
    <x v="0"/>
    <s v="Active"/>
    <x v="1"/>
    <s v="Ashanti"/>
    <n v="0.1"/>
    <x v="1"/>
    <n v="14580"/>
    <x v="1"/>
  </r>
  <r>
    <s v="ORD1588"/>
    <x v="433"/>
    <x v="0"/>
    <x v="0"/>
    <n v="1500"/>
    <x v="1"/>
    <x v="1"/>
    <s v="Active"/>
    <x v="1"/>
    <s v="Ashanti"/>
    <n v="0"/>
    <x v="1"/>
    <n v="1500"/>
    <x v="1"/>
  </r>
  <r>
    <s v="ORD1589"/>
    <x v="14"/>
    <x v="1"/>
    <x v="0"/>
    <n v="500"/>
    <x v="0"/>
    <x v="0"/>
    <s v="Cancelled"/>
    <x v="0"/>
    <s v="Greater Accra"/>
    <n v="0"/>
    <x v="0"/>
    <n v="500"/>
    <x v="0"/>
  </r>
  <r>
    <s v="ORD1590"/>
    <x v="333"/>
    <x v="1"/>
    <x v="0"/>
    <n v="500"/>
    <x v="0"/>
    <x v="0"/>
    <s v="Cancelled"/>
    <x v="0"/>
    <s v="Savannah"/>
    <n v="0"/>
    <x v="3"/>
    <n v="500"/>
    <x v="0"/>
  </r>
  <r>
    <s v="ORD1591"/>
    <x v="366"/>
    <x v="1"/>
    <x v="0"/>
    <n v="500"/>
    <x v="1"/>
    <x v="1"/>
    <s v="Active"/>
    <x v="1"/>
    <s v="Greater Accra"/>
    <n v="0"/>
    <x v="0"/>
    <n v="500"/>
    <x v="1"/>
  </r>
  <r>
    <s v="ORD1592"/>
    <x v="51"/>
    <x v="2"/>
    <x v="1"/>
    <n v="10800"/>
    <x v="0"/>
    <x v="0"/>
    <s v="Active"/>
    <x v="1"/>
    <s v="Volta"/>
    <n v="0.1"/>
    <x v="2"/>
    <n v="9720"/>
    <x v="1"/>
  </r>
  <r>
    <s v="ORD1593"/>
    <x v="556"/>
    <x v="1"/>
    <x v="0"/>
    <n v="500"/>
    <x v="0"/>
    <x v="2"/>
    <s v="Cancelled"/>
    <x v="0"/>
    <s v="Volta"/>
    <n v="0"/>
    <x v="2"/>
    <n v="500"/>
    <x v="0"/>
  </r>
  <r>
    <s v="ORD1594"/>
    <x v="91"/>
    <x v="2"/>
    <x v="0"/>
    <n v="1000"/>
    <x v="0"/>
    <x v="0"/>
    <s v="Active"/>
    <x v="1"/>
    <s v="Upper East"/>
    <n v="0"/>
    <x v="3"/>
    <n v="1000"/>
    <x v="1"/>
  </r>
  <r>
    <s v="ORD1595"/>
    <x v="520"/>
    <x v="1"/>
    <x v="1"/>
    <n v="5400"/>
    <x v="2"/>
    <x v="1"/>
    <s v="Cancelled"/>
    <x v="0"/>
    <s v="Bono"/>
    <n v="0.1"/>
    <x v="1"/>
    <n v="4860"/>
    <x v="0"/>
  </r>
  <r>
    <s v="ORD1596"/>
    <x v="390"/>
    <x v="0"/>
    <x v="0"/>
    <n v="1500"/>
    <x v="0"/>
    <x v="0"/>
    <s v="Active"/>
    <x v="1"/>
    <s v="Volta"/>
    <n v="0"/>
    <x v="2"/>
    <n v="1500"/>
    <x v="1"/>
  </r>
  <r>
    <s v="ORD1597"/>
    <x v="303"/>
    <x v="1"/>
    <x v="1"/>
    <n v="5400"/>
    <x v="3"/>
    <x v="1"/>
    <s v="Active"/>
    <x v="1"/>
    <s v="Western"/>
    <n v="0.1"/>
    <x v="1"/>
    <n v="4860"/>
    <x v="1"/>
  </r>
  <r>
    <s v="ORD1598"/>
    <x v="324"/>
    <x v="0"/>
    <x v="1"/>
    <n v="16200"/>
    <x v="1"/>
    <x v="0"/>
    <s v="Cancelled"/>
    <x v="0"/>
    <s v="Western"/>
    <n v="0.1"/>
    <x v="1"/>
    <n v="14580"/>
    <x v="0"/>
  </r>
  <r>
    <s v="ORD1599"/>
    <x v="209"/>
    <x v="2"/>
    <x v="1"/>
    <n v="10800"/>
    <x v="1"/>
    <x v="0"/>
    <s v="Cancelled"/>
    <x v="0"/>
    <s v="Greater Accra"/>
    <n v="0.1"/>
    <x v="0"/>
    <n v="9720"/>
    <x v="0"/>
  </r>
  <r>
    <s v="ORD1600"/>
    <x v="253"/>
    <x v="0"/>
    <x v="1"/>
    <n v="16200"/>
    <x v="1"/>
    <x v="1"/>
    <s v="Cancelled"/>
    <x v="0"/>
    <s v="Western"/>
    <n v="0.1"/>
    <x v="1"/>
    <n v="14580"/>
    <x v="0"/>
  </r>
  <r>
    <s v="ORD1601"/>
    <x v="168"/>
    <x v="2"/>
    <x v="0"/>
    <n v="1000"/>
    <x v="3"/>
    <x v="2"/>
    <s v="Active"/>
    <x v="1"/>
    <s v="Ashanti"/>
    <n v="0"/>
    <x v="1"/>
    <n v="1000"/>
    <x v="1"/>
  </r>
  <r>
    <s v="ORD1602"/>
    <x v="642"/>
    <x v="1"/>
    <x v="1"/>
    <n v="5400"/>
    <x v="0"/>
    <x v="2"/>
    <s v="Active"/>
    <x v="1"/>
    <s v="Savannah"/>
    <n v="0.1"/>
    <x v="3"/>
    <n v="4860"/>
    <x v="1"/>
  </r>
  <r>
    <s v="ORD1603"/>
    <x v="199"/>
    <x v="2"/>
    <x v="0"/>
    <n v="1000"/>
    <x v="2"/>
    <x v="2"/>
    <s v="Cancelled"/>
    <x v="0"/>
    <s v="Bono"/>
    <n v="0"/>
    <x v="1"/>
    <n v="1000"/>
    <x v="0"/>
  </r>
  <r>
    <s v="ORD1604"/>
    <x v="371"/>
    <x v="1"/>
    <x v="1"/>
    <n v="5400"/>
    <x v="3"/>
    <x v="0"/>
    <s v="Active"/>
    <x v="1"/>
    <s v="Oti"/>
    <n v="0.1"/>
    <x v="2"/>
    <n v="4860"/>
    <x v="1"/>
  </r>
  <r>
    <s v="ORD1605"/>
    <x v="643"/>
    <x v="0"/>
    <x v="0"/>
    <n v="1500"/>
    <x v="2"/>
    <x v="0"/>
    <s v="Cancelled"/>
    <x v="0"/>
    <s v="Eastern"/>
    <n v="0"/>
    <x v="2"/>
    <n v="1500"/>
    <x v="0"/>
  </r>
  <r>
    <s v="ORD1606"/>
    <x v="579"/>
    <x v="2"/>
    <x v="1"/>
    <n v="10800"/>
    <x v="3"/>
    <x v="1"/>
    <s v="Active"/>
    <x v="1"/>
    <s v="Ashanti"/>
    <n v="0.1"/>
    <x v="1"/>
    <n v="9720"/>
    <x v="1"/>
  </r>
  <r>
    <s v="ORD1607"/>
    <x v="25"/>
    <x v="1"/>
    <x v="0"/>
    <n v="500"/>
    <x v="3"/>
    <x v="2"/>
    <s v="Cancelled"/>
    <x v="0"/>
    <s v="Ahafo"/>
    <n v="0"/>
    <x v="1"/>
    <n v="500"/>
    <x v="0"/>
  </r>
  <r>
    <s v="ORD1608"/>
    <x v="461"/>
    <x v="2"/>
    <x v="1"/>
    <n v="10800"/>
    <x v="3"/>
    <x v="1"/>
    <s v="Cancelled"/>
    <x v="0"/>
    <s v="Ahafo"/>
    <n v="0.1"/>
    <x v="1"/>
    <n v="9720"/>
    <x v="0"/>
  </r>
  <r>
    <s v="ORD1609"/>
    <x v="532"/>
    <x v="0"/>
    <x v="1"/>
    <n v="16200"/>
    <x v="2"/>
    <x v="0"/>
    <s v="Active"/>
    <x v="1"/>
    <s v="Eastern"/>
    <n v="0.1"/>
    <x v="2"/>
    <n v="14580"/>
    <x v="1"/>
  </r>
  <r>
    <s v="ORD1610"/>
    <x v="550"/>
    <x v="1"/>
    <x v="0"/>
    <n v="500"/>
    <x v="3"/>
    <x v="0"/>
    <s v="Active"/>
    <x v="1"/>
    <s v="Oti"/>
    <n v="0"/>
    <x v="2"/>
    <n v="500"/>
    <x v="1"/>
  </r>
  <r>
    <s v="ORD1611"/>
    <x v="34"/>
    <x v="1"/>
    <x v="0"/>
    <n v="500"/>
    <x v="0"/>
    <x v="1"/>
    <s v="Active"/>
    <x v="1"/>
    <s v="Volta"/>
    <n v="0"/>
    <x v="2"/>
    <n v="500"/>
    <x v="1"/>
  </r>
  <r>
    <s v="ORD1612"/>
    <x v="569"/>
    <x v="2"/>
    <x v="0"/>
    <n v="1000"/>
    <x v="0"/>
    <x v="0"/>
    <s v="Active"/>
    <x v="1"/>
    <s v="Volta"/>
    <n v="0"/>
    <x v="2"/>
    <n v="1000"/>
    <x v="1"/>
  </r>
  <r>
    <s v="ORD1613"/>
    <x v="553"/>
    <x v="2"/>
    <x v="0"/>
    <n v="1000"/>
    <x v="3"/>
    <x v="1"/>
    <s v="Cancelled"/>
    <x v="0"/>
    <s v="Greater Accra"/>
    <n v="0"/>
    <x v="0"/>
    <n v="1000"/>
    <x v="0"/>
  </r>
  <r>
    <s v="ORD1614"/>
    <x v="644"/>
    <x v="1"/>
    <x v="0"/>
    <n v="500"/>
    <x v="2"/>
    <x v="0"/>
    <s v="Cancelled"/>
    <x v="0"/>
    <s v="Eastern"/>
    <n v="0"/>
    <x v="2"/>
    <n v="500"/>
    <x v="0"/>
  </r>
  <r>
    <s v="ORD1615"/>
    <x v="645"/>
    <x v="2"/>
    <x v="1"/>
    <n v="10800"/>
    <x v="1"/>
    <x v="0"/>
    <s v="Active"/>
    <x v="1"/>
    <s v="Central"/>
    <n v="0.1"/>
    <x v="0"/>
    <n v="9720"/>
    <x v="1"/>
  </r>
  <r>
    <s v="ORD1616"/>
    <x v="646"/>
    <x v="1"/>
    <x v="0"/>
    <n v="500"/>
    <x v="1"/>
    <x v="2"/>
    <s v="Cancelled"/>
    <x v="0"/>
    <s v="Greater Accra"/>
    <n v="0"/>
    <x v="0"/>
    <n v="500"/>
    <x v="0"/>
  </r>
  <r>
    <s v="ORD1617"/>
    <x v="647"/>
    <x v="1"/>
    <x v="0"/>
    <n v="500"/>
    <x v="0"/>
    <x v="2"/>
    <s v="Cancelled"/>
    <x v="0"/>
    <s v="Greater Accra"/>
    <n v="0"/>
    <x v="0"/>
    <n v="500"/>
    <x v="0"/>
  </r>
  <r>
    <s v="ORD1618"/>
    <x v="648"/>
    <x v="0"/>
    <x v="1"/>
    <n v="16200"/>
    <x v="1"/>
    <x v="0"/>
    <s v="Active"/>
    <x v="1"/>
    <s v="Greater Accra"/>
    <n v="0.1"/>
    <x v="0"/>
    <n v="14580"/>
    <x v="1"/>
  </r>
  <r>
    <s v="ORD1619"/>
    <x v="193"/>
    <x v="0"/>
    <x v="1"/>
    <n v="16200"/>
    <x v="3"/>
    <x v="1"/>
    <s v="Cancelled"/>
    <x v="0"/>
    <s v="Ahafo"/>
    <n v="0.1"/>
    <x v="1"/>
    <n v="14580"/>
    <x v="0"/>
  </r>
  <r>
    <s v="ORD1620"/>
    <x v="121"/>
    <x v="0"/>
    <x v="1"/>
    <n v="16200"/>
    <x v="0"/>
    <x v="1"/>
    <s v="Cancelled"/>
    <x v="0"/>
    <s v="Savannah"/>
    <n v="0.1"/>
    <x v="3"/>
    <n v="14580"/>
    <x v="0"/>
  </r>
  <r>
    <s v="ORD1621"/>
    <x v="634"/>
    <x v="1"/>
    <x v="1"/>
    <n v="5400"/>
    <x v="0"/>
    <x v="1"/>
    <s v="Active"/>
    <x v="1"/>
    <s v="Ashanti"/>
    <n v="0.1"/>
    <x v="1"/>
    <n v="4860"/>
    <x v="1"/>
  </r>
  <r>
    <s v="ORD1622"/>
    <x v="387"/>
    <x v="0"/>
    <x v="0"/>
    <n v="1500"/>
    <x v="1"/>
    <x v="2"/>
    <s v="Cancelled"/>
    <x v="0"/>
    <s v="Greater Accra"/>
    <n v="0"/>
    <x v="0"/>
    <n v="1500"/>
    <x v="0"/>
  </r>
  <r>
    <s v="ORD1623"/>
    <x v="77"/>
    <x v="2"/>
    <x v="0"/>
    <n v="1000"/>
    <x v="3"/>
    <x v="1"/>
    <s v="Active"/>
    <x v="1"/>
    <s v="Western"/>
    <n v="0"/>
    <x v="1"/>
    <n v="1000"/>
    <x v="1"/>
  </r>
  <r>
    <s v="ORD1624"/>
    <x v="50"/>
    <x v="1"/>
    <x v="0"/>
    <n v="500"/>
    <x v="1"/>
    <x v="0"/>
    <s v="Cancelled"/>
    <x v="0"/>
    <s v="Greater Accra"/>
    <n v="0"/>
    <x v="0"/>
    <n v="500"/>
    <x v="0"/>
  </r>
  <r>
    <s v="ORD1625"/>
    <x v="548"/>
    <x v="1"/>
    <x v="0"/>
    <n v="500"/>
    <x v="2"/>
    <x v="2"/>
    <s v="Cancelled"/>
    <x v="0"/>
    <s v="Northern"/>
    <n v="0"/>
    <x v="3"/>
    <n v="500"/>
    <x v="0"/>
  </r>
  <r>
    <s v="ORD1626"/>
    <x v="590"/>
    <x v="1"/>
    <x v="0"/>
    <n v="500"/>
    <x v="0"/>
    <x v="0"/>
    <s v="Active"/>
    <x v="1"/>
    <s v="Savannah"/>
    <n v="0"/>
    <x v="3"/>
    <n v="500"/>
    <x v="1"/>
  </r>
  <r>
    <s v="ORD1627"/>
    <x v="649"/>
    <x v="1"/>
    <x v="1"/>
    <n v="5400"/>
    <x v="1"/>
    <x v="0"/>
    <s v="Cancelled"/>
    <x v="0"/>
    <s v="Ashanti"/>
    <n v="0.1"/>
    <x v="1"/>
    <n v="4860"/>
    <x v="0"/>
  </r>
  <r>
    <s v="ORD1628"/>
    <x v="521"/>
    <x v="1"/>
    <x v="1"/>
    <n v="5400"/>
    <x v="1"/>
    <x v="2"/>
    <s v="Cancelled"/>
    <x v="0"/>
    <s v="Western"/>
    <n v="0.1"/>
    <x v="1"/>
    <n v="4860"/>
    <x v="0"/>
  </r>
  <r>
    <s v="ORD1629"/>
    <x v="361"/>
    <x v="0"/>
    <x v="1"/>
    <n v="16200"/>
    <x v="2"/>
    <x v="1"/>
    <s v="Active"/>
    <x v="1"/>
    <s v="Western North"/>
    <n v="0.1"/>
    <x v="1"/>
    <n v="14580"/>
    <x v="1"/>
  </r>
  <r>
    <s v="ORD1630"/>
    <x v="66"/>
    <x v="2"/>
    <x v="1"/>
    <n v="10800"/>
    <x v="3"/>
    <x v="2"/>
    <s v="Active"/>
    <x v="1"/>
    <s v="Western"/>
    <n v="0.1"/>
    <x v="1"/>
    <n v="9720"/>
    <x v="1"/>
  </r>
  <r>
    <s v="ORD1631"/>
    <x v="522"/>
    <x v="2"/>
    <x v="0"/>
    <n v="1000"/>
    <x v="3"/>
    <x v="1"/>
    <s v="Active"/>
    <x v="1"/>
    <s v="Greater Accra"/>
    <n v="0"/>
    <x v="0"/>
    <n v="1000"/>
    <x v="1"/>
  </r>
  <r>
    <s v="ORD1632"/>
    <x v="47"/>
    <x v="1"/>
    <x v="0"/>
    <n v="500"/>
    <x v="0"/>
    <x v="2"/>
    <s v="Active"/>
    <x v="1"/>
    <s v="Volta"/>
    <n v="0"/>
    <x v="2"/>
    <n v="500"/>
    <x v="1"/>
  </r>
  <r>
    <s v="ORD1633"/>
    <x v="582"/>
    <x v="0"/>
    <x v="1"/>
    <n v="16200"/>
    <x v="2"/>
    <x v="2"/>
    <s v="Cancelled"/>
    <x v="0"/>
    <s v="Western North"/>
    <n v="0.1"/>
    <x v="1"/>
    <n v="14580"/>
    <x v="0"/>
  </r>
  <r>
    <s v="ORD1634"/>
    <x v="135"/>
    <x v="1"/>
    <x v="1"/>
    <n v="5400"/>
    <x v="1"/>
    <x v="1"/>
    <s v="Cancelled"/>
    <x v="0"/>
    <s v="Central"/>
    <n v="0.1"/>
    <x v="0"/>
    <n v="4860"/>
    <x v="0"/>
  </r>
  <r>
    <s v="ORD1635"/>
    <x v="189"/>
    <x v="2"/>
    <x v="1"/>
    <n v="10800"/>
    <x v="2"/>
    <x v="1"/>
    <s v="Active"/>
    <x v="1"/>
    <s v="Northern"/>
    <n v="0.1"/>
    <x v="3"/>
    <n v="9720"/>
    <x v="1"/>
  </r>
  <r>
    <s v="ORD1636"/>
    <x v="281"/>
    <x v="1"/>
    <x v="1"/>
    <n v="5400"/>
    <x v="0"/>
    <x v="0"/>
    <s v="Cancelled"/>
    <x v="0"/>
    <s v="Upper East"/>
    <n v="0.1"/>
    <x v="3"/>
    <n v="4860"/>
    <x v="0"/>
  </r>
  <r>
    <s v="ORD1637"/>
    <x v="650"/>
    <x v="1"/>
    <x v="1"/>
    <n v="5400"/>
    <x v="3"/>
    <x v="1"/>
    <s v="Cancelled"/>
    <x v="0"/>
    <s v="Ahafo"/>
    <n v="0.1"/>
    <x v="1"/>
    <n v="4860"/>
    <x v="0"/>
  </r>
  <r>
    <s v="ORD1638"/>
    <x v="526"/>
    <x v="2"/>
    <x v="0"/>
    <n v="1000"/>
    <x v="0"/>
    <x v="0"/>
    <s v="Cancelled"/>
    <x v="0"/>
    <s v="Greater Accra"/>
    <n v="0"/>
    <x v="0"/>
    <n v="1000"/>
    <x v="0"/>
  </r>
  <r>
    <s v="ORD1639"/>
    <x v="518"/>
    <x v="2"/>
    <x v="0"/>
    <n v="1000"/>
    <x v="0"/>
    <x v="2"/>
    <s v="Active"/>
    <x v="1"/>
    <s v="Upper East"/>
    <n v="0"/>
    <x v="3"/>
    <n v="1000"/>
    <x v="1"/>
  </r>
  <r>
    <s v="ORD1640"/>
    <x v="651"/>
    <x v="1"/>
    <x v="0"/>
    <n v="500"/>
    <x v="0"/>
    <x v="1"/>
    <s v="Active"/>
    <x v="1"/>
    <s v="Ashanti"/>
    <n v="0"/>
    <x v="1"/>
    <n v="500"/>
    <x v="1"/>
  </r>
  <r>
    <s v="ORD1641"/>
    <x v="405"/>
    <x v="0"/>
    <x v="0"/>
    <n v="1500"/>
    <x v="2"/>
    <x v="2"/>
    <s v="Cancelled"/>
    <x v="0"/>
    <s v="Western"/>
    <n v="0"/>
    <x v="1"/>
    <n v="1500"/>
    <x v="0"/>
  </r>
  <r>
    <s v="ORD1642"/>
    <x v="130"/>
    <x v="2"/>
    <x v="1"/>
    <n v="10800"/>
    <x v="1"/>
    <x v="2"/>
    <s v="Active"/>
    <x v="1"/>
    <s v="Greater Accra"/>
    <n v="0.1"/>
    <x v="0"/>
    <n v="9720"/>
    <x v="1"/>
  </r>
  <r>
    <s v="ORD1643"/>
    <x v="365"/>
    <x v="1"/>
    <x v="1"/>
    <n v="5400"/>
    <x v="2"/>
    <x v="1"/>
    <s v="Cancelled"/>
    <x v="0"/>
    <s v="Western North"/>
    <n v="0.1"/>
    <x v="1"/>
    <n v="4860"/>
    <x v="0"/>
  </r>
  <r>
    <s v="ORD1644"/>
    <x v="536"/>
    <x v="2"/>
    <x v="0"/>
    <n v="1000"/>
    <x v="3"/>
    <x v="0"/>
    <s v="Active"/>
    <x v="1"/>
    <s v="Ashanti"/>
    <n v="0"/>
    <x v="1"/>
    <n v="1000"/>
    <x v="1"/>
  </r>
  <r>
    <s v="ORD1645"/>
    <x v="87"/>
    <x v="2"/>
    <x v="0"/>
    <n v="1000"/>
    <x v="0"/>
    <x v="2"/>
    <s v="Active"/>
    <x v="1"/>
    <s v="Volta"/>
    <n v="0"/>
    <x v="2"/>
    <n v="1000"/>
    <x v="1"/>
  </r>
  <r>
    <s v="ORD1646"/>
    <x v="332"/>
    <x v="0"/>
    <x v="0"/>
    <n v="1500"/>
    <x v="1"/>
    <x v="1"/>
    <s v="Cancelled"/>
    <x v="0"/>
    <s v="Greater Accra"/>
    <n v="0"/>
    <x v="0"/>
    <n v="1500"/>
    <x v="0"/>
  </r>
  <r>
    <s v="ORD1647"/>
    <x v="444"/>
    <x v="1"/>
    <x v="1"/>
    <n v="5400"/>
    <x v="0"/>
    <x v="0"/>
    <s v="Cancelled"/>
    <x v="0"/>
    <s v="Ashanti"/>
    <n v="0.1"/>
    <x v="1"/>
    <n v="4860"/>
    <x v="0"/>
  </r>
  <r>
    <s v="ORD1648"/>
    <x v="451"/>
    <x v="2"/>
    <x v="1"/>
    <n v="10800"/>
    <x v="1"/>
    <x v="0"/>
    <s v="Active"/>
    <x v="1"/>
    <s v="Central"/>
    <n v="0.1"/>
    <x v="0"/>
    <n v="9720"/>
    <x v="1"/>
  </r>
  <r>
    <s v="ORD1649"/>
    <x v="592"/>
    <x v="2"/>
    <x v="0"/>
    <n v="1000"/>
    <x v="0"/>
    <x v="1"/>
    <s v="Active"/>
    <x v="1"/>
    <s v="Upper East"/>
    <n v="0"/>
    <x v="3"/>
    <n v="1000"/>
    <x v="1"/>
  </r>
  <r>
    <s v="ORD1650"/>
    <x v="322"/>
    <x v="0"/>
    <x v="0"/>
    <n v="1500"/>
    <x v="3"/>
    <x v="1"/>
    <s v="Active"/>
    <x v="1"/>
    <s v="Eastern"/>
    <n v="0"/>
    <x v="2"/>
    <n v="1500"/>
    <x v="1"/>
  </r>
  <r>
    <s v="ORD1651"/>
    <x v="597"/>
    <x v="0"/>
    <x v="0"/>
    <n v="1500"/>
    <x v="1"/>
    <x v="2"/>
    <s v="Active"/>
    <x v="1"/>
    <s v="Ashanti"/>
    <n v="0"/>
    <x v="1"/>
    <n v="1500"/>
    <x v="1"/>
  </r>
  <r>
    <s v="ORD1652"/>
    <x v="107"/>
    <x v="2"/>
    <x v="1"/>
    <n v="10800"/>
    <x v="2"/>
    <x v="0"/>
    <s v="Cancelled"/>
    <x v="0"/>
    <s v="Western"/>
    <n v="0.1"/>
    <x v="1"/>
    <n v="9720"/>
    <x v="0"/>
  </r>
  <r>
    <s v="ORD1653"/>
    <x v="332"/>
    <x v="0"/>
    <x v="0"/>
    <n v="1500"/>
    <x v="2"/>
    <x v="0"/>
    <s v="Active"/>
    <x v="1"/>
    <s v="Western"/>
    <n v="0"/>
    <x v="1"/>
    <n v="1500"/>
    <x v="1"/>
  </r>
  <r>
    <s v="ORD1654"/>
    <x v="610"/>
    <x v="1"/>
    <x v="1"/>
    <n v="5400"/>
    <x v="3"/>
    <x v="0"/>
    <s v="Active"/>
    <x v="1"/>
    <s v="Ashanti"/>
    <n v="0.1"/>
    <x v="1"/>
    <n v="4860"/>
    <x v="1"/>
  </r>
  <r>
    <s v="ORD1655"/>
    <x v="406"/>
    <x v="2"/>
    <x v="0"/>
    <n v="1000"/>
    <x v="1"/>
    <x v="2"/>
    <s v="Cancelled"/>
    <x v="0"/>
    <s v="Greater Accra"/>
    <n v="0"/>
    <x v="0"/>
    <n v="1000"/>
    <x v="0"/>
  </r>
  <r>
    <s v="ORD1656"/>
    <x v="110"/>
    <x v="0"/>
    <x v="0"/>
    <n v="1500"/>
    <x v="3"/>
    <x v="1"/>
    <s v="Active"/>
    <x v="1"/>
    <s v="Western"/>
    <n v="0"/>
    <x v="1"/>
    <n v="1500"/>
    <x v="1"/>
  </r>
  <r>
    <s v="ORD1657"/>
    <x v="219"/>
    <x v="0"/>
    <x v="1"/>
    <n v="16200"/>
    <x v="0"/>
    <x v="2"/>
    <s v="Cancelled"/>
    <x v="0"/>
    <s v="Savannah"/>
    <n v="0.1"/>
    <x v="3"/>
    <n v="14580"/>
    <x v="0"/>
  </r>
  <r>
    <s v="ORD1658"/>
    <x v="495"/>
    <x v="0"/>
    <x v="1"/>
    <n v="16200"/>
    <x v="2"/>
    <x v="2"/>
    <s v="Active"/>
    <x v="1"/>
    <s v="Western North"/>
    <n v="0.1"/>
    <x v="1"/>
    <n v="14580"/>
    <x v="1"/>
  </r>
  <r>
    <s v="ORD1659"/>
    <x v="322"/>
    <x v="0"/>
    <x v="1"/>
    <n v="16200"/>
    <x v="1"/>
    <x v="0"/>
    <s v="Cancelled"/>
    <x v="0"/>
    <s v="Greater Accra"/>
    <n v="0.1"/>
    <x v="0"/>
    <n v="14580"/>
    <x v="0"/>
  </r>
  <r>
    <s v="ORD1660"/>
    <x v="256"/>
    <x v="2"/>
    <x v="0"/>
    <n v="1000"/>
    <x v="2"/>
    <x v="2"/>
    <s v="Active"/>
    <x v="1"/>
    <s v="Western"/>
    <n v="0"/>
    <x v="1"/>
    <n v="1000"/>
    <x v="1"/>
  </r>
  <r>
    <s v="ORD1661"/>
    <x v="473"/>
    <x v="0"/>
    <x v="1"/>
    <n v="16200"/>
    <x v="3"/>
    <x v="1"/>
    <s v="Active"/>
    <x v="1"/>
    <s v="Ahafo"/>
    <n v="0.1"/>
    <x v="1"/>
    <n v="14580"/>
    <x v="1"/>
  </r>
  <r>
    <s v="ORD1662"/>
    <x v="82"/>
    <x v="2"/>
    <x v="0"/>
    <n v="1000"/>
    <x v="2"/>
    <x v="1"/>
    <s v="Active"/>
    <x v="1"/>
    <s v="Northern"/>
    <n v="0"/>
    <x v="3"/>
    <n v="1000"/>
    <x v="1"/>
  </r>
  <r>
    <s v="ORD1663"/>
    <x v="298"/>
    <x v="2"/>
    <x v="0"/>
    <n v="1000"/>
    <x v="0"/>
    <x v="1"/>
    <s v="Cancelled"/>
    <x v="0"/>
    <s v="Volta"/>
    <n v="0"/>
    <x v="2"/>
    <n v="1000"/>
    <x v="0"/>
  </r>
  <r>
    <s v="ORD1664"/>
    <x v="233"/>
    <x v="1"/>
    <x v="0"/>
    <n v="500"/>
    <x v="0"/>
    <x v="1"/>
    <s v="Cancelled"/>
    <x v="0"/>
    <s v="Upper East"/>
    <n v="0"/>
    <x v="3"/>
    <n v="500"/>
    <x v="0"/>
  </r>
  <r>
    <s v="ORD1665"/>
    <x v="652"/>
    <x v="2"/>
    <x v="1"/>
    <n v="10800"/>
    <x v="1"/>
    <x v="0"/>
    <s v="Active"/>
    <x v="1"/>
    <s v="Greater Accra"/>
    <n v="0.1"/>
    <x v="0"/>
    <n v="9720"/>
    <x v="1"/>
  </r>
  <r>
    <s v="ORD1666"/>
    <x v="185"/>
    <x v="2"/>
    <x v="1"/>
    <n v="10800"/>
    <x v="3"/>
    <x v="0"/>
    <s v="Cancelled"/>
    <x v="0"/>
    <s v="Ashanti"/>
    <n v="0.1"/>
    <x v="1"/>
    <n v="9720"/>
    <x v="0"/>
  </r>
  <r>
    <s v="ORD1667"/>
    <x v="473"/>
    <x v="0"/>
    <x v="1"/>
    <n v="16200"/>
    <x v="2"/>
    <x v="2"/>
    <s v="Active"/>
    <x v="1"/>
    <s v="Northern"/>
    <n v="0.1"/>
    <x v="3"/>
    <n v="14580"/>
    <x v="1"/>
  </r>
  <r>
    <s v="ORD1668"/>
    <x v="596"/>
    <x v="1"/>
    <x v="1"/>
    <n v="5400"/>
    <x v="0"/>
    <x v="1"/>
    <s v="Cancelled"/>
    <x v="0"/>
    <s v="Volta"/>
    <n v="0.1"/>
    <x v="2"/>
    <n v="4860"/>
    <x v="0"/>
  </r>
  <r>
    <s v="ORD1669"/>
    <x v="269"/>
    <x v="1"/>
    <x v="1"/>
    <n v="5400"/>
    <x v="0"/>
    <x v="2"/>
    <s v="Cancelled"/>
    <x v="0"/>
    <s v="Volta"/>
    <n v="0.1"/>
    <x v="2"/>
    <n v="4860"/>
    <x v="0"/>
  </r>
  <r>
    <s v="ORD1670"/>
    <x v="432"/>
    <x v="1"/>
    <x v="0"/>
    <n v="500"/>
    <x v="1"/>
    <x v="0"/>
    <s v="Active"/>
    <x v="1"/>
    <s v="Greater Accra"/>
    <n v="0"/>
    <x v="0"/>
    <n v="500"/>
    <x v="1"/>
  </r>
  <r>
    <s v="ORD1671"/>
    <x v="557"/>
    <x v="2"/>
    <x v="1"/>
    <n v="10800"/>
    <x v="3"/>
    <x v="0"/>
    <s v="Cancelled"/>
    <x v="0"/>
    <s v="Western"/>
    <n v="0.1"/>
    <x v="1"/>
    <n v="9720"/>
    <x v="0"/>
  </r>
  <r>
    <s v="ORD1672"/>
    <x v="653"/>
    <x v="0"/>
    <x v="1"/>
    <n v="16200"/>
    <x v="3"/>
    <x v="0"/>
    <s v="Cancelled"/>
    <x v="0"/>
    <s v="Western"/>
    <n v="0.1"/>
    <x v="1"/>
    <n v="14580"/>
    <x v="0"/>
  </r>
  <r>
    <s v="ORD1673"/>
    <x v="547"/>
    <x v="0"/>
    <x v="0"/>
    <n v="1500"/>
    <x v="0"/>
    <x v="1"/>
    <s v="Active"/>
    <x v="1"/>
    <s v="Ashanti"/>
    <n v="0"/>
    <x v="1"/>
    <n v="1500"/>
    <x v="1"/>
  </r>
  <r>
    <s v="ORD1674"/>
    <x v="488"/>
    <x v="2"/>
    <x v="1"/>
    <n v="10800"/>
    <x v="2"/>
    <x v="2"/>
    <s v="Cancelled"/>
    <x v="0"/>
    <s v="Northern"/>
    <n v="0.1"/>
    <x v="3"/>
    <n v="9720"/>
    <x v="0"/>
  </r>
  <r>
    <s v="ORD1675"/>
    <x v="492"/>
    <x v="1"/>
    <x v="0"/>
    <n v="500"/>
    <x v="1"/>
    <x v="0"/>
    <s v="Active"/>
    <x v="1"/>
    <s v="Western"/>
    <n v="0"/>
    <x v="1"/>
    <n v="500"/>
    <x v="1"/>
  </r>
  <r>
    <s v="ORD1676"/>
    <x v="253"/>
    <x v="2"/>
    <x v="0"/>
    <n v="1000"/>
    <x v="1"/>
    <x v="2"/>
    <s v="Active"/>
    <x v="1"/>
    <s v="Western"/>
    <n v="0"/>
    <x v="1"/>
    <n v="1000"/>
    <x v="1"/>
  </r>
  <r>
    <s v="ORD1677"/>
    <x v="654"/>
    <x v="0"/>
    <x v="1"/>
    <n v="16200"/>
    <x v="2"/>
    <x v="2"/>
    <s v="Cancelled"/>
    <x v="0"/>
    <s v="Western"/>
    <n v="0.1"/>
    <x v="1"/>
    <n v="14580"/>
    <x v="0"/>
  </r>
  <r>
    <s v="ORD1678"/>
    <x v="334"/>
    <x v="0"/>
    <x v="1"/>
    <n v="16200"/>
    <x v="0"/>
    <x v="2"/>
    <s v="Active"/>
    <x v="1"/>
    <s v="Volta"/>
    <n v="0.1"/>
    <x v="2"/>
    <n v="14580"/>
    <x v="1"/>
  </r>
  <r>
    <s v="ORD1679"/>
    <x v="356"/>
    <x v="2"/>
    <x v="1"/>
    <n v="10800"/>
    <x v="1"/>
    <x v="2"/>
    <s v="Active"/>
    <x v="1"/>
    <s v="Western"/>
    <n v="0.1"/>
    <x v="1"/>
    <n v="9720"/>
    <x v="1"/>
  </r>
  <r>
    <s v="ORD1680"/>
    <x v="447"/>
    <x v="2"/>
    <x v="0"/>
    <n v="1000"/>
    <x v="2"/>
    <x v="1"/>
    <s v="Active"/>
    <x v="1"/>
    <s v="Northern"/>
    <n v="0"/>
    <x v="3"/>
    <n v="1000"/>
    <x v="1"/>
  </r>
  <r>
    <s v="ORD1681"/>
    <x v="67"/>
    <x v="1"/>
    <x v="1"/>
    <n v="5400"/>
    <x v="2"/>
    <x v="2"/>
    <s v="Active"/>
    <x v="1"/>
    <s v="Bono"/>
    <n v="0.1"/>
    <x v="1"/>
    <n v="4860"/>
    <x v="1"/>
  </r>
  <r>
    <s v="ORD1682"/>
    <x v="640"/>
    <x v="0"/>
    <x v="1"/>
    <n v="16200"/>
    <x v="3"/>
    <x v="0"/>
    <s v="Active"/>
    <x v="1"/>
    <s v="Ashanti"/>
    <n v="0.1"/>
    <x v="1"/>
    <n v="14580"/>
    <x v="1"/>
  </r>
  <r>
    <s v="ORD1683"/>
    <x v="80"/>
    <x v="0"/>
    <x v="0"/>
    <n v="1500"/>
    <x v="3"/>
    <x v="1"/>
    <s v="Cancelled"/>
    <x v="0"/>
    <s v="Greater Accra"/>
    <n v="0"/>
    <x v="0"/>
    <n v="1500"/>
    <x v="0"/>
  </r>
  <r>
    <s v="ORD1684"/>
    <x v="347"/>
    <x v="2"/>
    <x v="0"/>
    <n v="1000"/>
    <x v="0"/>
    <x v="0"/>
    <s v="Active"/>
    <x v="1"/>
    <s v="Upper East"/>
    <n v="0"/>
    <x v="3"/>
    <n v="1000"/>
    <x v="1"/>
  </r>
  <r>
    <s v="ORD1685"/>
    <x v="100"/>
    <x v="1"/>
    <x v="0"/>
    <n v="500"/>
    <x v="1"/>
    <x v="1"/>
    <s v="Cancelled"/>
    <x v="0"/>
    <s v="Western"/>
    <n v="0"/>
    <x v="1"/>
    <n v="500"/>
    <x v="0"/>
  </r>
  <r>
    <s v="ORD1686"/>
    <x v="48"/>
    <x v="2"/>
    <x v="1"/>
    <n v="10800"/>
    <x v="1"/>
    <x v="0"/>
    <s v="Cancelled"/>
    <x v="0"/>
    <s v="Central"/>
    <n v="0.1"/>
    <x v="0"/>
    <n v="9720"/>
    <x v="0"/>
  </r>
  <r>
    <s v="ORD1687"/>
    <x v="293"/>
    <x v="2"/>
    <x v="1"/>
    <n v="10800"/>
    <x v="3"/>
    <x v="1"/>
    <s v="Cancelled"/>
    <x v="0"/>
    <s v="Eastern"/>
    <n v="0.1"/>
    <x v="2"/>
    <n v="9720"/>
    <x v="0"/>
  </r>
  <r>
    <s v="ORD1688"/>
    <x v="294"/>
    <x v="2"/>
    <x v="1"/>
    <n v="10800"/>
    <x v="1"/>
    <x v="1"/>
    <s v="Cancelled"/>
    <x v="0"/>
    <s v="Central"/>
    <n v="0.1"/>
    <x v="0"/>
    <n v="9720"/>
    <x v="0"/>
  </r>
  <r>
    <s v="ORD1689"/>
    <x v="335"/>
    <x v="1"/>
    <x v="0"/>
    <n v="500"/>
    <x v="0"/>
    <x v="0"/>
    <s v="Cancelled"/>
    <x v="0"/>
    <s v="Ashanti"/>
    <n v="0"/>
    <x v="1"/>
    <n v="500"/>
    <x v="0"/>
  </r>
  <r>
    <s v="ORD1690"/>
    <x v="457"/>
    <x v="0"/>
    <x v="0"/>
    <n v="1500"/>
    <x v="1"/>
    <x v="0"/>
    <s v="Active"/>
    <x v="1"/>
    <s v="Central"/>
    <n v="0"/>
    <x v="0"/>
    <n v="1500"/>
    <x v="1"/>
  </r>
  <r>
    <s v="ORD1691"/>
    <x v="392"/>
    <x v="0"/>
    <x v="1"/>
    <n v="16200"/>
    <x v="3"/>
    <x v="1"/>
    <s v="Cancelled"/>
    <x v="0"/>
    <s v="Ahafo"/>
    <n v="0.1"/>
    <x v="1"/>
    <n v="14580"/>
    <x v="0"/>
  </r>
  <r>
    <s v="ORD1692"/>
    <x v="601"/>
    <x v="0"/>
    <x v="1"/>
    <n v="16200"/>
    <x v="2"/>
    <x v="1"/>
    <s v="Active"/>
    <x v="1"/>
    <s v="Northern"/>
    <n v="0.1"/>
    <x v="3"/>
    <n v="14580"/>
    <x v="1"/>
  </r>
  <r>
    <s v="ORD1693"/>
    <x v="489"/>
    <x v="0"/>
    <x v="1"/>
    <n v="16200"/>
    <x v="3"/>
    <x v="2"/>
    <s v="Cancelled"/>
    <x v="0"/>
    <s v="Greater Accra"/>
    <n v="0.1"/>
    <x v="0"/>
    <n v="14580"/>
    <x v="0"/>
  </r>
  <r>
    <s v="ORD1694"/>
    <x v="87"/>
    <x v="0"/>
    <x v="0"/>
    <n v="1500"/>
    <x v="0"/>
    <x v="1"/>
    <s v="Cancelled"/>
    <x v="0"/>
    <s v="Savannah"/>
    <n v="0"/>
    <x v="3"/>
    <n v="1500"/>
    <x v="0"/>
  </r>
  <r>
    <s v="ORD1695"/>
    <x v="140"/>
    <x v="2"/>
    <x v="0"/>
    <n v="1000"/>
    <x v="1"/>
    <x v="1"/>
    <s v="Active"/>
    <x v="1"/>
    <s v="Greater Accra"/>
    <n v="0"/>
    <x v="0"/>
    <n v="1000"/>
    <x v="1"/>
  </r>
  <r>
    <s v="ORD1696"/>
    <x v="192"/>
    <x v="2"/>
    <x v="0"/>
    <n v="1000"/>
    <x v="3"/>
    <x v="2"/>
    <s v="Cancelled"/>
    <x v="0"/>
    <s v="Greater Accra"/>
    <n v="0"/>
    <x v="0"/>
    <n v="1000"/>
    <x v="0"/>
  </r>
  <r>
    <s v="ORD1697"/>
    <x v="17"/>
    <x v="0"/>
    <x v="0"/>
    <n v="1500"/>
    <x v="0"/>
    <x v="1"/>
    <s v="Cancelled"/>
    <x v="0"/>
    <s v="Volta"/>
    <n v="0"/>
    <x v="2"/>
    <n v="1500"/>
    <x v="0"/>
  </r>
  <r>
    <s v="ORD1698"/>
    <x v="215"/>
    <x v="1"/>
    <x v="0"/>
    <n v="500"/>
    <x v="2"/>
    <x v="1"/>
    <s v="Active"/>
    <x v="1"/>
    <s v="Eastern"/>
    <n v="0"/>
    <x v="2"/>
    <n v="500"/>
    <x v="1"/>
  </r>
  <r>
    <s v="ORD1699"/>
    <x v="570"/>
    <x v="0"/>
    <x v="1"/>
    <n v="16200"/>
    <x v="0"/>
    <x v="2"/>
    <s v="Cancelled"/>
    <x v="0"/>
    <s v="Volta"/>
    <n v="0.1"/>
    <x v="2"/>
    <n v="14580"/>
    <x v="0"/>
  </r>
  <r>
    <s v="ORD1700"/>
    <x v="156"/>
    <x v="1"/>
    <x v="1"/>
    <n v="5400"/>
    <x v="0"/>
    <x v="1"/>
    <s v="Cancelled"/>
    <x v="0"/>
    <s v="Ashanti"/>
    <n v="0.1"/>
    <x v="1"/>
    <n v="4860"/>
    <x v="0"/>
  </r>
  <r>
    <s v="ORD1701"/>
    <x v="397"/>
    <x v="2"/>
    <x v="1"/>
    <n v="10800"/>
    <x v="0"/>
    <x v="2"/>
    <s v="Cancelled"/>
    <x v="0"/>
    <s v="Ashanti"/>
    <n v="0.1"/>
    <x v="1"/>
    <n v="9720"/>
    <x v="0"/>
  </r>
  <r>
    <s v="ORD1702"/>
    <x v="612"/>
    <x v="0"/>
    <x v="0"/>
    <n v="1500"/>
    <x v="2"/>
    <x v="0"/>
    <s v="Cancelled"/>
    <x v="0"/>
    <s v="Eastern"/>
    <n v="0"/>
    <x v="2"/>
    <n v="1500"/>
    <x v="0"/>
  </r>
  <r>
    <s v="ORD1703"/>
    <x v="217"/>
    <x v="0"/>
    <x v="0"/>
    <n v="1500"/>
    <x v="2"/>
    <x v="2"/>
    <s v="Cancelled"/>
    <x v="0"/>
    <s v="Western North"/>
    <n v="0"/>
    <x v="1"/>
    <n v="1500"/>
    <x v="0"/>
  </r>
  <r>
    <s v="ORD1704"/>
    <x v="38"/>
    <x v="2"/>
    <x v="1"/>
    <n v="10800"/>
    <x v="2"/>
    <x v="1"/>
    <s v="Cancelled"/>
    <x v="0"/>
    <s v="Northern"/>
    <n v="0.1"/>
    <x v="3"/>
    <n v="9720"/>
    <x v="0"/>
  </r>
  <r>
    <s v="ORD1705"/>
    <x v="655"/>
    <x v="1"/>
    <x v="1"/>
    <n v="5400"/>
    <x v="3"/>
    <x v="1"/>
    <s v="Cancelled"/>
    <x v="0"/>
    <s v="Oti"/>
    <n v="0.1"/>
    <x v="2"/>
    <n v="4860"/>
    <x v="0"/>
  </r>
  <r>
    <s v="ORD1706"/>
    <x v="457"/>
    <x v="2"/>
    <x v="1"/>
    <n v="10800"/>
    <x v="1"/>
    <x v="1"/>
    <s v="Active"/>
    <x v="1"/>
    <s v="Western"/>
    <n v="0.1"/>
    <x v="1"/>
    <n v="9720"/>
    <x v="1"/>
  </r>
  <r>
    <s v="ORD1707"/>
    <x v="224"/>
    <x v="0"/>
    <x v="1"/>
    <n v="16200"/>
    <x v="0"/>
    <x v="2"/>
    <s v="Cancelled"/>
    <x v="0"/>
    <s v="Greater Accra"/>
    <n v="0.1"/>
    <x v="0"/>
    <n v="14580"/>
    <x v="0"/>
  </r>
  <r>
    <s v="ORD1708"/>
    <x v="624"/>
    <x v="1"/>
    <x v="0"/>
    <n v="500"/>
    <x v="0"/>
    <x v="1"/>
    <s v="Active"/>
    <x v="1"/>
    <s v="Savannah"/>
    <n v="0"/>
    <x v="3"/>
    <n v="500"/>
    <x v="1"/>
  </r>
  <r>
    <s v="ORD1709"/>
    <x v="336"/>
    <x v="0"/>
    <x v="1"/>
    <n v="16200"/>
    <x v="0"/>
    <x v="2"/>
    <s v="Cancelled"/>
    <x v="0"/>
    <s v="Upper East"/>
    <n v="0.1"/>
    <x v="3"/>
    <n v="14580"/>
    <x v="0"/>
  </r>
  <r>
    <s v="ORD1710"/>
    <x v="656"/>
    <x v="2"/>
    <x v="1"/>
    <n v="10800"/>
    <x v="3"/>
    <x v="0"/>
    <s v="Cancelled"/>
    <x v="0"/>
    <s v="Greater Accra"/>
    <n v="0.1"/>
    <x v="0"/>
    <n v="9720"/>
    <x v="0"/>
  </r>
  <r>
    <s v="ORD1711"/>
    <x v="628"/>
    <x v="2"/>
    <x v="1"/>
    <n v="10800"/>
    <x v="0"/>
    <x v="1"/>
    <s v="Active"/>
    <x v="1"/>
    <s v="Upper East"/>
    <n v="0.1"/>
    <x v="3"/>
    <n v="9720"/>
    <x v="1"/>
  </r>
  <r>
    <s v="ORD1712"/>
    <x v="287"/>
    <x v="2"/>
    <x v="1"/>
    <n v="10800"/>
    <x v="2"/>
    <x v="2"/>
    <s v="Active"/>
    <x v="1"/>
    <s v="Northern"/>
    <n v="0.1"/>
    <x v="3"/>
    <n v="9720"/>
    <x v="1"/>
  </r>
  <r>
    <s v="ORD1713"/>
    <x v="212"/>
    <x v="0"/>
    <x v="1"/>
    <n v="16200"/>
    <x v="2"/>
    <x v="2"/>
    <s v="Cancelled"/>
    <x v="0"/>
    <s v="Eastern"/>
    <n v="0.1"/>
    <x v="2"/>
    <n v="14580"/>
    <x v="0"/>
  </r>
  <r>
    <s v="ORD1714"/>
    <x v="306"/>
    <x v="1"/>
    <x v="0"/>
    <n v="500"/>
    <x v="0"/>
    <x v="1"/>
    <s v="Cancelled"/>
    <x v="0"/>
    <s v="Volta"/>
    <n v="0"/>
    <x v="2"/>
    <n v="500"/>
    <x v="0"/>
  </r>
  <r>
    <s v="ORD1715"/>
    <x v="117"/>
    <x v="1"/>
    <x v="0"/>
    <n v="500"/>
    <x v="3"/>
    <x v="2"/>
    <s v="Active"/>
    <x v="1"/>
    <s v="Oti"/>
    <n v="0"/>
    <x v="2"/>
    <n v="500"/>
    <x v="1"/>
  </r>
  <r>
    <s v="ORD1716"/>
    <x v="253"/>
    <x v="2"/>
    <x v="1"/>
    <n v="10800"/>
    <x v="0"/>
    <x v="0"/>
    <s v="Cancelled"/>
    <x v="0"/>
    <s v="Greater Accra"/>
    <n v="0.1"/>
    <x v="0"/>
    <n v="9720"/>
    <x v="0"/>
  </r>
  <r>
    <s v="ORD1717"/>
    <x v="596"/>
    <x v="0"/>
    <x v="0"/>
    <n v="1500"/>
    <x v="0"/>
    <x v="0"/>
    <s v="Active"/>
    <x v="1"/>
    <s v="Greater Accra"/>
    <n v="0"/>
    <x v="0"/>
    <n v="1500"/>
    <x v="1"/>
  </r>
  <r>
    <s v="ORD1718"/>
    <x v="416"/>
    <x v="1"/>
    <x v="0"/>
    <n v="500"/>
    <x v="1"/>
    <x v="1"/>
    <s v="Active"/>
    <x v="1"/>
    <s v="Ashanti"/>
    <n v="0"/>
    <x v="1"/>
    <n v="500"/>
    <x v="1"/>
  </r>
  <r>
    <s v="ORD1719"/>
    <x v="58"/>
    <x v="0"/>
    <x v="0"/>
    <n v="1500"/>
    <x v="0"/>
    <x v="2"/>
    <s v="Active"/>
    <x v="1"/>
    <s v="Greater Accra"/>
    <n v="0"/>
    <x v="0"/>
    <n v="1500"/>
    <x v="1"/>
  </r>
  <r>
    <s v="ORD1720"/>
    <x v="79"/>
    <x v="1"/>
    <x v="1"/>
    <n v="5400"/>
    <x v="3"/>
    <x v="0"/>
    <s v="Active"/>
    <x v="1"/>
    <s v="Ahafo"/>
    <n v="0.1"/>
    <x v="1"/>
    <n v="4860"/>
    <x v="1"/>
  </r>
  <r>
    <s v="ORD1721"/>
    <x v="383"/>
    <x v="2"/>
    <x v="0"/>
    <n v="1000"/>
    <x v="2"/>
    <x v="2"/>
    <s v="Cancelled"/>
    <x v="0"/>
    <s v="Bono"/>
    <n v="0"/>
    <x v="1"/>
    <n v="1000"/>
    <x v="0"/>
  </r>
  <r>
    <s v="ORD1722"/>
    <x v="280"/>
    <x v="1"/>
    <x v="0"/>
    <n v="500"/>
    <x v="2"/>
    <x v="0"/>
    <s v="Cancelled"/>
    <x v="0"/>
    <s v="Western North"/>
    <n v="0"/>
    <x v="1"/>
    <n v="500"/>
    <x v="0"/>
  </r>
  <r>
    <s v="ORD1723"/>
    <x v="543"/>
    <x v="0"/>
    <x v="0"/>
    <n v="1500"/>
    <x v="3"/>
    <x v="0"/>
    <s v="Active"/>
    <x v="1"/>
    <s v="Greater Accra"/>
    <n v="0"/>
    <x v="0"/>
    <n v="1500"/>
    <x v="1"/>
  </r>
  <r>
    <s v="ORD1724"/>
    <x v="303"/>
    <x v="2"/>
    <x v="1"/>
    <n v="10800"/>
    <x v="3"/>
    <x v="2"/>
    <s v="Cancelled"/>
    <x v="0"/>
    <s v="Oti"/>
    <n v="0.1"/>
    <x v="2"/>
    <n v="9720"/>
    <x v="0"/>
  </r>
  <r>
    <s v="ORD1725"/>
    <x v="52"/>
    <x v="2"/>
    <x v="1"/>
    <n v="10800"/>
    <x v="0"/>
    <x v="0"/>
    <s v="Active"/>
    <x v="1"/>
    <s v="Volta"/>
    <n v="0.1"/>
    <x v="2"/>
    <n v="9720"/>
    <x v="1"/>
  </r>
  <r>
    <s v="ORD1726"/>
    <x v="30"/>
    <x v="1"/>
    <x v="1"/>
    <n v="5400"/>
    <x v="3"/>
    <x v="1"/>
    <s v="Cancelled"/>
    <x v="0"/>
    <s v="Ashanti"/>
    <n v="0.1"/>
    <x v="1"/>
    <n v="4860"/>
    <x v="0"/>
  </r>
  <r>
    <s v="ORD1727"/>
    <x v="330"/>
    <x v="2"/>
    <x v="0"/>
    <n v="1000"/>
    <x v="3"/>
    <x v="0"/>
    <s v="Active"/>
    <x v="1"/>
    <s v="Western"/>
    <n v="0"/>
    <x v="1"/>
    <n v="1000"/>
    <x v="1"/>
  </r>
  <r>
    <s v="ORD1728"/>
    <x v="292"/>
    <x v="1"/>
    <x v="1"/>
    <n v="5400"/>
    <x v="3"/>
    <x v="0"/>
    <s v="Cancelled"/>
    <x v="0"/>
    <s v="Western"/>
    <n v="0.1"/>
    <x v="1"/>
    <n v="4860"/>
    <x v="0"/>
  </r>
  <r>
    <s v="ORD1729"/>
    <x v="211"/>
    <x v="0"/>
    <x v="1"/>
    <n v="16200"/>
    <x v="0"/>
    <x v="2"/>
    <s v="Cancelled"/>
    <x v="0"/>
    <s v="Volta"/>
    <n v="0.1"/>
    <x v="2"/>
    <n v="14580"/>
    <x v="0"/>
  </r>
  <r>
    <s v="ORD1730"/>
    <x v="363"/>
    <x v="0"/>
    <x v="1"/>
    <n v="16200"/>
    <x v="3"/>
    <x v="0"/>
    <s v="Cancelled"/>
    <x v="0"/>
    <s v="Eastern"/>
    <n v="0.1"/>
    <x v="2"/>
    <n v="14580"/>
    <x v="0"/>
  </r>
  <r>
    <s v="ORD1731"/>
    <x v="502"/>
    <x v="1"/>
    <x v="0"/>
    <n v="500"/>
    <x v="2"/>
    <x v="0"/>
    <s v="Cancelled"/>
    <x v="0"/>
    <s v="Northern"/>
    <n v="0"/>
    <x v="3"/>
    <n v="500"/>
    <x v="0"/>
  </r>
  <r>
    <s v="ORD1732"/>
    <x v="124"/>
    <x v="2"/>
    <x v="0"/>
    <n v="1000"/>
    <x v="0"/>
    <x v="2"/>
    <s v="Active"/>
    <x v="1"/>
    <s v="Volta"/>
    <n v="0"/>
    <x v="2"/>
    <n v="1000"/>
    <x v="1"/>
  </r>
  <r>
    <s v="ORD1733"/>
    <x v="657"/>
    <x v="0"/>
    <x v="1"/>
    <n v="16200"/>
    <x v="3"/>
    <x v="0"/>
    <s v="Active"/>
    <x v="1"/>
    <s v="Ashanti"/>
    <n v="0.1"/>
    <x v="1"/>
    <n v="14580"/>
    <x v="1"/>
  </r>
  <r>
    <s v="ORD1734"/>
    <x v="348"/>
    <x v="2"/>
    <x v="1"/>
    <n v="10800"/>
    <x v="2"/>
    <x v="0"/>
    <s v="Active"/>
    <x v="1"/>
    <s v="Western North"/>
    <n v="0.1"/>
    <x v="1"/>
    <n v="9720"/>
    <x v="1"/>
  </r>
  <r>
    <s v="ORD1735"/>
    <x v="234"/>
    <x v="1"/>
    <x v="0"/>
    <n v="500"/>
    <x v="2"/>
    <x v="2"/>
    <s v="Active"/>
    <x v="1"/>
    <s v="Bono"/>
    <n v="0"/>
    <x v="1"/>
    <n v="500"/>
    <x v="1"/>
  </r>
  <r>
    <s v="ORD1736"/>
    <x v="312"/>
    <x v="0"/>
    <x v="1"/>
    <n v="16200"/>
    <x v="1"/>
    <x v="2"/>
    <s v="Cancelled"/>
    <x v="0"/>
    <s v="Central"/>
    <n v="0.1"/>
    <x v="0"/>
    <n v="14580"/>
    <x v="0"/>
  </r>
  <r>
    <s v="ORD1737"/>
    <x v="392"/>
    <x v="2"/>
    <x v="0"/>
    <n v="1000"/>
    <x v="2"/>
    <x v="0"/>
    <s v="Active"/>
    <x v="1"/>
    <s v="Northern"/>
    <n v="0"/>
    <x v="3"/>
    <n v="1000"/>
    <x v="1"/>
  </r>
  <r>
    <s v="ORD1738"/>
    <x v="232"/>
    <x v="2"/>
    <x v="1"/>
    <n v="10800"/>
    <x v="0"/>
    <x v="2"/>
    <s v="Active"/>
    <x v="1"/>
    <s v="Savannah"/>
    <n v="0.1"/>
    <x v="3"/>
    <n v="9720"/>
    <x v="1"/>
  </r>
  <r>
    <s v="ORD1739"/>
    <x v="36"/>
    <x v="2"/>
    <x v="0"/>
    <n v="1000"/>
    <x v="2"/>
    <x v="0"/>
    <s v="Cancelled"/>
    <x v="0"/>
    <s v="Northern"/>
    <n v="0"/>
    <x v="3"/>
    <n v="1000"/>
    <x v="0"/>
  </r>
  <r>
    <s v="ORD1740"/>
    <x v="377"/>
    <x v="2"/>
    <x v="1"/>
    <n v="10800"/>
    <x v="2"/>
    <x v="2"/>
    <s v="Active"/>
    <x v="1"/>
    <s v="Bono"/>
    <n v="0.1"/>
    <x v="1"/>
    <n v="9720"/>
    <x v="1"/>
  </r>
  <r>
    <s v="ORD1741"/>
    <x v="359"/>
    <x v="0"/>
    <x v="0"/>
    <n v="1500"/>
    <x v="2"/>
    <x v="1"/>
    <s v="Cancelled"/>
    <x v="0"/>
    <s v="Eastern"/>
    <n v="0"/>
    <x v="2"/>
    <n v="1500"/>
    <x v="0"/>
  </r>
  <r>
    <s v="ORD1742"/>
    <x v="600"/>
    <x v="2"/>
    <x v="0"/>
    <n v="1000"/>
    <x v="0"/>
    <x v="1"/>
    <s v="Active"/>
    <x v="1"/>
    <s v="Volta"/>
    <n v="0"/>
    <x v="2"/>
    <n v="1000"/>
    <x v="1"/>
  </r>
  <r>
    <s v="ORD1743"/>
    <x v="504"/>
    <x v="2"/>
    <x v="0"/>
    <n v="1000"/>
    <x v="1"/>
    <x v="1"/>
    <s v="Cancelled"/>
    <x v="0"/>
    <s v="Greater Accra"/>
    <n v="0"/>
    <x v="0"/>
    <n v="1000"/>
    <x v="0"/>
  </r>
  <r>
    <s v="ORD1744"/>
    <x v="658"/>
    <x v="1"/>
    <x v="0"/>
    <n v="500"/>
    <x v="0"/>
    <x v="2"/>
    <s v="Active"/>
    <x v="1"/>
    <s v="Volta"/>
    <n v="0"/>
    <x v="2"/>
    <n v="500"/>
    <x v="1"/>
  </r>
  <r>
    <s v="ORD1745"/>
    <x v="248"/>
    <x v="1"/>
    <x v="0"/>
    <n v="500"/>
    <x v="1"/>
    <x v="1"/>
    <s v="Active"/>
    <x v="1"/>
    <s v="Greater Accra"/>
    <n v="0"/>
    <x v="0"/>
    <n v="500"/>
    <x v="1"/>
  </r>
  <r>
    <s v="ORD1746"/>
    <x v="659"/>
    <x v="0"/>
    <x v="0"/>
    <n v="1500"/>
    <x v="2"/>
    <x v="1"/>
    <s v="Cancelled"/>
    <x v="0"/>
    <s v="Western"/>
    <n v="0"/>
    <x v="1"/>
    <n v="1500"/>
    <x v="0"/>
  </r>
  <r>
    <s v="ORD1747"/>
    <x v="201"/>
    <x v="1"/>
    <x v="0"/>
    <n v="500"/>
    <x v="0"/>
    <x v="1"/>
    <s v="Active"/>
    <x v="1"/>
    <s v="Upper East"/>
    <n v="0"/>
    <x v="3"/>
    <n v="500"/>
    <x v="1"/>
  </r>
  <r>
    <s v="ORD1748"/>
    <x v="43"/>
    <x v="2"/>
    <x v="0"/>
    <n v="1000"/>
    <x v="1"/>
    <x v="0"/>
    <s v="Active"/>
    <x v="1"/>
    <s v="Central"/>
    <n v="0"/>
    <x v="0"/>
    <n v="1000"/>
    <x v="1"/>
  </r>
  <r>
    <s v="ORD1749"/>
    <x v="163"/>
    <x v="1"/>
    <x v="0"/>
    <n v="500"/>
    <x v="3"/>
    <x v="1"/>
    <s v="Active"/>
    <x v="1"/>
    <s v="Oti"/>
    <n v="0"/>
    <x v="2"/>
    <n v="500"/>
    <x v="1"/>
  </r>
  <r>
    <s v="ORD1750"/>
    <x v="236"/>
    <x v="2"/>
    <x v="0"/>
    <n v="1000"/>
    <x v="0"/>
    <x v="1"/>
    <s v="Active"/>
    <x v="1"/>
    <s v="Volta"/>
    <n v="0"/>
    <x v="2"/>
    <n v="1000"/>
    <x v="1"/>
  </r>
  <r>
    <s v="ORD1751"/>
    <x v="606"/>
    <x v="1"/>
    <x v="0"/>
    <n v="500"/>
    <x v="1"/>
    <x v="0"/>
    <s v="Active"/>
    <x v="1"/>
    <s v="Ashanti"/>
    <n v="0"/>
    <x v="1"/>
    <n v="500"/>
    <x v="1"/>
  </r>
  <r>
    <s v="ORD1752"/>
    <x v="76"/>
    <x v="2"/>
    <x v="0"/>
    <n v="1000"/>
    <x v="0"/>
    <x v="0"/>
    <s v="Cancelled"/>
    <x v="0"/>
    <s v="Ashanti"/>
    <n v="0"/>
    <x v="1"/>
    <n v="1000"/>
    <x v="0"/>
  </r>
  <r>
    <s v="ORD1753"/>
    <x v="331"/>
    <x v="2"/>
    <x v="0"/>
    <n v="1000"/>
    <x v="1"/>
    <x v="0"/>
    <s v="Active"/>
    <x v="1"/>
    <s v="Ashanti"/>
    <n v="0"/>
    <x v="1"/>
    <n v="1000"/>
    <x v="1"/>
  </r>
  <r>
    <s v="ORD1754"/>
    <x v="316"/>
    <x v="1"/>
    <x v="1"/>
    <n v="5400"/>
    <x v="3"/>
    <x v="0"/>
    <s v="Cancelled"/>
    <x v="0"/>
    <s v="Ahafo"/>
    <n v="0.1"/>
    <x v="1"/>
    <n v="4860"/>
    <x v="0"/>
  </r>
  <r>
    <s v="ORD1755"/>
    <x v="498"/>
    <x v="2"/>
    <x v="1"/>
    <n v="10800"/>
    <x v="3"/>
    <x v="0"/>
    <s v="Cancelled"/>
    <x v="0"/>
    <s v="Ahafo"/>
    <n v="0.1"/>
    <x v="1"/>
    <n v="9720"/>
    <x v="0"/>
  </r>
  <r>
    <s v="ORD1756"/>
    <x v="277"/>
    <x v="2"/>
    <x v="1"/>
    <n v="10800"/>
    <x v="3"/>
    <x v="2"/>
    <s v="Cancelled"/>
    <x v="0"/>
    <s v="Western"/>
    <n v="0.1"/>
    <x v="1"/>
    <n v="9720"/>
    <x v="0"/>
  </r>
  <r>
    <s v="ORD1757"/>
    <x v="581"/>
    <x v="0"/>
    <x v="0"/>
    <n v="1500"/>
    <x v="3"/>
    <x v="0"/>
    <s v="Active"/>
    <x v="1"/>
    <s v="Oti"/>
    <n v="0"/>
    <x v="2"/>
    <n v="1500"/>
    <x v="1"/>
  </r>
  <r>
    <s v="ORD1758"/>
    <x v="372"/>
    <x v="0"/>
    <x v="1"/>
    <n v="16200"/>
    <x v="1"/>
    <x v="1"/>
    <s v="Active"/>
    <x v="1"/>
    <s v="Ashanti"/>
    <n v="0.1"/>
    <x v="1"/>
    <n v="14580"/>
    <x v="1"/>
  </r>
  <r>
    <s v="ORD1759"/>
    <x v="212"/>
    <x v="1"/>
    <x v="0"/>
    <n v="500"/>
    <x v="3"/>
    <x v="2"/>
    <s v="Active"/>
    <x v="1"/>
    <s v="Ahafo"/>
    <n v="0"/>
    <x v="1"/>
    <n v="500"/>
    <x v="1"/>
  </r>
  <r>
    <s v="ORD1760"/>
    <x v="455"/>
    <x v="2"/>
    <x v="0"/>
    <n v="1000"/>
    <x v="0"/>
    <x v="1"/>
    <s v="Cancelled"/>
    <x v="0"/>
    <s v="Volta"/>
    <n v="0"/>
    <x v="2"/>
    <n v="1000"/>
    <x v="0"/>
  </r>
  <r>
    <s v="ORD1761"/>
    <x v="137"/>
    <x v="0"/>
    <x v="0"/>
    <n v="1500"/>
    <x v="2"/>
    <x v="1"/>
    <s v="Cancelled"/>
    <x v="0"/>
    <s v="Eastern"/>
    <n v="0"/>
    <x v="2"/>
    <n v="1500"/>
    <x v="0"/>
  </r>
  <r>
    <s v="ORD1762"/>
    <x v="486"/>
    <x v="2"/>
    <x v="1"/>
    <n v="10800"/>
    <x v="3"/>
    <x v="0"/>
    <s v="Active"/>
    <x v="1"/>
    <s v="Western"/>
    <n v="0.1"/>
    <x v="1"/>
    <n v="9720"/>
    <x v="1"/>
  </r>
  <r>
    <s v="ORD1763"/>
    <x v="438"/>
    <x v="2"/>
    <x v="1"/>
    <n v="10800"/>
    <x v="1"/>
    <x v="0"/>
    <s v="Cancelled"/>
    <x v="0"/>
    <s v="Central"/>
    <n v="0.1"/>
    <x v="0"/>
    <n v="9720"/>
    <x v="0"/>
  </r>
  <r>
    <s v="ORD1764"/>
    <x v="222"/>
    <x v="2"/>
    <x v="1"/>
    <n v="10800"/>
    <x v="3"/>
    <x v="2"/>
    <s v="Active"/>
    <x v="1"/>
    <s v="Eastern"/>
    <n v="0.1"/>
    <x v="2"/>
    <n v="9720"/>
    <x v="1"/>
  </r>
  <r>
    <s v="ORD1765"/>
    <x v="505"/>
    <x v="1"/>
    <x v="0"/>
    <n v="500"/>
    <x v="1"/>
    <x v="2"/>
    <s v="Active"/>
    <x v="1"/>
    <s v="Ashanti"/>
    <n v="0"/>
    <x v="1"/>
    <n v="500"/>
    <x v="1"/>
  </r>
  <r>
    <s v="ORD1766"/>
    <x v="43"/>
    <x v="2"/>
    <x v="0"/>
    <n v="1000"/>
    <x v="3"/>
    <x v="0"/>
    <s v="Active"/>
    <x v="1"/>
    <s v="Greater Accra"/>
    <n v="0"/>
    <x v="0"/>
    <n v="1000"/>
    <x v="1"/>
  </r>
  <r>
    <s v="ORD1767"/>
    <x v="454"/>
    <x v="2"/>
    <x v="0"/>
    <n v="1000"/>
    <x v="2"/>
    <x v="0"/>
    <s v="Cancelled"/>
    <x v="0"/>
    <s v="Western"/>
    <n v="0"/>
    <x v="1"/>
    <n v="1000"/>
    <x v="0"/>
  </r>
  <r>
    <s v="ORD1768"/>
    <x v="340"/>
    <x v="0"/>
    <x v="1"/>
    <n v="16200"/>
    <x v="3"/>
    <x v="0"/>
    <s v="Active"/>
    <x v="1"/>
    <s v="Greater Accra"/>
    <n v="0.1"/>
    <x v="0"/>
    <n v="14580"/>
    <x v="1"/>
  </r>
  <r>
    <s v="ORD1769"/>
    <x v="591"/>
    <x v="2"/>
    <x v="1"/>
    <n v="10800"/>
    <x v="1"/>
    <x v="0"/>
    <s v="Active"/>
    <x v="1"/>
    <s v="Greater Accra"/>
    <n v="0.1"/>
    <x v="0"/>
    <n v="9720"/>
    <x v="1"/>
  </r>
  <r>
    <s v="ORD1770"/>
    <x v="108"/>
    <x v="2"/>
    <x v="1"/>
    <n v="10800"/>
    <x v="1"/>
    <x v="1"/>
    <s v="Active"/>
    <x v="1"/>
    <s v="Central"/>
    <n v="0.1"/>
    <x v="0"/>
    <n v="9720"/>
    <x v="1"/>
  </r>
  <r>
    <s v="ORD1771"/>
    <x v="279"/>
    <x v="0"/>
    <x v="0"/>
    <n v="1500"/>
    <x v="2"/>
    <x v="0"/>
    <s v="Active"/>
    <x v="1"/>
    <s v="Northern"/>
    <n v="0"/>
    <x v="3"/>
    <n v="1500"/>
    <x v="1"/>
  </r>
  <r>
    <s v="ORD1772"/>
    <x v="437"/>
    <x v="2"/>
    <x v="1"/>
    <n v="10800"/>
    <x v="2"/>
    <x v="1"/>
    <s v="Active"/>
    <x v="1"/>
    <s v="Western"/>
    <n v="0.1"/>
    <x v="1"/>
    <n v="9720"/>
    <x v="1"/>
  </r>
  <r>
    <s v="ORD1773"/>
    <x v="257"/>
    <x v="1"/>
    <x v="1"/>
    <n v="5400"/>
    <x v="0"/>
    <x v="0"/>
    <s v="Active"/>
    <x v="1"/>
    <s v="Volta"/>
    <n v="0.1"/>
    <x v="2"/>
    <n v="4860"/>
    <x v="1"/>
  </r>
  <r>
    <s v="ORD1774"/>
    <x v="546"/>
    <x v="1"/>
    <x v="0"/>
    <n v="500"/>
    <x v="0"/>
    <x v="2"/>
    <s v="Cancelled"/>
    <x v="0"/>
    <s v="Ashanti"/>
    <n v="0"/>
    <x v="1"/>
    <n v="500"/>
    <x v="0"/>
  </r>
  <r>
    <s v="ORD1775"/>
    <x v="563"/>
    <x v="2"/>
    <x v="1"/>
    <n v="10800"/>
    <x v="0"/>
    <x v="1"/>
    <s v="Cancelled"/>
    <x v="0"/>
    <s v="Volta"/>
    <n v="0.1"/>
    <x v="2"/>
    <n v="9720"/>
    <x v="0"/>
  </r>
  <r>
    <s v="ORD1776"/>
    <x v="389"/>
    <x v="2"/>
    <x v="1"/>
    <n v="10800"/>
    <x v="1"/>
    <x v="2"/>
    <s v="Cancelled"/>
    <x v="0"/>
    <s v="Central"/>
    <n v="0.1"/>
    <x v="0"/>
    <n v="9720"/>
    <x v="0"/>
  </r>
  <r>
    <s v="ORD1777"/>
    <x v="56"/>
    <x v="1"/>
    <x v="1"/>
    <n v="5400"/>
    <x v="2"/>
    <x v="0"/>
    <s v="Active"/>
    <x v="1"/>
    <s v="Northern"/>
    <n v="0.1"/>
    <x v="3"/>
    <n v="4860"/>
    <x v="1"/>
  </r>
  <r>
    <s v="ORD1778"/>
    <x v="194"/>
    <x v="2"/>
    <x v="1"/>
    <n v="10800"/>
    <x v="1"/>
    <x v="0"/>
    <s v="Cancelled"/>
    <x v="0"/>
    <s v="Greater Accra"/>
    <n v="0.1"/>
    <x v="0"/>
    <n v="9720"/>
    <x v="0"/>
  </r>
  <r>
    <s v="ORD1779"/>
    <x v="660"/>
    <x v="0"/>
    <x v="1"/>
    <n v="16200"/>
    <x v="2"/>
    <x v="0"/>
    <s v="Active"/>
    <x v="1"/>
    <s v="Bono"/>
    <n v="0.1"/>
    <x v="1"/>
    <n v="14580"/>
    <x v="1"/>
  </r>
  <r>
    <s v="ORD1780"/>
    <x v="11"/>
    <x v="1"/>
    <x v="1"/>
    <n v="5400"/>
    <x v="0"/>
    <x v="0"/>
    <s v="Cancelled"/>
    <x v="0"/>
    <s v="Greater Accra"/>
    <n v="0.1"/>
    <x v="0"/>
    <n v="4860"/>
    <x v="0"/>
  </r>
  <r>
    <s v="ORD1781"/>
    <x v="460"/>
    <x v="0"/>
    <x v="1"/>
    <n v="16200"/>
    <x v="3"/>
    <x v="2"/>
    <s v="Cancelled"/>
    <x v="0"/>
    <s v="Greater Accra"/>
    <n v="0.1"/>
    <x v="0"/>
    <n v="14580"/>
    <x v="0"/>
  </r>
  <r>
    <s v="ORD1782"/>
    <x v="522"/>
    <x v="2"/>
    <x v="1"/>
    <n v="10800"/>
    <x v="3"/>
    <x v="1"/>
    <s v="Active"/>
    <x v="1"/>
    <s v="Greater Accra"/>
    <n v="0.1"/>
    <x v="0"/>
    <n v="9720"/>
    <x v="1"/>
  </r>
  <r>
    <s v="ORD1783"/>
    <x v="310"/>
    <x v="2"/>
    <x v="0"/>
    <n v="1000"/>
    <x v="3"/>
    <x v="0"/>
    <s v="Cancelled"/>
    <x v="0"/>
    <s v="Oti"/>
    <n v="0"/>
    <x v="2"/>
    <n v="1000"/>
    <x v="0"/>
  </r>
  <r>
    <s v="ORD1784"/>
    <x v="174"/>
    <x v="2"/>
    <x v="0"/>
    <n v="1000"/>
    <x v="0"/>
    <x v="0"/>
    <s v="Cancelled"/>
    <x v="0"/>
    <s v="Volta"/>
    <n v="0"/>
    <x v="2"/>
    <n v="1000"/>
    <x v="0"/>
  </r>
  <r>
    <s v="ORD1785"/>
    <x v="411"/>
    <x v="2"/>
    <x v="0"/>
    <n v="1000"/>
    <x v="0"/>
    <x v="2"/>
    <s v="Cancelled"/>
    <x v="0"/>
    <s v="Volta"/>
    <n v="0"/>
    <x v="2"/>
    <n v="1000"/>
    <x v="0"/>
  </r>
  <r>
    <s v="ORD1786"/>
    <x v="377"/>
    <x v="2"/>
    <x v="1"/>
    <n v="10800"/>
    <x v="2"/>
    <x v="1"/>
    <s v="Cancelled"/>
    <x v="0"/>
    <s v="Northern"/>
    <n v="0.1"/>
    <x v="3"/>
    <n v="9720"/>
    <x v="0"/>
  </r>
  <r>
    <s v="ORD1787"/>
    <x v="635"/>
    <x v="2"/>
    <x v="0"/>
    <n v="1000"/>
    <x v="0"/>
    <x v="0"/>
    <s v="Cancelled"/>
    <x v="0"/>
    <s v="Upper East"/>
    <n v="0"/>
    <x v="3"/>
    <n v="1000"/>
    <x v="0"/>
  </r>
  <r>
    <s v="ORD1788"/>
    <x v="312"/>
    <x v="1"/>
    <x v="0"/>
    <n v="500"/>
    <x v="1"/>
    <x v="0"/>
    <s v="Active"/>
    <x v="1"/>
    <s v="Western"/>
    <n v="0"/>
    <x v="1"/>
    <n v="500"/>
    <x v="1"/>
  </r>
  <r>
    <s v="ORD1789"/>
    <x v="335"/>
    <x v="1"/>
    <x v="1"/>
    <n v="5400"/>
    <x v="1"/>
    <x v="1"/>
    <s v="Active"/>
    <x v="1"/>
    <s v="Western"/>
    <n v="0.1"/>
    <x v="1"/>
    <n v="4860"/>
    <x v="1"/>
  </r>
  <r>
    <s v="ORD1790"/>
    <x v="48"/>
    <x v="1"/>
    <x v="1"/>
    <n v="5400"/>
    <x v="0"/>
    <x v="1"/>
    <s v="Active"/>
    <x v="1"/>
    <s v="Savannah"/>
    <n v="0.1"/>
    <x v="3"/>
    <n v="4860"/>
    <x v="1"/>
  </r>
  <r>
    <s v="ORD1791"/>
    <x v="257"/>
    <x v="0"/>
    <x v="0"/>
    <n v="1500"/>
    <x v="3"/>
    <x v="1"/>
    <s v="Active"/>
    <x v="1"/>
    <s v="Ahafo"/>
    <n v="0"/>
    <x v="1"/>
    <n v="1500"/>
    <x v="1"/>
  </r>
  <r>
    <s v="ORD1792"/>
    <x v="573"/>
    <x v="0"/>
    <x v="0"/>
    <n v="1500"/>
    <x v="2"/>
    <x v="1"/>
    <s v="Active"/>
    <x v="1"/>
    <s v="Western"/>
    <n v="0"/>
    <x v="1"/>
    <n v="1500"/>
    <x v="1"/>
  </r>
  <r>
    <s v="ORD1793"/>
    <x v="381"/>
    <x v="0"/>
    <x v="1"/>
    <n v="16200"/>
    <x v="1"/>
    <x v="2"/>
    <s v="Active"/>
    <x v="1"/>
    <s v="Ashanti"/>
    <n v="0.1"/>
    <x v="1"/>
    <n v="14580"/>
    <x v="1"/>
  </r>
  <r>
    <s v="ORD1794"/>
    <x v="580"/>
    <x v="2"/>
    <x v="0"/>
    <n v="1000"/>
    <x v="0"/>
    <x v="2"/>
    <s v="Active"/>
    <x v="1"/>
    <s v="Volta"/>
    <n v="0"/>
    <x v="2"/>
    <n v="1000"/>
    <x v="1"/>
  </r>
  <r>
    <s v="ORD1795"/>
    <x v="606"/>
    <x v="0"/>
    <x v="0"/>
    <n v="1500"/>
    <x v="1"/>
    <x v="1"/>
    <s v="Cancelled"/>
    <x v="0"/>
    <s v="Western"/>
    <n v="0"/>
    <x v="1"/>
    <n v="1500"/>
    <x v="0"/>
  </r>
  <r>
    <s v="ORD1796"/>
    <x v="71"/>
    <x v="2"/>
    <x v="1"/>
    <n v="10800"/>
    <x v="2"/>
    <x v="1"/>
    <s v="Active"/>
    <x v="1"/>
    <s v="Western"/>
    <n v="0.1"/>
    <x v="1"/>
    <n v="9720"/>
    <x v="1"/>
  </r>
  <r>
    <s v="ORD1797"/>
    <x v="418"/>
    <x v="0"/>
    <x v="0"/>
    <n v="1500"/>
    <x v="3"/>
    <x v="0"/>
    <s v="Cancelled"/>
    <x v="0"/>
    <s v="Eastern"/>
    <n v="0"/>
    <x v="2"/>
    <n v="1500"/>
    <x v="0"/>
  </r>
  <r>
    <s v="ORD1798"/>
    <x v="314"/>
    <x v="1"/>
    <x v="1"/>
    <n v="5400"/>
    <x v="2"/>
    <x v="1"/>
    <s v="Cancelled"/>
    <x v="0"/>
    <s v="Northern"/>
    <n v="0.1"/>
    <x v="3"/>
    <n v="4860"/>
    <x v="0"/>
  </r>
  <r>
    <s v="ORD1799"/>
    <x v="200"/>
    <x v="2"/>
    <x v="1"/>
    <n v="10800"/>
    <x v="1"/>
    <x v="2"/>
    <s v="Active"/>
    <x v="1"/>
    <s v="Central"/>
    <n v="0.1"/>
    <x v="0"/>
    <n v="9720"/>
    <x v="1"/>
  </r>
  <r>
    <s v="ORD1800"/>
    <x v="133"/>
    <x v="1"/>
    <x v="1"/>
    <n v="5400"/>
    <x v="0"/>
    <x v="2"/>
    <s v="Active"/>
    <x v="1"/>
    <s v="Ashanti"/>
    <n v="0.1"/>
    <x v="1"/>
    <n v="4860"/>
    <x v="1"/>
  </r>
  <r>
    <s v="ORD1801"/>
    <x v="380"/>
    <x v="0"/>
    <x v="0"/>
    <n v="1500"/>
    <x v="0"/>
    <x v="0"/>
    <s v="Cancelled"/>
    <x v="0"/>
    <s v="Savannah"/>
    <n v="0"/>
    <x v="3"/>
    <n v="1500"/>
    <x v="0"/>
  </r>
  <r>
    <s v="ORD1802"/>
    <x v="122"/>
    <x v="0"/>
    <x v="0"/>
    <n v="1500"/>
    <x v="1"/>
    <x v="1"/>
    <s v="Active"/>
    <x v="1"/>
    <s v="Western"/>
    <n v="0"/>
    <x v="1"/>
    <n v="1500"/>
    <x v="1"/>
  </r>
  <r>
    <s v="ORD1803"/>
    <x v="494"/>
    <x v="2"/>
    <x v="0"/>
    <n v="1000"/>
    <x v="1"/>
    <x v="2"/>
    <s v="Active"/>
    <x v="1"/>
    <s v="Central"/>
    <n v="0"/>
    <x v="0"/>
    <n v="1000"/>
    <x v="1"/>
  </r>
  <r>
    <s v="ORD1804"/>
    <x v="366"/>
    <x v="1"/>
    <x v="0"/>
    <n v="500"/>
    <x v="2"/>
    <x v="0"/>
    <s v="Cancelled"/>
    <x v="0"/>
    <s v="Western"/>
    <n v="0"/>
    <x v="1"/>
    <n v="500"/>
    <x v="0"/>
  </r>
  <r>
    <s v="ORD1805"/>
    <x v="589"/>
    <x v="2"/>
    <x v="0"/>
    <n v="1000"/>
    <x v="1"/>
    <x v="2"/>
    <s v="Cancelled"/>
    <x v="0"/>
    <s v="Greater Accra"/>
    <n v="0"/>
    <x v="0"/>
    <n v="1000"/>
    <x v="0"/>
  </r>
  <r>
    <s v="ORD1806"/>
    <x v="358"/>
    <x v="2"/>
    <x v="0"/>
    <n v="1000"/>
    <x v="3"/>
    <x v="1"/>
    <s v="Active"/>
    <x v="1"/>
    <s v="Ahafo"/>
    <n v="0"/>
    <x v="1"/>
    <n v="1000"/>
    <x v="1"/>
  </r>
  <r>
    <s v="ORD1807"/>
    <x v="540"/>
    <x v="1"/>
    <x v="0"/>
    <n v="500"/>
    <x v="1"/>
    <x v="0"/>
    <s v="Cancelled"/>
    <x v="0"/>
    <s v="Greater Accra"/>
    <n v="0"/>
    <x v="0"/>
    <n v="500"/>
    <x v="0"/>
  </r>
  <r>
    <s v="ORD1808"/>
    <x v="141"/>
    <x v="0"/>
    <x v="1"/>
    <n v="16200"/>
    <x v="2"/>
    <x v="1"/>
    <s v="Cancelled"/>
    <x v="0"/>
    <s v="Bono"/>
    <n v="0.1"/>
    <x v="1"/>
    <n v="14580"/>
    <x v="0"/>
  </r>
  <r>
    <s v="ORD1809"/>
    <x v="226"/>
    <x v="0"/>
    <x v="1"/>
    <n v="16200"/>
    <x v="1"/>
    <x v="2"/>
    <s v="Cancelled"/>
    <x v="0"/>
    <s v="Greater Accra"/>
    <n v="0.1"/>
    <x v="0"/>
    <n v="14580"/>
    <x v="0"/>
  </r>
  <r>
    <s v="ORD1810"/>
    <x v="519"/>
    <x v="0"/>
    <x v="1"/>
    <n v="16200"/>
    <x v="1"/>
    <x v="0"/>
    <s v="Active"/>
    <x v="1"/>
    <s v="Central"/>
    <n v="0.1"/>
    <x v="0"/>
    <n v="14580"/>
    <x v="1"/>
  </r>
  <r>
    <s v="ORD1811"/>
    <x v="287"/>
    <x v="0"/>
    <x v="1"/>
    <n v="16200"/>
    <x v="3"/>
    <x v="1"/>
    <s v="Cancelled"/>
    <x v="0"/>
    <s v="Ashanti"/>
    <n v="0.1"/>
    <x v="1"/>
    <n v="14580"/>
    <x v="0"/>
  </r>
  <r>
    <s v="ORD1812"/>
    <x v="501"/>
    <x v="0"/>
    <x v="0"/>
    <n v="1500"/>
    <x v="2"/>
    <x v="1"/>
    <s v="Active"/>
    <x v="1"/>
    <s v="Western North"/>
    <n v="0"/>
    <x v="1"/>
    <n v="1500"/>
    <x v="1"/>
  </r>
  <r>
    <s v="ORD1813"/>
    <x v="508"/>
    <x v="0"/>
    <x v="1"/>
    <n v="16200"/>
    <x v="1"/>
    <x v="2"/>
    <s v="Active"/>
    <x v="1"/>
    <s v="Central"/>
    <n v="0.1"/>
    <x v="0"/>
    <n v="14580"/>
    <x v="1"/>
  </r>
  <r>
    <s v="ORD1814"/>
    <x v="333"/>
    <x v="2"/>
    <x v="0"/>
    <n v="1000"/>
    <x v="0"/>
    <x v="1"/>
    <s v="Active"/>
    <x v="1"/>
    <s v="Ashanti"/>
    <n v="0"/>
    <x v="1"/>
    <n v="1000"/>
    <x v="1"/>
  </r>
  <r>
    <s v="ORD1815"/>
    <x v="332"/>
    <x v="1"/>
    <x v="0"/>
    <n v="500"/>
    <x v="1"/>
    <x v="2"/>
    <s v="Cancelled"/>
    <x v="0"/>
    <s v="Greater Accra"/>
    <n v="0"/>
    <x v="0"/>
    <n v="500"/>
    <x v="0"/>
  </r>
  <r>
    <s v="ORD1816"/>
    <x v="350"/>
    <x v="1"/>
    <x v="1"/>
    <n v="5400"/>
    <x v="2"/>
    <x v="1"/>
    <s v="Active"/>
    <x v="1"/>
    <s v="Northern"/>
    <n v="0.1"/>
    <x v="3"/>
    <n v="4860"/>
    <x v="1"/>
  </r>
  <r>
    <s v="ORD1817"/>
    <x v="309"/>
    <x v="1"/>
    <x v="1"/>
    <n v="5400"/>
    <x v="3"/>
    <x v="1"/>
    <s v="Active"/>
    <x v="1"/>
    <s v="Eastern"/>
    <n v="0.1"/>
    <x v="2"/>
    <n v="4860"/>
    <x v="1"/>
  </r>
  <r>
    <s v="ORD1818"/>
    <x v="146"/>
    <x v="0"/>
    <x v="0"/>
    <n v="1500"/>
    <x v="2"/>
    <x v="0"/>
    <s v="Active"/>
    <x v="1"/>
    <s v="Eastern"/>
    <n v="0"/>
    <x v="2"/>
    <n v="1500"/>
    <x v="1"/>
  </r>
  <r>
    <s v="ORD1819"/>
    <x v="176"/>
    <x v="2"/>
    <x v="0"/>
    <n v="1000"/>
    <x v="1"/>
    <x v="1"/>
    <s v="Active"/>
    <x v="1"/>
    <s v="Greater Accra"/>
    <n v="0"/>
    <x v="0"/>
    <n v="1000"/>
    <x v="1"/>
  </r>
  <r>
    <s v="ORD1820"/>
    <x v="650"/>
    <x v="2"/>
    <x v="1"/>
    <n v="10800"/>
    <x v="1"/>
    <x v="1"/>
    <s v="Active"/>
    <x v="1"/>
    <s v="Central"/>
    <n v="0.1"/>
    <x v="0"/>
    <n v="9720"/>
    <x v="1"/>
  </r>
  <r>
    <s v="ORD1821"/>
    <x v="212"/>
    <x v="0"/>
    <x v="1"/>
    <n v="16200"/>
    <x v="1"/>
    <x v="1"/>
    <s v="Cancelled"/>
    <x v="0"/>
    <s v="Greater Accra"/>
    <n v="0.1"/>
    <x v="0"/>
    <n v="14580"/>
    <x v="0"/>
  </r>
  <r>
    <s v="ORD1822"/>
    <x v="167"/>
    <x v="0"/>
    <x v="0"/>
    <n v="1500"/>
    <x v="2"/>
    <x v="1"/>
    <s v="Active"/>
    <x v="1"/>
    <s v="Western"/>
    <n v="0"/>
    <x v="1"/>
    <n v="1500"/>
    <x v="1"/>
  </r>
  <r>
    <s v="ORD1823"/>
    <x v="238"/>
    <x v="0"/>
    <x v="0"/>
    <n v="1500"/>
    <x v="3"/>
    <x v="0"/>
    <s v="Cancelled"/>
    <x v="0"/>
    <s v="Ahafo"/>
    <n v="0"/>
    <x v="1"/>
    <n v="1500"/>
    <x v="0"/>
  </r>
  <r>
    <s v="ORD1824"/>
    <x v="398"/>
    <x v="1"/>
    <x v="0"/>
    <n v="500"/>
    <x v="2"/>
    <x v="2"/>
    <s v="Active"/>
    <x v="1"/>
    <s v="Northern"/>
    <n v="0"/>
    <x v="3"/>
    <n v="500"/>
    <x v="1"/>
  </r>
  <r>
    <s v="ORD1825"/>
    <x v="393"/>
    <x v="1"/>
    <x v="1"/>
    <n v="5400"/>
    <x v="0"/>
    <x v="1"/>
    <s v="Active"/>
    <x v="1"/>
    <s v="Upper East"/>
    <n v="0.1"/>
    <x v="3"/>
    <n v="4860"/>
    <x v="1"/>
  </r>
  <r>
    <s v="ORD1826"/>
    <x v="393"/>
    <x v="2"/>
    <x v="1"/>
    <n v="10800"/>
    <x v="1"/>
    <x v="2"/>
    <s v="Active"/>
    <x v="1"/>
    <s v="Greater Accra"/>
    <n v="0.1"/>
    <x v="0"/>
    <n v="9720"/>
    <x v="1"/>
  </r>
  <r>
    <s v="ORD1827"/>
    <x v="256"/>
    <x v="0"/>
    <x v="1"/>
    <n v="16200"/>
    <x v="1"/>
    <x v="2"/>
    <s v="Cancelled"/>
    <x v="0"/>
    <s v="Western"/>
    <n v="0.1"/>
    <x v="1"/>
    <n v="14580"/>
    <x v="0"/>
  </r>
  <r>
    <s v="ORD1828"/>
    <x v="595"/>
    <x v="2"/>
    <x v="0"/>
    <n v="1000"/>
    <x v="0"/>
    <x v="2"/>
    <s v="Active"/>
    <x v="1"/>
    <s v="Upper East"/>
    <n v="0"/>
    <x v="3"/>
    <n v="1000"/>
    <x v="1"/>
  </r>
  <r>
    <s v="ORD1829"/>
    <x v="210"/>
    <x v="2"/>
    <x v="0"/>
    <n v="1000"/>
    <x v="2"/>
    <x v="1"/>
    <s v="Cancelled"/>
    <x v="0"/>
    <s v="Western North"/>
    <n v="0"/>
    <x v="1"/>
    <n v="1000"/>
    <x v="0"/>
  </r>
  <r>
    <s v="ORD1830"/>
    <x v="601"/>
    <x v="2"/>
    <x v="0"/>
    <n v="1000"/>
    <x v="0"/>
    <x v="0"/>
    <s v="Active"/>
    <x v="1"/>
    <s v="Volta"/>
    <n v="0"/>
    <x v="2"/>
    <n v="1000"/>
    <x v="1"/>
  </r>
  <r>
    <s v="ORD1831"/>
    <x v="637"/>
    <x v="0"/>
    <x v="1"/>
    <n v="16200"/>
    <x v="3"/>
    <x v="2"/>
    <s v="Cancelled"/>
    <x v="0"/>
    <s v="Eastern"/>
    <n v="0.1"/>
    <x v="2"/>
    <n v="14580"/>
    <x v="0"/>
  </r>
  <r>
    <s v="ORD1832"/>
    <x v="492"/>
    <x v="1"/>
    <x v="0"/>
    <n v="500"/>
    <x v="2"/>
    <x v="1"/>
    <s v="Cancelled"/>
    <x v="0"/>
    <s v="Bono"/>
    <n v="0"/>
    <x v="1"/>
    <n v="500"/>
    <x v="0"/>
  </r>
  <r>
    <s v="ORD1833"/>
    <x v="437"/>
    <x v="1"/>
    <x v="1"/>
    <n v="5400"/>
    <x v="1"/>
    <x v="2"/>
    <s v="Active"/>
    <x v="1"/>
    <s v="Ashanti"/>
    <n v="0.1"/>
    <x v="1"/>
    <n v="4860"/>
    <x v="1"/>
  </r>
  <r>
    <s v="ORD1834"/>
    <x v="322"/>
    <x v="1"/>
    <x v="0"/>
    <n v="500"/>
    <x v="0"/>
    <x v="0"/>
    <s v="Active"/>
    <x v="1"/>
    <s v="Volta"/>
    <n v="0"/>
    <x v="2"/>
    <n v="500"/>
    <x v="1"/>
  </r>
  <r>
    <s v="ORD1835"/>
    <x v="531"/>
    <x v="0"/>
    <x v="1"/>
    <n v="16200"/>
    <x v="2"/>
    <x v="0"/>
    <s v="Cancelled"/>
    <x v="0"/>
    <s v="Western"/>
    <n v="0.1"/>
    <x v="1"/>
    <n v="14580"/>
    <x v="0"/>
  </r>
  <r>
    <s v="ORD1836"/>
    <x v="81"/>
    <x v="2"/>
    <x v="0"/>
    <n v="1000"/>
    <x v="2"/>
    <x v="2"/>
    <s v="Cancelled"/>
    <x v="0"/>
    <s v="Bono"/>
    <n v="0"/>
    <x v="1"/>
    <n v="1000"/>
    <x v="0"/>
  </r>
  <r>
    <s v="ORD1837"/>
    <x v="233"/>
    <x v="1"/>
    <x v="0"/>
    <n v="500"/>
    <x v="0"/>
    <x v="1"/>
    <s v="Cancelled"/>
    <x v="0"/>
    <s v="Savannah"/>
    <n v="0"/>
    <x v="3"/>
    <n v="500"/>
    <x v="0"/>
  </r>
  <r>
    <s v="ORD1838"/>
    <x v="661"/>
    <x v="1"/>
    <x v="1"/>
    <n v="5400"/>
    <x v="2"/>
    <x v="1"/>
    <s v="Cancelled"/>
    <x v="0"/>
    <s v="Northern"/>
    <n v="0.1"/>
    <x v="3"/>
    <n v="4860"/>
    <x v="0"/>
  </r>
  <r>
    <s v="ORD1839"/>
    <x v="368"/>
    <x v="2"/>
    <x v="0"/>
    <n v="1000"/>
    <x v="3"/>
    <x v="2"/>
    <s v="Cancelled"/>
    <x v="0"/>
    <s v="Greater Accra"/>
    <n v="0"/>
    <x v="0"/>
    <n v="1000"/>
    <x v="0"/>
  </r>
  <r>
    <s v="ORD1840"/>
    <x v="602"/>
    <x v="0"/>
    <x v="1"/>
    <n v="16200"/>
    <x v="0"/>
    <x v="0"/>
    <s v="Active"/>
    <x v="1"/>
    <s v="Savannah"/>
    <n v="0.1"/>
    <x v="3"/>
    <n v="14580"/>
    <x v="1"/>
  </r>
  <r>
    <s v="ORD1841"/>
    <x v="70"/>
    <x v="0"/>
    <x v="0"/>
    <n v="1500"/>
    <x v="2"/>
    <x v="1"/>
    <s v="Active"/>
    <x v="1"/>
    <s v="Bono"/>
    <n v="0"/>
    <x v="1"/>
    <n v="1500"/>
    <x v="1"/>
  </r>
  <r>
    <s v="ORD1842"/>
    <x v="431"/>
    <x v="1"/>
    <x v="1"/>
    <n v="5400"/>
    <x v="3"/>
    <x v="0"/>
    <s v="Active"/>
    <x v="1"/>
    <s v="Ahafo"/>
    <n v="0.1"/>
    <x v="1"/>
    <n v="4860"/>
    <x v="1"/>
  </r>
  <r>
    <s v="ORD1843"/>
    <x v="232"/>
    <x v="2"/>
    <x v="0"/>
    <n v="1000"/>
    <x v="1"/>
    <x v="2"/>
    <s v="Cancelled"/>
    <x v="0"/>
    <s v="Western"/>
    <n v="0"/>
    <x v="1"/>
    <n v="1000"/>
    <x v="0"/>
  </r>
  <r>
    <s v="ORD1844"/>
    <x v="157"/>
    <x v="2"/>
    <x v="1"/>
    <n v="10800"/>
    <x v="0"/>
    <x v="1"/>
    <s v="Cancelled"/>
    <x v="0"/>
    <s v="Upper East"/>
    <n v="0.1"/>
    <x v="3"/>
    <n v="9720"/>
    <x v="0"/>
  </r>
  <r>
    <s v="ORD1845"/>
    <x v="236"/>
    <x v="2"/>
    <x v="0"/>
    <n v="1000"/>
    <x v="1"/>
    <x v="1"/>
    <s v="Active"/>
    <x v="1"/>
    <s v="Western"/>
    <n v="0"/>
    <x v="1"/>
    <n v="1000"/>
    <x v="1"/>
  </r>
  <r>
    <s v="ORD1846"/>
    <x v="300"/>
    <x v="2"/>
    <x v="1"/>
    <n v="10800"/>
    <x v="0"/>
    <x v="2"/>
    <s v="Cancelled"/>
    <x v="0"/>
    <s v="Savannah"/>
    <n v="0.1"/>
    <x v="3"/>
    <n v="9720"/>
    <x v="0"/>
  </r>
  <r>
    <s v="ORD1847"/>
    <x v="624"/>
    <x v="2"/>
    <x v="1"/>
    <n v="10800"/>
    <x v="3"/>
    <x v="0"/>
    <s v="Cancelled"/>
    <x v="0"/>
    <s v="Oti"/>
    <n v="0.1"/>
    <x v="2"/>
    <n v="9720"/>
    <x v="0"/>
  </r>
  <r>
    <s v="ORD1848"/>
    <x v="1"/>
    <x v="0"/>
    <x v="1"/>
    <n v="16200"/>
    <x v="3"/>
    <x v="2"/>
    <s v="Active"/>
    <x v="1"/>
    <s v="Ahafo"/>
    <n v="0.1"/>
    <x v="1"/>
    <n v="14580"/>
    <x v="1"/>
  </r>
  <r>
    <s v="ORD1849"/>
    <x v="591"/>
    <x v="1"/>
    <x v="1"/>
    <n v="5400"/>
    <x v="1"/>
    <x v="2"/>
    <s v="Cancelled"/>
    <x v="0"/>
    <s v="Ashanti"/>
    <n v="0.1"/>
    <x v="1"/>
    <n v="4860"/>
    <x v="0"/>
  </r>
  <r>
    <s v="ORD1850"/>
    <x v="541"/>
    <x v="2"/>
    <x v="0"/>
    <n v="1000"/>
    <x v="1"/>
    <x v="1"/>
    <s v="Cancelled"/>
    <x v="0"/>
    <s v="Ashanti"/>
    <n v="0"/>
    <x v="1"/>
    <n v="1000"/>
    <x v="0"/>
  </r>
  <r>
    <s v="ORD1851"/>
    <x v="141"/>
    <x v="0"/>
    <x v="0"/>
    <n v="1500"/>
    <x v="0"/>
    <x v="2"/>
    <s v="Cancelled"/>
    <x v="0"/>
    <s v="Savannah"/>
    <n v="0"/>
    <x v="3"/>
    <n v="1500"/>
    <x v="0"/>
  </r>
  <r>
    <s v="ORD1852"/>
    <x v="58"/>
    <x v="2"/>
    <x v="0"/>
    <n v="1000"/>
    <x v="1"/>
    <x v="2"/>
    <s v="Cancelled"/>
    <x v="0"/>
    <s v="Greater Accra"/>
    <n v="0"/>
    <x v="0"/>
    <n v="1000"/>
    <x v="0"/>
  </r>
  <r>
    <s v="ORD1853"/>
    <x v="545"/>
    <x v="0"/>
    <x v="0"/>
    <n v="1500"/>
    <x v="3"/>
    <x v="1"/>
    <s v="Active"/>
    <x v="1"/>
    <s v="Ahafo"/>
    <n v="0"/>
    <x v="1"/>
    <n v="1500"/>
    <x v="1"/>
  </r>
  <r>
    <s v="ORD1854"/>
    <x v="586"/>
    <x v="1"/>
    <x v="1"/>
    <n v="5400"/>
    <x v="0"/>
    <x v="1"/>
    <s v="Active"/>
    <x v="1"/>
    <s v="Savannah"/>
    <n v="0.1"/>
    <x v="3"/>
    <n v="4860"/>
    <x v="1"/>
  </r>
  <r>
    <s v="ORD1855"/>
    <x v="542"/>
    <x v="0"/>
    <x v="1"/>
    <n v="16200"/>
    <x v="3"/>
    <x v="0"/>
    <s v="Active"/>
    <x v="1"/>
    <s v="Oti"/>
    <n v="0.1"/>
    <x v="2"/>
    <n v="14580"/>
    <x v="1"/>
  </r>
  <r>
    <s v="ORD1856"/>
    <x v="91"/>
    <x v="0"/>
    <x v="1"/>
    <n v="16200"/>
    <x v="2"/>
    <x v="0"/>
    <s v="Active"/>
    <x v="1"/>
    <s v="Northern"/>
    <n v="0.1"/>
    <x v="3"/>
    <n v="14580"/>
    <x v="1"/>
  </r>
  <r>
    <s v="ORD1857"/>
    <x v="379"/>
    <x v="1"/>
    <x v="0"/>
    <n v="500"/>
    <x v="1"/>
    <x v="1"/>
    <s v="Active"/>
    <x v="1"/>
    <s v="Greater Accra"/>
    <n v="0"/>
    <x v="0"/>
    <n v="500"/>
    <x v="1"/>
  </r>
  <r>
    <s v="ORD1858"/>
    <x v="134"/>
    <x v="0"/>
    <x v="0"/>
    <n v="1500"/>
    <x v="0"/>
    <x v="1"/>
    <s v="Cancelled"/>
    <x v="0"/>
    <s v="Savannah"/>
    <n v="0"/>
    <x v="3"/>
    <n v="1500"/>
    <x v="0"/>
  </r>
  <r>
    <s v="ORD1859"/>
    <x v="461"/>
    <x v="1"/>
    <x v="0"/>
    <n v="500"/>
    <x v="2"/>
    <x v="0"/>
    <s v="Cancelled"/>
    <x v="0"/>
    <s v="Western"/>
    <n v="0"/>
    <x v="1"/>
    <n v="500"/>
    <x v="0"/>
  </r>
  <r>
    <s v="ORD1860"/>
    <x v="3"/>
    <x v="1"/>
    <x v="0"/>
    <n v="500"/>
    <x v="2"/>
    <x v="2"/>
    <s v="Active"/>
    <x v="1"/>
    <s v="Western"/>
    <n v="0"/>
    <x v="1"/>
    <n v="500"/>
    <x v="1"/>
  </r>
  <r>
    <s v="ORD1861"/>
    <x v="276"/>
    <x v="1"/>
    <x v="1"/>
    <n v="5400"/>
    <x v="3"/>
    <x v="1"/>
    <s v="Cancelled"/>
    <x v="0"/>
    <s v="Ahafo"/>
    <n v="0.1"/>
    <x v="1"/>
    <n v="4860"/>
    <x v="0"/>
  </r>
  <r>
    <s v="ORD1862"/>
    <x v="32"/>
    <x v="1"/>
    <x v="1"/>
    <n v="5400"/>
    <x v="2"/>
    <x v="2"/>
    <s v="Cancelled"/>
    <x v="0"/>
    <s v="Western"/>
    <n v="0.1"/>
    <x v="1"/>
    <n v="4860"/>
    <x v="0"/>
  </r>
  <r>
    <s v="ORD1863"/>
    <x v="662"/>
    <x v="0"/>
    <x v="0"/>
    <n v="1500"/>
    <x v="1"/>
    <x v="1"/>
    <s v="Cancelled"/>
    <x v="0"/>
    <s v="Western"/>
    <n v="0"/>
    <x v="1"/>
    <n v="1500"/>
    <x v="0"/>
  </r>
  <r>
    <s v="ORD1864"/>
    <x v="603"/>
    <x v="0"/>
    <x v="0"/>
    <n v="1500"/>
    <x v="0"/>
    <x v="2"/>
    <s v="Active"/>
    <x v="1"/>
    <s v="Volta"/>
    <n v="0"/>
    <x v="2"/>
    <n v="1500"/>
    <x v="1"/>
  </r>
  <r>
    <s v="ORD1865"/>
    <x v="657"/>
    <x v="2"/>
    <x v="0"/>
    <n v="1000"/>
    <x v="2"/>
    <x v="2"/>
    <s v="Cancelled"/>
    <x v="0"/>
    <s v="Western North"/>
    <n v="0"/>
    <x v="1"/>
    <n v="1000"/>
    <x v="0"/>
  </r>
  <r>
    <s v="ORD1866"/>
    <x v="430"/>
    <x v="1"/>
    <x v="0"/>
    <n v="500"/>
    <x v="3"/>
    <x v="0"/>
    <s v="Active"/>
    <x v="1"/>
    <s v="Western"/>
    <n v="0"/>
    <x v="1"/>
    <n v="500"/>
    <x v="1"/>
  </r>
  <r>
    <s v="ORD1867"/>
    <x v="108"/>
    <x v="1"/>
    <x v="1"/>
    <n v="5400"/>
    <x v="0"/>
    <x v="2"/>
    <s v="Cancelled"/>
    <x v="0"/>
    <s v="Upper East"/>
    <n v="0.1"/>
    <x v="3"/>
    <n v="4860"/>
    <x v="0"/>
  </r>
  <r>
    <s v="ORD1868"/>
    <x v="322"/>
    <x v="1"/>
    <x v="1"/>
    <n v="5400"/>
    <x v="0"/>
    <x v="2"/>
    <s v="Active"/>
    <x v="1"/>
    <s v="Ashanti"/>
    <n v="0.1"/>
    <x v="1"/>
    <n v="4860"/>
    <x v="1"/>
  </r>
  <r>
    <s v="ORD1869"/>
    <x v="159"/>
    <x v="1"/>
    <x v="0"/>
    <n v="500"/>
    <x v="2"/>
    <x v="2"/>
    <s v="Active"/>
    <x v="1"/>
    <s v="Western North"/>
    <n v="0"/>
    <x v="1"/>
    <n v="500"/>
    <x v="1"/>
  </r>
  <r>
    <s v="ORD1870"/>
    <x v="609"/>
    <x v="1"/>
    <x v="1"/>
    <n v="5400"/>
    <x v="3"/>
    <x v="2"/>
    <s v="Cancelled"/>
    <x v="0"/>
    <s v="Ashanti"/>
    <n v="0.1"/>
    <x v="1"/>
    <n v="4860"/>
    <x v="0"/>
  </r>
  <r>
    <s v="ORD1871"/>
    <x v="653"/>
    <x v="0"/>
    <x v="1"/>
    <n v="16200"/>
    <x v="3"/>
    <x v="2"/>
    <s v="Cancelled"/>
    <x v="0"/>
    <s v="Greater Accra"/>
    <n v="0.1"/>
    <x v="0"/>
    <n v="14580"/>
    <x v="0"/>
  </r>
  <r>
    <s v="ORD1872"/>
    <x v="499"/>
    <x v="0"/>
    <x v="0"/>
    <n v="1500"/>
    <x v="2"/>
    <x v="1"/>
    <s v="Active"/>
    <x v="1"/>
    <s v="Western North"/>
    <n v="0"/>
    <x v="1"/>
    <n v="1500"/>
    <x v="1"/>
  </r>
  <r>
    <s v="ORD1873"/>
    <x v="404"/>
    <x v="2"/>
    <x v="0"/>
    <n v="1000"/>
    <x v="2"/>
    <x v="2"/>
    <s v="Active"/>
    <x v="1"/>
    <s v="Western"/>
    <n v="0"/>
    <x v="1"/>
    <n v="1000"/>
    <x v="1"/>
  </r>
  <r>
    <s v="ORD1874"/>
    <x v="347"/>
    <x v="0"/>
    <x v="1"/>
    <n v="16200"/>
    <x v="2"/>
    <x v="2"/>
    <s v="Cancelled"/>
    <x v="0"/>
    <s v="Western"/>
    <n v="0.1"/>
    <x v="1"/>
    <n v="14580"/>
    <x v="0"/>
  </r>
  <r>
    <s v="ORD1875"/>
    <x v="663"/>
    <x v="1"/>
    <x v="1"/>
    <n v="5400"/>
    <x v="2"/>
    <x v="2"/>
    <s v="Active"/>
    <x v="1"/>
    <s v="Western North"/>
    <n v="0.1"/>
    <x v="1"/>
    <n v="4860"/>
    <x v="1"/>
  </r>
  <r>
    <s v="ORD1876"/>
    <x v="305"/>
    <x v="0"/>
    <x v="0"/>
    <n v="1500"/>
    <x v="0"/>
    <x v="0"/>
    <s v="Cancelled"/>
    <x v="0"/>
    <s v="Volta"/>
    <n v="0"/>
    <x v="2"/>
    <n v="1500"/>
    <x v="0"/>
  </r>
  <r>
    <s v="ORD1877"/>
    <x v="458"/>
    <x v="2"/>
    <x v="1"/>
    <n v="10800"/>
    <x v="1"/>
    <x v="0"/>
    <s v="Active"/>
    <x v="1"/>
    <s v="Central"/>
    <n v="0.1"/>
    <x v="0"/>
    <n v="9720"/>
    <x v="1"/>
  </r>
  <r>
    <s v="ORD1878"/>
    <x v="172"/>
    <x v="0"/>
    <x v="0"/>
    <n v="1500"/>
    <x v="0"/>
    <x v="0"/>
    <s v="Cancelled"/>
    <x v="0"/>
    <s v="Volta"/>
    <n v="0"/>
    <x v="2"/>
    <n v="1500"/>
    <x v="0"/>
  </r>
  <r>
    <s v="ORD1879"/>
    <x v="358"/>
    <x v="0"/>
    <x v="1"/>
    <n v="16200"/>
    <x v="0"/>
    <x v="0"/>
    <s v="Cancelled"/>
    <x v="0"/>
    <s v="Savannah"/>
    <n v="0.1"/>
    <x v="3"/>
    <n v="14580"/>
    <x v="0"/>
  </r>
  <r>
    <s v="ORD1880"/>
    <x v="403"/>
    <x v="1"/>
    <x v="0"/>
    <n v="500"/>
    <x v="1"/>
    <x v="1"/>
    <s v="Active"/>
    <x v="1"/>
    <s v="Western"/>
    <n v="0"/>
    <x v="1"/>
    <n v="500"/>
    <x v="1"/>
  </r>
  <r>
    <s v="ORD1881"/>
    <x v="344"/>
    <x v="1"/>
    <x v="1"/>
    <n v="5400"/>
    <x v="0"/>
    <x v="0"/>
    <s v="Active"/>
    <x v="1"/>
    <s v="Ashanti"/>
    <n v="0.1"/>
    <x v="1"/>
    <n v="4860"/>
    <x v="1"/>
  </r>
  <r>
    <s v="ORD1882"/>
    <x v="92"/>
    <x v="2"/>
    <x v="1"/>
    <n v="10800"/>
    <x v="0"/>
    <x v="2"/>
    <s v="Active"/>
    <x v="1"/>
    <s v="Ashanti"/>
    <n v="0.1"/>
    <x v="1"/>
    <n v="9720"/>
    <x v="1"/>
  </r>
  <r>
    <s v="ORD1883"/>
    <x v="323"/>
    <x v="0"/>
    <x v="1"/>
    <n v="16200"/>
    <x v="2"/>
    <x v="1"/>
    <s v="Active"/>
    <x v="1"/>
    <s v="Bono"/>
    <n v="0.1"/>
    <x v="1"/>
    <n v="14580"/>
    <x v="1"/>
  </r>
  <r>
    <s v="ORD1884"/>
    <x v="612"/>
    <x v="2"/>
    <x v="1"/>
    <n v="10800"/>
    <x v="2"/>
    <x v="0"/>
    <s v="Cancelled"/>
    <x v="0"/>
    <s v="Western"/>
    <n v="0.1"/>
    <x v="1"/>
    <n v="9720"/>
    <x v="0"/>
  </r>
  <r>
    <s v="ORD1885"/>
    <x v="428"/>
    <x v="0"/>
    <x v="0"/>
    <n v="1500"/>
    <x v="1"/>
    <x v="2"/>
    <s v="Cancelled"/>
    <x v="0"/>
    <s v="Central"/>
    <n v="0"/>
    <x v="0"/>
    <n v="1500"/>
    <x v="0"/>
  </r>
  <r>
    <s v="ORD1886"/>
    <x v="319"/>
    <x v="1"/>
    <x v="0"/>
    <n v="500"/>
    <x v="2"/>
    <x v="2"/>
    <s v="Active"/>
    <x v="1"/>
    <s v="Western North"/>
    <n v="0"/>
    <x v="1"/>
    <n v="500"/>
    <x v="1"/>
  </r>
  <r>
    <s v="ORD1887"/>
    <x v="78"/>
    <x v="0"/>
    <x v="0"/>
    <n v="1500"/>
    <x v="1"/>
    <x v="0"/>
    <s v="Active"/>
    <x v="1"/>
    <s v="Greater Accra"/>
    <n v="0"/>
    <x v="0"/>
    <n v="1500"/>
    <x v="1"/>
  </r>
  <r>
    <s v="ORD1888"/>
    <x v="462"/>
    <x v="1"/>
    <x v="1"/>
    <n v="5400"/>
    <x v="1"/>
    <x v="1"/>
    <s v="Active"/>
    <x v="1"/>
    <s v="Central"/>
    <n v="0.1"/>
    <x v="0"/>
    <n v="4860"/>
    <x v="1"/>
  </r>
  <r>
    <s v="ORD1889"/>
    <x v="294"/>
    <x v="0"/>
    <x v="1"/>
    <n v="16200"/>
    <x v="0"/>
    <x v="0"/>
    <s v="Active"/>
    <x v="1"/>
    <s v="Savannah"/>
    <n v="0.1"/>
    <x v="3"/>
    <n v="14580"/>
    <x v="1"/>
  </r>
  <r>
    <s v="ORD1890"/>
    <x v="486"/>
    <x v="1"/>
    <x v="0"/>
    <n v="500"/>
    <x v="0"/>
    <x v="2"/>
    <s v="Active"/>
    <x v="1"/>
    <s v="Savannah"/>
    <n v="0"/>
    <x v="3"/>
    <n v="500"/>
    <x v="1"/>
  </r>
  <r>
    <s v="ORD1891"/>
    <x v="590"/>
    <x v="1"/>
    <x v="1"/>
    <n v="5400"/>
    <x v="3"/>
    <x v="1"/>
    <s v="Active"/>
    <x v="1"/>
    <s v="Oti"/>
    <n v="0.1"/>
    <x v="2"/>
    <n v="4860"/>
    <x v="1"/>
  </r>
  <r>
    <s v="ORD1892"/>
    <x v="616"/>
    <x v="1"/>
    <x v="1"/>
    <n v="5400"/>
    <x v="0"/>
    <x v="2"/>
    <s v="Active"/>
    <x v="1"/>
    <s v="Savannah"/>
    <n v="0.1"/>
    <x v="3"/>
    <n v="4860"/>
    <x v="1"/>
  </r>
  <r>
    <s v="ORD1893"/>
    <x v="400"/>
    <x v="0"/>
    <x v="1"/>
    <n v="16200"/>
    <x v="2"/>
    <x v="1"/>
    <s v="Cancelled"/>
    <x v="0"/>
    <s v="Western North"/>
    <n v="0.1"/>
    <x v="1"/>
    <n v="14580"/>
    <x v="0"/>
  </r>
  <r>
    <s v="ORD1894"/>
    <x v="575"/>
    <x v="2"/>
    <x v="0"/>
    <n v="1000"/>
    <x v="3"/>
    <x v="0"/>
    <s v="Active"/>
    <x v="1"/>
    <s v="Greater Accra"/>
    <n v="0"/>
    <x v="0"/>
    <n v="1000"/>
    <x v="1"/>
  </r>
  <r>
    <s v="ORD1895"/>
    <x v="414"/>
    <x v="0"/>
    <x v="0"/>
    <n v="1500"/>
    <x v="2"/>
    <x v="0"/>
    <s v="Cancelled"/>
    <x v="0"/>
    <s v="Eastern"/>
    <n v="0"/>
    <x v="2"/>
    <n v="1500"/>
    <x v="0"/>
  </r>
  <r>
    <s v="ORD1896"/>
    <x v="424"/>
    <x v="1"/>
    <x v="0"/>
    <n v="500"/>
    <x v="2"/>
    <x v="2"/>
    <s v="Active"/>
    <x v="1"/>
    <s v="Northern"/>
    <n v="0"/>
    <x v="3"/>
    <n v="500"/>
    <x v="1"/>
  </r>
  <r>
    <s v="ORD1897"/>
    <x v="83"/>
    <x v="0"/>
    <x v="0"/>
    <n v="1500"/>
    <x v="3"/>
    <x v="0"/>
    <s v="Cancelled"/>
    <x v="0"/>
    <s v="Ahafo"/>
    <n v="0"/>
    <x v="1"/>
    <n v="1500"/>
    <x v="0"/>
  </r>
  <r>
    <s v="ORD1898"/>
    <x v="193"/>
    <x v="1"/>
    <x v="1"/>
    <n v="5400"/>
    <x v="2"/>
    <x v="2"/>
    <s v="Cancelled"/>
    <x v="0"/>
    <s v="Bono"/>
    <n v="0.1"/>
    <x v="1"/>
    <n v="4860"/>
    <x v="0"/>
  </r>
  <r>
    <s v="ORD1899"/>
    <x v="47"/>
    <x v="0"/>
    <x v="1"/>
    <n v="16200"/>
    <x v="3"/>
    <x v="0"/>
    <s v="Active"/>
    <x v="1"/>
    <s v="Western"/>
    <n v="0.1"/>
    <x v="1"/>
    <n v="14580"/>
    <x v="1"/>
  </r>
  <r>
    <s v="ORD1900"/>
    <x v="358"/>
    <x v="1"/>
    <x v="1"/>
    <n v="5400"/>
    <x v="2"/>
    <x v="0"/>
    <s v="Cancelled"/>
    <x v="0"/>
    <s v="Bono"/>
    <n v="0.1"/>
    <x v="1"/>
    <n v="4860"/>
    <x v="0"/>
  </r>
  <r>
    <s v="ORD1901"/>
    <x v="77"/>
    <x v="1"/>
    <x v="1"/>
    <n v="5400"/>
    <x v="2"/>
    <x v="2"/>
    <s v="Active"/>
    <x v="1"/>
    <s v="Western North"/>
    <n v="0.1"/>
    <x v="1"/>
    <n v="4860"/>
    <x v="1"/>
  </r>
  <r>
    <s v="ORD1902"/>
    <x v="505"/>
    <x v="0"/>
    <x v="1"/>
    <n v="16200"/>
    <x v="2"/>
    <x v="0"/>
    <s v="Cancelled"/>
    <x v="0"/>
    <s v="Eastern"/>
    <n v="0.1"/>
    <x v="2"/>
    <n v="14580"/>
    <x v="0"/>
  </r>
  <r>
    <s v="ORD1903"/>
    <x v="380"/>
    <x v="2"/>
    <x v="1"/>
    <n v="10800"/>
    <x v="2"/>
    <x v="1"/>
    <s v="Active"/>
    <x v="1"/>
    <s v="Northern"/>
    <n v="0.1"/>
    <x v="3"/>
    <n v="9720"/>
    <x v="1"/>
  </r>
  <r>
    <s v="ORD1904"/>
    <x v="28"/>
    <x v="0"/>
    <x v="1"/>
    <n v="16200"/>
    <x v="3"/>
    <x v="0"/>
    <s v="Cancelled"/>
    <x v="0"/>
    <s v="Ahafo"/>
    <n v="0.1"/>
    <x v="1"/>
    <n v="14580"/>
    <x v="0"/>
  </r>
  <r>
    <s v="ORD1905"/>
    <x v="560"/>
    <x v="2"/>
    <x v="1"/>
    <n v="10800"/>
    <x v="0"/>
    <x v="0"/>
    <s v="Cancelled"/>
    <x v="0"/>
    <s v="Ashanti"/>
    <n v="0.1"/>
    <x v="1"/>
    <n v="9720"/>
    <x v="0"/>
  </r>
  <r>
    <s v="ORD1906"/>
    <x v="341"/>
    <x v="1"/>
    <x v="0"/>
    <n v="500"/>
    <x v="3"/>
    <x v="2"/>
    <s v="Active"/>
    <x v="1"/>
    <s v="Western"/>
    <n v="0"/>
    <x v="1"/>
    <n v="500"/>
    <x v="1"/>
  </r>
  <r>
    <s v="ORD1907"/>
    <x v="335"/>
    <x v="0"/>
    <x v="1"/>
    <n v="16200"/>
    <x v="0"/>
    <x v="0"/>
    <s v="Cancelled"/>
    <x v="0"/>
    <s v="Ashanti"/>
    <n v="0.1"/>
    <x v="1"/>
    <n v="14580"/>
    <x v="0"/>
  </r>
  <r>
    <s v="ORD1908"/>
    <x v="479"/>
    <x v="2"/>
    <x v="1"/>
    <n v="10800"/>
    <x v="3"/>
    <x v="1"/>
    <s v="Cancelled"/>
    <x v="0"/>
    <s v="Oti"/>
    <n v="0.1"/>
    <x v="2"/>
    <n v="9720"/>
    <x v="0"/>
  </r>
  <r>
    <s v="ORD1909"/>
    <x v="67"/>
    <x v="0"/>
    <x v="0"/>
    <n v="1500"/>
    <x v="2"/>
    <x v="0"/>
    <s v="Cancelled"/>
    <x v="0"/>
    <s v="Bono"/>
    <n v="0"/>
    <x v="1"/>
    <n v="1500"/>
    <x v="0"/>
  </r>
  <r>
    <s v="ORD1910"/>
    <x v="472"/>
    <x v="2"/>
    <x v="0"/>
    <n v="1000"/>
    <x v="3"/>
    <x v="2"/>
    <s v="Cancelled"/>
    <x v="0"/>
    <s v="Greater Accra"/>
    <n v="0"/>
    <x v="0"/>
    <n v="1000"/>
    <x v="0"/>
  </r>
  <r>
    <s v="ORD1911"/>
    <x v="664"/>
    <x v="0"/>
    <x v="1"/>
    <n v="16200"/>
    <x v="1"/>
    <x v="1"/>
    <s v="Active"/>
    <x v="1"/>
    <s v="Western"/>
    <n v="0.1"/>
    <x v="1"/>
    <n v="14580"/>
    <x v="1"/>
  </r>
  <r>
    <s v="ORD1912"/>
    <x v="117"/>
    <x v="2"/>
    <x v="0"/>
    <n v="1000"/>
    <x v="3"/>
    <x v="0"/>
    <s v="Cancelled"/>
    <x v="0"/>
    <s v="Eastern"/>
    <n v="0"/>
    <x v="2"/>
    <n v="1000"/>
    <x v="0"/>
  </r>
  <r>
    <s v="ORD1913"/>
    <x v="493"/>
    <x v="0"/>
    <x v="1"/>
    <n v="16200"/>
    <x v="2"/>
    <x v="1"/>
    <s v="Cancelled"/>
    <x v="0"/>
    <s v="Eastern"/>
    <n v="0.1"/>
    <x v="2"/>
    <n v="14580"/>
    <x v="0"/>
  </r>
  <r>
    <s v="ORD1914"/>
    <x v="94"/>
    <x v="0"/>
    <x v="0"/>
    <n v="1500"/>
    <x v="1"/>
    <x v="2"/>
    <s v="Cancelled"/>
    <x v="0"/>
    <s v="Central"/>
    <n v="0"/>
    <x v="0"/>
    <n v="1500"/>
    <x v="0"/>
  </r>
  <r>
    <s v="ORD1915"/>
    <x v="349"/>
    <x v="1"/>
    <x v="1"/>
    <n v="5400"/>
    <x v="0"/>
    <x v="2"/>
    <s v="Active"/>
    <x v="1"/>
    <s v="Savannah"/>
    <n v="0.1"/>
    <x v="3"/>
    <n v="4860"/>
    <x v="1"/>
  </r>
  <r>
    <s v="ORD1916"/>
    <x v="187"/>
    <x v="0"/>
    <x v="0"/>
    <n v="1500"/>
    <x v="1"/>
    <x v="1"/>
    <s v="Cancelled"/>
    <x v="0"/>
    <s v="Greater Accra"/>
    <n v="0"/>
    <x v="0"/>
    <n v="1500"/>
    <x v="0"/>
  </r>
  <r>
    <s v="ORD1917"/>
    <x v="376"/>
    <x v="1"/>
    <x v="1"/>
    <n v="5400"/>
    <x v="3"/>
    <x v="2"/>
    <s v="Cancelled"/>
    <x v="0"/>
    <s v="Western"/>
    <n v="0.1"/>
    <x v="1"/>
    <n v="4860"/>
    <x v="0"/>
  </r>
  <r>
    <s v="ORD1918"/>
    <x v="70"/>
    <x v="2"/>
    <x v="1"/>
    <n v="10800"/>
    <x v="0"/>
    <x v="1"/>
    <s v="Cancelled"/>
    <x v="0"/>
    <s v="Volta"/>
    <n v="0.1"/>
    <x v="2"/>
    <n v="9720"/>
    <x v="0"/>
  </r>
  <r>
    <s v="ORD1919"/>
    <x v="514"/>
    <x v="2"/>
    <x v="1"/>
    <n v="10800"/>
    <x v="1"/>
    <x v="0"/>
    <s v="Cancelled"/>
    <x v="0"/>
    <s v="Greater Accra"/>
    <n v="0.1"/>
    <x v="0"/>
    <n v="9720"/>
    <x v="0"/>
  </r>
  <r>
    <s v="ORD1920"/>
    <x v="290"/>
    <x v="0"/>
    <x v="1"/>
    <n v="16200"/>
    <x v="1"/>
    <x v="2"/>
    <s v="Cancelled"/>
    <x v="0"/>
    <s v="Western"/>
    <n v="0.1"/>
    <x v="1"/>
    <n v="14580"/>
    <x v="0"/>
  </r>
  <r>
    <s v="ORD1921"/>
    <x v="279"/>
    <x v="0"/>
    <x v="0"/>
    <n v="1500"/>
    <x v="1"/>
    <x v="2"/>
    <s v="Cancelled"/>
    <x v="0"/>
    <s v="Greater Accra"/>
    <n v="0"/>
    <x v="0"/>
    <n v="1500"/>
    <x v="0"/>
  </r>
  <r>
    <s v="ORD1922"/>
    <x v="269"/>
    <x v="0"/>
    <x v="1"/>
    <n v="16200"/>
    <x v="3"/>
    <x v="2"/>
    <s v="Cancelled"/>
    <x v="0"/>
    <s v="Greater Accra"/>
    <n v="0.1"/>
    <x v="0"/>
    <n v="14580"/>
    <x v="0"/>
  </r>
  <r>
    <s v="ORD1923"/>
    <x v="332"/>
    <x v="2"/>
    <x v="1"/>
    <n v="10800"/>
    <x v="2"/>
    <x v="2"/>
    <s v="Active"/>
    <x v="1"/>
    <s v="Bono"/>
    <n v="0.1"/>
    <x v="1"/>
    <n v="9720"/>
    <x v="1"/>
  </r>
  <r>
    <s v="ORD1924"/>
    <x v="0"/>
    <x v="2"/>
    <x v="0"/>
    <n v="1000"/>
    <x v="3"/>
    <x v="2"/>
    <s v="Active"/>
    <x v="1"/>
    <s v="Ahafo"/>
    <n v="0"/>
    <x v="1"/>
    <n v="1000"/>
    <x v="1"/>
  </r>
  <r>
    <s v="ORD1925"/>
    <x v="494"/>
    <x v="2"/>
    <x v="0"/>
    <n v="1000"/>
    <x v="1"/>
    <x v="1"/>
    <s v="Active"/>
    <x v="1"/>
    <s v="Central"/>
    <n v="0"/>
    <x v="0"/>
    <n v="1000"/>
    <x v="1"/>
  </r>
  <r>
    <s v="ORD1926"/>
    <x v="504"/>
    <x v="1"/>
    <x v="0"/>
    <n v="500"/>
    <x v="0"/>
    <x v="0"/>
    <s v="Cancelled"/>
    <x v="0"/>
    <s v="Volta"/>
    <n v="0"/>
    <x v="2"/>
    <n v="500"/>
    <x v="0"/>
  </r>
  <r>
    <s v="ORD1927"/>
    <x v="65"/>
    <x v="1"/>
    <x v="0"/>
    <n v="500"/>
    <x v="1"/>
    <x v="2"/>
    <s v="Cancelled"/>
    <x v="0"/>
    <s v="Ashanti"/>
    <n v="0"/>
    <x v="1"/>
    <n v="500"/>
    <x v="0"/>
  </r>
  <r>
    <s v="ORD1928"/>
    <x v="338"/>
    <x v="0"/>
    <x v="1"/>
    <n v="16200"/>
    <x v="3"/>
    <x v="2"/>
    <s v="Active"/>
    <x v="1"/>
    <s v="Ashanti"/>
    <n v="0.1"/>
    <x v="1"/>
    <n v="14580"/>
    <x v="1"/>
  </r>
  <r>
    <s v="ORD1929"/>
    <x v="73"/>
    <x v="1"/>
    <x v="0"/>
    <n v="500"/>
    <x v="1"/>
    <x v="2"/>
    <s v="Cancelled"/>
    <x v="0"/>
    <s v="Central"/>
    <n v="0"/>
    <x v="0"/>
    <n v="500"/>
    <x v="0"/>
  </r>
  <r>
    <s v="ORD1930"/>
    <x v="594"/>
    <x v="1"/>
    <x v="1"/>
    <n v="5400"/>
    <x v="0"/>
    <x v="0"/>
    <s v="Cancelled"/>
    <x v="0"/>
    <s v="Volta"/>
    <n v="0.1"/>
    <x v="2"/>
    <n v="4860"/>
    <x v="0"/>
  </r>
  <r>
    <s v="ORD1931"/>
    <x v="665"/>
    <x v="2"/>
    <x v="0"/>
    <n v="1000"/>
    <x v="0"/>
    <x v="0"/>
    <s v="Cancelled"/>
    <x v="0"/>
    <s v="Volta"/>
    <n v="0"/>
    <x v="2"/>
    <n v="1000"/>
    <x v="0"/>
  </r>
  <r>
    <s v="ORD1932"/>
    <x v="666"/>
    <x v="0"/>
    <x v="1"/>
    <n v="16200"/>
    <x v="3"/>
    <x v="1"/>
    <s v="Active"/>
    <x v="1"/>
    <s v="Western"/>
    <n v="0.1"/>
    <x v="1"/>
    <n v="14580"/>
    <x v="1"/>
  </r>
  <r>
    <s v="ORD1933"/>
    <x v="79"/>
    <x v="1"/>
    <x v="0"/>
    <n v="500"/>
    <x v="3"/>
    <x v="1"/>
    <s v="Cancelled"/>
    <x v="0"/>
    <s v="Western"/>
    <n v="0"/>
    <x v="1"/>
    <n v="500"/>
    <x v="0"/>
  </r>
  <r>
    <s v="ORD1934"/>
    <x v="91"/>
    <x v="0"/>
    <x v="0"/>
    <n v="1500"/>
    <x v="1"/>
    <x v="0"/>
    <s v="Cancelled"/>
    <x v="0"/>
    <s v="Greater Accra"/>
    <n v="0"/>
    <x v="0"/>
    <n v="1500"/>
    <x v="0"/>
  </r>
  <r>
    <s v="ORD1935"/>
    <x v="667"/>
    <x v="2"/>
    <x v="1"/>
    <n v="10800"/>
    <x v="3"/>
    <x v="2"/>
    <s v="Active"/>
    <x v="1"/>
    <s v="Ahafo"/>
    <n v="0.1"/>
    <x v="1"/>
    <n v="9720"/>
    <x v="1"/>
  </r>
  <r>
    <s v="ORD1936"/>
    <x v="655"/>
    <x v="2"/>
    <x v="0"/>
    <n v="1000"/>
    <x v="0"/>
    <x v="2"/>
    <s v="Active"/>
    <x v="1"/>
    <s v="Upper East"/>
    <n v="0"/>
    <x v="3"/>
    <n v="1000"/>
    <x v="1"/>
  </r>
  <r>
    <s v="ORD1937"/>
    <x v="209"/>
    <x v="1"/>
    <x v="1"/>
    <n v="5400"/>
    <x v="3"/>
    <x v="1"/>
    <s v="Cancelled"/>
    <x v="0"/>
    <s v="Oti"/>
    <n v="0.1"/>
    <x v="2"/>
    <n v="4860"/>
    <x v="0"/>
  </r>
  <r>
    <s v="ORD1938"/>
    <x v="179"/>
    <x v="2"/>
    <x v="0"/>
    <n v="1000"/>
    <x v="1"/>
    <x v="1"/>
    <s v="Active"/>
    <x v="1"/>
    <s v="Central"/>
    <n v="0"/>
    <x v="0"/>
    <n v="1000"/>
    <x v="1"/>
  </r>
  <r>
    <s v="ORD1939"/>
    <x v="214"/>
    <x v="0"/>
    <x v="1"/>
    <n v="16200"/>
    <x v="3"/>
    <x v="2"/>
    <s v="Cancelled"/>
    <x v="0"/>
    <s v="Western"/>
    <n v="0.1"/>
    <x v="1"/>
    <n v="14580"/>
    <x v="0"/>
  </r>
  <r>
    <s v="ORD1940"/>
    <x v="668"/>
    <x v="1"/>
    <x v="0"/>
    <n v="500"/>
    <x v="2"/>
    <x v="1"/>
    <s v="Active"/>
    <x v="1"/>
    <s v="Western North"/>
    <n v="0"/>
    <x v="1"/>
    <n v="500"/>
    <x v="1"/>
  </r>
  <r>
    <s v="ORD1941"/>
    <x v="564"/>
    <x v="1"/>
    <x v="1"/>
    <n v="5400"/>
    <x v="1"/>
    <x v="1"/>
    <s v="Cancelled"/>
    <x v="0"/>
    <s v="Central"/>
    <n v="0.1"/>
    <x v="0"/>
    <n v="4860"/>
    <x v="0"/>
  </r>
  <r>
    <s v="ORD1942"/>
    <x v="421"/>
    <x v="1"/>
    <x v="0"/>
    <n v="500"/>
    <x v="1"/>
    <x v="2"/>
    <s v="Active"/>
    <x v="1"/>
    <s v="Central"/>
    <n v="0"/>
    <x v="0"/>
    <n v="500"/>
    <x v="1"/>
  </r>
  <r>
    <s v="ORD1943"/>
    <x v="236"/>
    <x v="2"/>
    <x v="0"/>
    <n v="1000"/>
    <x v="3"/>
    <x v="1"/>
    <s v="Cancelled"/>
    <x v="0"/>
    <s v="Western"/>
    <n v="0"/>
    <x v="1"/>
    <n v="1000"/>
    <x v="0"/>
  </r>
  <r>
    <s v="ORD1944"/>
    <x v="59"/>
    <x v="0"/>
    <x v="1"/>
    <n v="16200"/>
    <x v="3"/>
    <x v="2"/>
    <s v="Active"/>
    <x v="1"/>
    <s v="Eastern"/>
    <n v="0.1"/>
    <x v="2"/>
    <n v="14580"/>
    <x v="1"/>
  </r>
  <r>
    <s v="ORD1945"/>
    <x v="246"/>
    <x v="1"/>
    <x v="1"/>
    <n v="5400"/>
    <x v="0"/>
    <x v="2"/>
    <s v="Active"/>
    <x v="1"/>
    <s v="Upper East"/>
    <n v="0.1"/>
    <x v="3"/>
    <n v="4860"/>
    <x v="1"/>
  </r>
  <r>
    <s v="ORD1946"/>
    <x v="357"/>
    <x v="2"/>
    <x v="1"/>
    <n v="10800"/>
    <x v="3"/>
    <x v="1"/>
    <s v="Active"/>
    <x v="1"/>
    <s v="Ahafo"/>
    <n v="0.1"/>
    <x v="1"/>
    <n v="9720"/>
    <x v="1"/>
  </r>
  <r>
    <s v="ORD1947"/>
    <x v="510"/>
    <x v="2"/>
    <x v="1"/>
    <n v="10800"/>
    <x v="0"/>
    <x v="2"/>
    <s v="Cancelled"/>
    <x v="0"/>
    <s v="Volta"/>
    <n v="0.1"/>
    <x v="2"/>
    <n v="9720"/>
    <x v="0"/>
  </r>
  <r>
    <s v="ORD1948"/>
    <x v="383"/>
    <x v="2"/>
    <x v="1"/>
    <n v="10800"/>
    <x v="0"/>
    <x v="1"/>
    <s v="Active"/>
    <x v="1"/>
    <s v="Savannah"/>
    <n v="0.1"/>
    <x v="3"/>
    <n v="9720"/>
    <x v="1"/>
  </r>
  <r>
    <s v="ORD1949"/>
    <x v="173"/>
    <x v="0"/>
    <x v="0"/>
    <n v="1500"/>
    <x v="0"/>
    <x v="1"/>
    <s v="Active"/>
    <x v="1"/>
    <s v="Volta"/>
    <n v="0"/>
    <x v="2"/>
    <n v="1500"/>
    <x v="1"/>
  </r>
  <r>
    <s v="ORD1950"/>
    <x v="88"/>
    <x v="1"/>
    <x v="0"/>
    <n v="500"/>
    <x v="3"/>
    <x v="2"/>
    <s v="Cancelled"/>
    <x v="0"/>
    <s v="Oti"/>
    <n v="0"/>
    <x v="2"/>
    <n v="500"/>
    <x v="0"/>
  </r>
  <r>
    <s v="ORD1951"/>
    <x v="455"/>
    <x v="1"/>
    <x v="0"/>
    <n v="500"/>
    <x v="3"/>
    <x v="2"/>
    <s v="Cancelled"/>
    <x v="0"/>
    <s v="Western"/>
    <n v="0"/>
    <x v="1"/>
    <n v="500"/>
    <x v="0"/>
  </r>
  <r>
    <s v="ORD1952"/>
    <x v="265"/>
    <x v="0"/>
    <x v="1"/>
    <n v="16200"/>
    <x v="1"/>
    <x v="1"/>
    <s v="Active"/>
    <x v="1"/>
    <s v="Greater Accra"/>
    <n v="0.1"/>
    <x v="0"/>
    <n v="14580"/>
    <x v="1"/>
  </r>
  <r>
    <s v="ORD1953"/>
    <x v="556"/>
    <x v="2"/>
    <x v="1"/>
    <n v="10800"/>
    <x v="0"/>
    <x v="0"/>
    <s v="Cancelled"/>
    <x v="0"/>
    <s v="Volta"/>
    <n v="0.1"/>
    <x v="2"/>
    <n v="9720"/>
    <x v="0"/>
  </r>
  <r>
    <s v="ORD1954"/>
    <x v="83"/>
    <x v="2"/>
    <x v="1"/>
    <n v="10800"/>
    <x v="3"/>
    <x v="1"/>
    <s v="Cancelled"/>
    <x v="0"/>
    <s v="Western"/>
    <n v="0.1"/>
    <x v="1"/>
    <n v="9720"/>
    <x v="0"/>
  </r>
  <r>
    <s v="ORD1955"/>
    <x v="435"/>
    <x v="1"/>
    <x v="1"/>
    <n v="5400"/>
    <x v="3"/>
    <x v="1"/>
    <s v="Active"/>
    <x v="1"/>
    <s v="Oti"/>
    <n v="0.1"/>
    <x v="2"/>
    <n v="4860"/>
    <x v="1"/>
  </r>
  <r>
    <s v="ORD1956"/>
    <x v="336"/>
    <x v="0"/>
    <x v="1"/>
    <n v="16200"/>
    <x v="0"/>
    <x v="2"/>
    <s v="Cancelled"/>
    <x v="0"/>
    <s v="Volta"/>
    <n v="0.1"/>
    <x v="2"/>
    <n v="14580"/>
    <x v="0"/>
  </r>
  <r>
    <s v="ORD1957"/>
    <x v="125"/>
    <x v="0"/>
    <x v="1"/>
    <n v="16200"/>
    <x v="0"/>
    <x v="0"/>
    <s v="Cancelled"/>
    <x v="0"/>
    <s v="Upper East"/>
    <n v="0.1"/>
    <x v="3"/>
    <n v="14580"/>
    <x v="0"/>
  </r>
  <r>
    <s v="ORD1958"/>
    <x v="34"/>
    <x v="2"/>
    <x v="0"/>
    <n v="1000"/>
    <x v="1"/>
    <x v="0"/>
    <s v="Cancelled"/>
    <x v="0"/>
    <s v="Central"/>
    <n v="0"/>
    <x v="0"/>
    <n v="1000"/>
    <x v="0"/>
  </r>
  <r>
    <s v="ORD1959"/>
    <x v="409"/>
    <x v="2"/>
    <x v="1"/>
    <n v="10800"/>
    <x v="2"/>
    <x v="2"/>
    <s v="Cancelled"/>
    <x v="0"/>
    <s v="Northern"/>
    <n v="0.1"/>
    <x v="3"/>
    <n v="9720"/>
    <x v="0"/>
  </r>
  <r>
    <s v="ORD1960"/>
    <x v="643"/>
    <x v="0"/>
    <x v="0"/>
    <n v="1500"/>
    <x v="1"/>
    <x v="1"/>
    <s v="Active"/>
    <x v="1"/>
    <s v="Central"/>
    <n v="0"/>
    <x v="0"/>
    <n v="1500"/>
    <x v="1"/>
  </r>
  <r>
    <s v="ORD1961"/>
    <x v="663"/>
    <x v="1"/>
    <x v="0"/>
    <n v="500"/>
    <x v="0"/>
    <x v="1"/>
    <s v="Cancelled"/>
    <x v="0"/>
    <s v="Volta"/>
    <n v="0"/>
    <x v="2"/>
    <n v="500"/>
    <x v="0"/>
  </r>
  <r>
    <s v="ORD1962"/>
    <x v="348"/>
    <x v="1"/>
    <x v="1"/>
    <n v="5400"/>
    <x v="0"/>
    <x v="2"/>
    <s v="Active"/>
    <x v="1"/>
    <s v="Upper East"/>
    <n v="0.1"/>
    <x v="3"/>
    <n v="4860"/>
    <x v="1"/>
  </r>
  <r>
    <s v="ORD1963"/>
    <x v="433"/>
    <x v="2"/>
    <x v="1"/>
    <n v="10800"/>
    <x v="2"/>
    <x v="0"/>
    <s v="Cancelled"/>
    <x v="0"/>
    <s v="Northern"/>
    <n v="0.1"/>
    <x v="3"/>
    <n v="9720"/>
    <x v="0"/>
  </r>
  <r>
    <s v="ORD1964"/>
    <x v="444"/>
    <x v="2"/>
    <x v="1"/>
    <n v="10800"/>
    <x v="2"/>
    <x v="1"/>
    <s v="Active"/>
    <x v="1"/>
    <s v="Western"/>
    <n v="0.1"/>
    <x v="1"/>
    <n v="9720"/>
    <x v="1"/>
  </r>
  <r>
    <s v="ORD1965"/>
    <x v="545"/>
    <x v="0"/>
    <x v="0"/>
    <n v="1500"/>
    <x v="3"/>
    <x v="0"/>
    <s v="Cancelled"/>
    <x v="0"/>
    <s v="Oti"/>
    <n v="0"/>
    <x v="2"/>
    <n v="1500"/>
    <x v="0"/>
  </r>
  <r>
    <s v="ORD1966"/>
    <x v="621"/>
    <x v="2"/>
    <x v="0"/>
    <n v="1000"/>
    <x v="2"/>
    <x v="0"/>
    <s v="Cancelled"/>
    <x v="0"/>
    <s v="Bono"/>
    <n v="0"/>
    <x v="1"/>
    <n v="1000"/>
    <x v="0"/>
  </r>
  <r>
    <s v="ORD1967"/>
    <x v="140"/>
    <x v="2"/>
    <x v="0"/>
    <n v="1000"/>
    <x v="0"/>
    <x v="1"/>
    <s v="Cancelled"/>
    <x v="0"/>
    <s v="Ashanti"/>
    <n v="0"/>
    <x v="1"/>
    <n v="1000"/>
    <x v="0"/>
  </r>
  <r>
    <s v="ORD1968"/>
    <x v="250"/>
    <x v="1"/>
    <x v="0"/>
    <n v="500"/>
    <x v="2"/>
    <x v="2"/>
    <s v="Active"/>
    <x v="1"/>
    <s v="Western"/>
    <n v="0"/>
    <x v="1"/>
    <n v="500"/>
    <x v="1"/>
  </r>
  <r>
    <s v="ORD1969"/>
    <x v="47"/>
    <x v="1"/>
    <x v="0"/>
    <n v="500"/>
    <x v="3"/>
    <x v="1"/>
    <s v="Active"/>
    <x v="1"/>
    <s v="Greater Accra"/>
    <n v="0"/>
    <x v="0"/>
    <n v="500"/>
    <x v="1"/>
  </r>
  <r>
    <s v="ORD1970"/>
    <x v="11"/>
    <x v="0"/>
    <x v="1"/>
    <n v="16200"/>
    <x v="2"/>
    <x v="2"/>
    <s v="Cancelled"/>
    <x v="0"/>
    <s v="Northern"/>
    <n v="0.1"/>
    <x v="3"/>
    <n v="14580"/>
    <x v="0"/>
  </r>
  <r>
    <s v="ORD1971"/>
    <x v="356"/>
    <x v="2"/>
    <x v="1"/>
    <n v="10800"/>
    <x v="0"/>
    <x v="1"/>
    <s v="Active"/>
    <x v="1"/>
    <s v="Upper East"/>
    <n v="0.1"/>
    <x v="3"/>
    <n v="9720"/>
    <x v="1"/>
  </r>
  <r>
    <s v="ORD1972"/>
    <x v="609"/>
    <x v="1"/>
    <x v="1"/>
    <n v="5400"/>
    <x v="0"/>
    <x v="1"/>
    <s v="Cancelled"/>
    <x v="0"/>
    <s v="Greater Accra"/>
    <n v="0.1"/>
    <x v="0"/>
    <n v="4860"/>
    <x v="0"/>
  </r>
  <r>
    <s v="ORD1973"/>
    <x v="518"/>
    <x v="2"/>
    <x v="0"/>
    <n v="1000"/>
    <x v="3"/>
    <x v="1"/>
    <s v="Active"/>
    <x v="1"/>
    <s v="Ashanti"/>
    <n v="0"/>
    <x v="1"/>
    <n v="1000"/>
    <x v="1"/>
  </r>
  <r>
    <s v="ORD1974"/>
    <x v="556"/>
    <x v="0"/>
    <x v="1"/>
    <n v="16200"/>
    <x v="2"/>
    <x v="1"/>
    <s v="Active"/>
    <x v="1"/>
    <s v="Western"/>
    <n v="0.1"/>
    <x v="1"/>
    <n v="14580"/>
    <x v="1"/>
  </r>
  <r>
    <s v="ORD1975"/>
    <x v="454"/>
    <x v="1"/>
    <x v="0"/>
    <n v="500"/>
    <x v="3"/>
    <x v="1"/>
    <s v="Active"/>
    <x v="1"/>
    <s v="Eastern"/>
    <n v="0"/>
    <x v="2"/>
    <n v="500"/>
    <x v="1"/>
  </r>
  <r>
    <s v="ORD1976"/>
    <x v="283"/>
    <x v="2"/>
    <x v="1"/>
    <n v="10800"/>
    <x v="1"/>
    <x v="0"/>
    <s v="Cancelled"/>
    <x v="0"/>
    <s v="Western"/>
    <n v="0.1"/>
    <x v="1"/>
    <n v="9720"/>
    <x v="0"/>
  </r>
  <r>
    <s v="ORD1977"/>
    <x v="403"/>
    <x v="1"/>
    <x v="0"/>
    <n v="500"/>
    <x v="3"/>
    <x v="1"/>
    <s v="Active"/>
    <x v="1"/>
    <s v="Eastern"/>
    <n v="0"/>
    <x v="2"/>
    <n v="500"/>
    <x v="1"/>
  </r>
  <r>
    <s v="ORD1978"/>
    <x v="12"/>
    <x v="0"/>
    <x v="1"/>
    <n v="16200"/>
    <x v="3"/>
    <x v="2"/>
    <s v="Cancelled"/>
    <x v="0"/>
    <s v="Oti"/>
    <n v="0.1"/>
    <x v="2"/>
    <n v="14580"/>
    <x v="0"/>
  </r>
  <r>
    <s v="ORD1979"/>
    <x v="177"/>
    <x v="1"/>
    <x v="0"/>
    <n v="500"/>
    <x v="3"/>
    <x v="1"/>
    <s v="Cancelled"/>
    <x v="0"/>
    <s v="Ahafo"/>
    <n v="0"/>
    <x v="1"/>
    <n v="500"/>
    <x v="0"/>
  </r>
  <r>
    <s v="ORD1980"/>
    <x v="455"/>
    <x v="2"/>
    <x v="0"/>
    <n v="1000"/>
    <x v="0"/>
    <x v="1"/>
    <s v="Cancelled"/>
    <x v="0"/>
    <s v="Volta"/>
    <n v="0"/>
    <x v="2"/>
    <n v="1000"/>
    <x v="0"/>
  </r>
  <r>
    <s v="ORD1981"/>
    <x v="440"/>
    <x v="0"/>
    <x v="0"/>
    <n v="1500"/>
    <x v="0"/>
    <x v="1"/>
    <s v="Active"/>
    <x v="1"/>
    <s v="Upper East"/>
    <n v="0"/>
    <x v="3"/>
    <n v="1500"/>
    <x v="1"/>
  </r>
  <r>
    <s v="ORD1982"/>
    <x v="256"/>
    <x v="2"/>
    <x v="0"/>
    <n v="1000"/>
    <x v="0"/>
    <x v="1"/>
    <s v="Active"/>
    <x v="1"/>
    <s v="Greater Accra"/>
    <n v="0"/>
    <x v="0"/>
    <n v="1000"/>
    <x v="1"/>
  </r>
  <r>
    <s v="ORD1983"/>
    <x v="620"/>
    <x v="0"/>
    <x v="1"/>
    <n v="16200"/>
    <x v="2"/>
    <x v="0"/>
    <s v="Cancelled"/>
    <x v="0"/>
    <s v="Eastern"/>
    <n v="0.1"/>
    <x v="2"/>
    <n v="14580"/>
    <x v="0"/>
  </r>
  <r>
    <s v="ORD1984"/>
    <x v="450"/>
    <x v="2"/>
    <x v="1"/>
    <n v="10800"/>
    <x v="0"/>
    <x v="1"/>
    <s v="Active"/>
    <x v="1"/>
    <s v="Volta"/>
    <n v="0.1"/>
    <x v="2"/>
    <n v="9720"/>
    <x v="1"/>
  </r>
  <r>
    <s v="ORD1985"/>
    <x v="429"/>
    <x v="0"/>
    <x v="0"/>
    <n v="1500"/>
    <x v="3"/>
    <x v="1"/>
    <s v="Active"/>
    <x v="1"/>
    <s v="Oti"/>
    <n v="0"/>
    <x v="2"/>
    <n v="1500"/>
    <x v="1"/>
  </r>
  <r>
    <s v="ORD1986"/>
    <x v="615"/>
    <x v="1"/>
    <x v="1"/>
    <n v="5400"/>
    <x v="1"/>
    <x v="2"/>
    <s v="Active"/>
    <x v="1"/>
    <s v="Central"/>
    <n v="0.1"/>
    <x v="0"/>
    <n v="4860"/>
    <x v="1"/>
  </r>
  <r>
    <s v="ORD1987"/>
    <x v="565"/>
    <x v="0"/>
    <x v="1"/>
    <n v="16200"/>
    <x v="3"/>
    <x v="2"/>
    <s v="Active"/>
    <x v="1"/>
    <s v="Greater Accra"/>
    <n v="0.1"/>
    <x v="0"/>
    <n v="14580"/>
    <x v="1"/>
  </r>
  <r>
    <s v="ORD1988"/>
    <x v="147"/>
    <x v="2"/>
    <x v="1"/>
    <n v="10800"/>
    <x v="2"/>
    <x v="2"/>
    <s v="Active"/>
    <x v="1"/>
    <s v="Northern"/>
    <n v="0.1"/>
    <x v="3"/>
    <n v="9720"/>
    <x v="1"/>
  </r>
  <r>
    <s v="ORD1989"/>
    <x v="410"/>
    <x v="2"/>
    <x v="1"/>
    <n v="10800"/>
    <x v="3"/>
    <x v="1"/>
    <s v="Active"/>
    <x v="1"/>
    <s v="Eastern"/>
    <n v="0.1"/>
    <x v="2"/>
    <n v="9720"/>
    <x v="1"/>
  </r>
  <r>
    <s v="ORD1990"/>
    <x v="209"/>
    <x v="2"/>
    <x v="0"/>
    <n v="1000"/>
    <x v="2"/>
    <x v="1"/>
    <s v="Active"/>
    <x v="1"/>
    <s v="Western"/>
    <n v="0"/>
    <x v="1"/>
    <n v="1000"/>
    <x v="1"/>
  </r>
  <r>
    <s v="ORD1991"/>
    <x v="354"/>
    <x v="1"/>
    <x v="1"/>
    <n v="5400"/>
    <x v="0"/>
    <x v="2"/>
    <s v="Active"/>
    <x v="1"/>
    <s v="Volta"/>
    <n v="0.1"/>
    <x v="2"/>
    <n v="4860"/>
    <x v="1"/>
  </r>
  <r>
    <s v="ORD1992"/>
    <x v="669"/>
    <x v="2"/>
    <x v="1"/>
    <n v="10800"/>
    <x v="0"/>
    <x v="1"/>
    <s v="Active"/>
    <x v="1"/>
    <s v="Upper East"/>
    <n v="0.1"/>
    <x v="3"/>
    <n v="9720"/>
    <x v="1"/>
  </r>
  <r>
    <s v="ORD1993"/>
    <x v="670"/>
    <x v="0"/>
    <x v="1"/>
    <n v="16200"/>
    <x v="2"/>
    <x v="1"/>
    <s v="Active"/>
    <x v="1"/>
    <s v="Northern"/>
    <n v="0.1"/>
    <x v="3"/>
    <n v="14580"/>
    <x v="1"/>
  </r>
  <r>
    <s v="ORD1994"/>
    <x v="132"/>
    <x v="1"/>
    <x v="0"/>
    <n v="500"/>
    <x v="1"/>
    <x v="1"/>
    <s v="Active"/>
    <x v="1"/>
    <s v="Western"/>
    <n v="0"/>
    <x v="1"/>
    <n v="500"/>
    <x v="1"/>
  </r>
  <r>
    <s v="ORD1995"/>
    <x v="671"/>
    <x v="1"/>
    <x v="1"/>
    <n v="5400"/>
    <x v="3"/>
    <x v="0"/>
    <s v="Cancelled"/>
    <x v="0"/>
    <s v="Ahafo"/>
    <n v="0.1"/>
    <x v="1"/>
    <n v="4860"/>
    <x v="0"/>
  </r>
  <r>
    <s v="ORD1996"/>
    <x v="163"/>
    <x v="0"/>
    <x v="0"/>
    <n v="1500"/>
    <x v="2"/>
    <x v="1"/>
    <s v="Active"/>
    <x v="1"/>
    <s v="Western North"/>
    <n v="0"/>
    <x v="1"/>
    <n v="1500"/>
    <x v="1"/>
  </r>
  <r>
    <s v="ORD1997"/>
    <x v="672"/>
    <x v="1"/>
    <x v="1"/>
    <n v="5400"/>
    <x v="0"/>
    <x v="1"/>
    <s v="Active"/>
    <x v="1"/>
    <s v="Ashanti"/>
    <n v="0.1"/>
    <x v="1"/>
    <n v="4860"/>
    <x v="1"/>
  </r>
  <r>
    <s v="ORD1998"/>
    <x v="673"/>
    <x v="2"/>
    <x v="1"/>
    <n v="10800"/>
    <x v="1"/>
    <x v="1"/>
    <s v="Cancelled"/>
    <x v="0"/>
    <s v="Central"/>
    <n v="0.1"/>
    <x v="0"/>
    <n v="9720"/>
    <x v="0"/>
  </r>
  <r>
    <s v="ORD1999"/>
    <x v="79"/>
    <x v="0"/>
    <x v="1"/>
    <n v="16200"/>
    <x v="2"/>
    <x v="1"/>
    <s v="Active"/>
    <x v="1"/>
    <s v="Eastern"/>
    <n v="0.1"/>
    <x v="2"/>
    <n v="14580"/>
    <x v="1"/>
  </r>
  <r>
    <s v="ORD2000"/>
    <x v="223"/>
    <x v="2"/>
    <x v="1"/>
    <n v="10800"/>
    <x v="0"/>
    <x v="2"/>
    <s v="Active"/>
    <x v="1"/>
    <s v="Ashanti"/>
    <n v="0.1"/>
    <x v="1"/>
    <n v="972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41A143-22D2-4B7F-A3FA-0DBC0B26DC0E}" name="% Churne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68:C71" firstHeaderRow="1" firstDataRow="1" firstDataCol="1"/>
  <pivotFields count="17">
    <pivotField showAll="0"/>
    <pivotField numFmtId="14" showAll="0">
      <items count="675">
        <item x="25"/>
        <item x="502"/>
        <item x="563"/>
        <item x="181"/>
        <item x="281"/>
        <item x="452"/>
        <item x="638"/>
        <item x="18"/>
        <item x="407"/>
        <item x="276"/>
        <item x="329"/>
        <item x="262"/>
        <item x="234"/>
        <item x="325"/>
        <item x="618"/>
        <item x="232"/>
        <item x="504"/>
        <item x="668"/>
        <item x="500"/>
        <item x="335"/>
        <item x="216"/>
        <item x="313"/>
        <item x="248"/>
        <item x="19"/>
        <item x="111"/>
        <item x="97"/>
        <item x="155"/>
        <item x="201"/>
        <item x="109"/>
        <item x="375"/>
        <item x="48"/>
        <item x="379"/>
        <item x="256"/>
        <item x="291"/>
        <item x="162"/>
        <item x="408"/>
        <item x="435"/>
        <item x="263"/>
        <item x="0"/>
        <item x="450"/>
        <item x="103"/>
        <item x="296"/>
        <item x="593"/>
        <item x="645"/>
        <item x="640"/>
        <item x="50"/>
        <item x="192"/>
        <item x="182"/>
        <item x="647"/>
        <item x="227"/>
        <item x="660"/>
        <item x="661"/>
        <item x="9"/>
        <item x="217"/>
        <item x="21"/>
        <item x="533"/>
        <item x="510"/>
        <item x="343"/>
        <item x="137"/>
        <item x="453"/>
        <item x="172"/>
        <item x="102"/>
        <item x="562"/>
        <item x="634"/>
        <item x="125"/>
        <item x="267"/>
        <item x="536"/>
        <item x="632"/>
        <item x="95"/>
        <item x="264"/>
        <item x="455"/>
        <item x="30"/>
        <item x="498"/>
        <item x="294"/>
        <item x="289"/>
        <item x="466"/>
        <item x="378"/>
        <item x="534"/>
        <item x="159"/>
        <item x="403"/>
        <item x="101"/>
        <item x="405"/>
        <item x="247"/>
        <item x="463"/>
        <item x="576"/>
        <item x="417"/>
        <item x="61"/>
        <item x="110"/>
        <item x="442"/>
        <item x="91"/>
        <item x="633"/>
        <item x="94"/>
        <item x="211"/>
        <item x="249"/>
        <item x="327"/>
        <item x="427"/>
        <item x="153"/>
        <item x="120"/>
        <item x="302"/>
        <item x="158"/>
        <item x="152"/>
        <item x="32"/>
        <item x="456"/>
        <item x="79"/>
        <item x="295"/>
        <item x="14"/>
        <item x="323"/>
        <item x="421"/>
        <item x="654"/>
        <item x="617"/>
        <item x="300"/>
        <item x="527"/>
        <item x="145"/>
        <item x="621"/>
        <item x="622"/>
        <item x="449"/>
        <item x="644"/>
        <item x="202"/>
        <item x="214"/>
        <item x="519"/>
        <item x="318"/>
        <item x="445"/>
        <item x="461"/>
        <item x="605"/>
        <item x="564"/>
        <item x="107"/>
        <item x="471"/>
        <item x="416"/>
        <item x="171"/>
        <item x="231"/>
        <item x="596"/>
        <item x="167"/>
        <item x="52"/>
        <item x="75"/>
        <item x="590"/>
        <item x="607"/>
        <item x="652"/>
        <item x="236"/>
        <item x="414"/>
        <item x="363"/>
        <item x="537"/>
        <item x="577"/>
        <item x="251"/>
        <item x="444"/>
        <item x="307"/>
        <item x="195"/>
        <item x="432"/>
        <item x="238"/>
        <item x="355"/>
        <item x="299"/>
        <item x="501"/>
        <item x="198"/>
        <item x="433"/>
        <item x="659"/>
        <item x="365"/>
        <item x="380"/>
        <item x="641"/>
        <item x="59"/>
        <item x="594"/>
        <item x="170"/>
        <item x="543"/>
        <item x="352"/>
        <item x="114"/>
        <item x="415"/>
        <item x="371"/>
        <item x="410"/>
        <item x="637"/>
        <item x="83"/>
        <item x="260"/>
        <item x="658"/>
        <item x="381"/>
        <item x="542"/>
        <item x="243"/>
        <item x="45"/>
        <item x="517"/>
        <item x="326"/>
        <item x="394"/>
        <item x="604"/>
        <item x="615"/>
        <item x="11"/>
        <item x="370"/>
        <item x="353"/>
        <item x="261"/>
        <item x="22"/>
        <item x="575"/>
        <item x="270"/>
        <item x="545"/>
        <item x="497"/>
        <item x="58"/>
        <item x="422"/>
        <item x="345"/>
        <item x="610"/>
        <item x="37"/>
        <item x="31"/>
        <item x="538"/>
        <item x="406"/>
        <item x="235"/>
        <item x="17"/>
        <item x="272"/>
        <item x="672"/>
        <item x="474"/>
        <item x="67"/>
        <item x="253"/>
        <item x="540"/>
        <item x="358"/>
        <item x="348"/>
        <item x="522"/>
        <item x="321"/>
        <item x="337"/>
        <item x="586"/>
        <item x="113"/>
        <item x="468"/>
        <item x="112"/>
        <item x="549"/>
        <item x="448"/>
        <item x="254"/>
        <item x="150"/>
        <item x="490"/>
        <item x="336"/>
        <item x="429"/>
        <item x="265"/>
        <item x="630"/>
        <item x="98"/>
        <item x="228"/>
        <item x="361"/>
        <item x="344"/>
        <item x="483"/>
        <item x="399"/>
        <item x="486"/>
        <item x="184"/>
        <item x="322"/>
        <item x="297"/>
        <item x="126"/>
        <item x="213"/>
        <item x="356"/>
        <item x="135"/>
        <item x="460"/>
        <item x="200"/>
        <item x="46"/>
        <item x="166"/>
        <item x="389"/>
        <item x="362"/>
        <item x="388"/>
        <item x="140"/>
        <item x="88"/>
        <item x="90"/>
        <item x="2"/>
        <item x="147"/>
        <item x="176"/>
        <item x="561"/>
        <item x="595"/>
        <item x="451"/>
        <item x="346"/>
        <item x="392"/>
        <item x="105"/>
        <item x="665"/>
        <item x="548"/>
        <item x="631"/>
        <item x="409"/>
        <item x="6"/>
        <item x="177"/>
        <item x="292"/>
        <item x="283"/>
        <item x="360"/>
        <item x="225"/>
        <item x="80"/>
        <item x="36"/>
        <item x="210"/>
        <item x="476"/>
        <item x="26"/>
        <item x="55"/>
        <item x="398"/>
        <item x="367"/>
        <item x="56"/>
        <item x="151"/>
        <item x="488"/>
        <item x="191"/>
        <item x="582"/>
        <item x="384"/>
        <item x="165"/>
        <item x="29"/>
        <item x="92"/>
        <item x="606"/>
        <item x="78"/>
        <item x="350"/>
        <item x="568"/>
        <item x="241"/>
        <item x="142"/>
        <item x="541"/>
        <item x="478"/>
        <item x="271"/>
        <item x="554"/>
        <item x="66"/>
        <item x="242"/>
        <item x="115"/>
        <item x="663"/>
        <item x="1"/>
        <item x="279"/>
        <item x="413"/>
        <item x="499"/>
        <item x="324"/>
        <item x="77"/>
        <item x="544"/>
        <item x="509"/>
        <item x="53"/>
        <item x="15"/>
        <item x="259"/>
        <item x="557"/>
        <item x="124"/>
        <item x="157"/>
        <item x="51"/>
        <item x="349"/>
        <item x="174"/>
        <item x="397"/>
        <item x="219"/>
        <item x="503"/>
        <item x="523"/>
        <item x="583"/>
        <item x="250"/>
        <item x="431"/>
        <item x="662"/>
        <item x="393"/>
        <item x="62"/>
        <item x="290"/>
        <item x="298"/>
        <item x="383"/>
        <item x="7"/>
        <item x="391"/>
        <item x="508"/>
        <item x="342"/>
        <item x="571"/>
        <item x="374"/>
        <item x="636"/>
        <item x="130"/>
        <item x="179"/>
        <item x="275"/>
        <item x="245"/>
        <item x="526"/>
        <item x="651"/>
        <item x="64"/>
        <item x="464"/>
        <item x="377"/>
        <item x="310"/>
        <item x="189"/>
        <item x="602"/>
        <item x="258"/>
        <item x="168"/>
        <item x="496"/>
        <item x="428"/>
        <item x="139"/>
        <item x="194"/>
        <item x="70"/>
        <item x="589"/>
        <item x="441"/>
        <item x="10"/>
        <item x="601"/>
        <item x="673"/>
        <item x="642"/>
        <item x="312"/>
        <item x="614"/>
        <item x="221"/>
        <item x="491"/>
        <item x="511"/>
        <item x="54"/>
        <item x="222"/>
        <item x="494"/>
        <item x="569"/>
        <item x="477"/>
        <item x="20"/>
        <item x="4"/>
        <item x="284"/>
        <item x="229"/>
        <item x="86"/>
        <item x="108"/>
        <item x="278"/>
        <item x="473"/>
        <item x="667"/>
        <item x="311"/>
        <item x="73"/>
        <item x="246"/>
        <item x="215"/>
        <item x="657"/>
        <item x="664"/>
        <item x="489"/>
        <item x="161"/>
        <item x="127"/>
        <item x="203"/>
        <item x="419"/>
        <item x="49"/>
        <item x="12"/>
        <item x="616"/>
        <item x="347"/>
        <item x="579"/>
        <item x="134"/>
        <item x="546"/>
        <item x="154"/>
        <item x="467"/>
        <item x="487"/>
        <item x="338"/>
        <item x="573"/>
        <item x="286"/>
        <item x="117"/>
        <item x="199"/>
        <item x="430"/>
        <item x="560"/>
        <item x="438"/>
        <item x="447"/>
        <item x="206"/>
        <item x="625"/>
        <item x="412"/>
        <item x="306"/>
        <item x="635"/>
        <item x="138"/>
        <item x="190"/>
        <item x="104"/>
        <item x="84"/>
        <item x="457"/>
        <item x="578"/>
        <item x="386"/>
        <item x="44"/>
        <item x="65"/>
        <item x="141"/>
        <item x="495"/>
        <item x="69"/>
        <item x="71"/>
        <item x="669"/>
        <item x="136"/>
        <item x="332"/>
        <item x="81"/>
        <item x="612"/>
        <item x="588"/>
        <item x="169"/>
        <item x="553"/>
        <item x="268"/>
        <item x="396"/>
        <item x="480"/>
        <item x="205"/>
        <item x="515"/>
        <item x="493"/>
        <item x="178"/>
        <item x="301"/>
        <item x="13"/>
        <item x="188"/>
        <item x="133"/>
        <item x="518"/>
        <item x="220"/>
        <item x="305"/>
        <item x="106"/>
        <item x="401"/>
        <item x="481"/>
        <item x="643"/>
        <item x="8"/>
        <item x="373"/>
        <item x="485"/>
        <item x="475"/>
        <item x="274"/>
        <item x="252"/>
        <item x="309"/>
        <item x="60"/>
        <item x="226"/>
        <item x="599"/>
        <item x="207"/>
        <item x="418"/>
        <item x="514"/>
        <item x="121"/>
        <item x="196"/>
        <item x="187"/>
        <item x="160"/>
        <item x="331"/>
        <item x="420"/>
        <item x="382"/>
        <item x="16"/>
        <item x="208"/>
        <item x="319"/>
        <item x="402"/>
        <item x="639"/>
        <item x="282"/>
        <item x="63"/>
        <item x="424"/>
        <item x="304"/>
        <item x="5"/>
        <item x="359"/>
        <item x="183"/>
        <item x="620"/>
        <item x="277"/>
        <item x="558"/>
        <item x="434"/>
        <item x="565"/>
        <item x="411"/>
        <item x="287"/>
        <item x="285"/>
        <item x="288"/>
        <item x="585"/>
        <item x="315"/>
        <item x="459"/>
        <item x="521"/>
        <item x="566"/>
        <item x="255"/>
        <item x="68"/>
        <item x="609"/>
        <item x="550"/>
        <item x="116"/>
        <item x="532"/>
        <item x="185"/>
        <item x="376"/>
        <item x="39"/>
        <item x="581"/>
        <item x="671"/>
        <item x="119"/>
        <item x="650"/>
        <item x="385"/>
        <item x="100"/>
        <item x="390"/>
        <item x="580"/>
        <item x="280"/>
        <item x="351"/>
        <item x="317"/>
        <item x="646"/>
        <item x="597"/>
        <item x="552"/>
        <item x="308"/>
        <item x="339"/>
        <item x="89"/>
        <item x="436"/>
        <item x="230"/>
        <item x="257"/>
        <item x="439"/>
        <item x="425"/>
        <item x="366"/>
        <item x="269"/>
        <item x="574"/>
        <item x="96"/>
        <item x="197"/>
        <item x="144"/>
        <item x="212"/>
        <item x="148"/>
        <item x="469"/>
        <item x="653"/>
        <item x="341"/>
        <item x="334"/>
        <item x="482"/>
        <item x="666"/>
        <item x="218"/>
        <item x="129"/>
        <item x="239"/>
        <item x="531"/>
        <item x="316"/>
        <item x="492"/>
        <item x="244"/>
        <item x="528"/>
        <item x="611"/>
        <item x="204"/>
        <item x="85"/>
        <item x="123"/>
        <item x="387"/>
        <item x="505"/>
        <item x="42"/>
        <item x="648"/>
        <item x="357"/>
        <item x="479"/>
        <item x="446"/>
        <item x="556"/>
        <item x="529"/>
        <item x="623"/>
        <item x="395"/>
        <item x="93"/>
        <item x="530"/>
        <item x="513"/>
        <item x="72"/>
        <item x="99"/>
        <item x="656"/>
        <item x="303"/>
        <item x="555"/>
        <item x="233"/>
        <item x="237"/>
        <item x="132"/>
        <item x="128"/>
        <item x="156"/>
        <item x="193"/>
        <item x="670"/>
        <item x="520"/>
        <item x="149"/>
        <item x="320"/>
        <item x="180"/>
        <item x="87"/>
        <item x="613"/>
        <item x="465"/>
        <item x="512"/>
        <item x="570"/>
        <item x="567"/>
        <item x="458"/>
        <item x="462"/>
        <item x="547"/>
        <item x="627"/>
        <item x="423"/>
        <item x="328"/>
        <item x="118"/>
        <item x="404"/>
        <item x="484"/>
        <item x="506"/>
        <item x="584"/>
        <item x="364"/>
        <item x="619"/>
        <item x="40"/>
        <item x="27"/>
        <item x="293"/>
        <item x="35"/>
        <item x="592"/>
        <item x="598"/>
        <item x="524"/>
        <item x="175"/>
        <item x="655"/>
        <item x="608"/>
        <item x="146"/>
        <item x="223"/>
        <item x="443"/>
        <item x="516"/>
        <item x="3"/>
        <item x="314"/>
        <item x="437"/>
        <item x="209"/>
        <item x="28"/>
        <item x="628"/>
        <item x="240"/>
        <item x="47"/>
        <item x="539"/>
        <item x="57"/>
        <item x="368"/>
        <item x="426"/>
        <item x="24"/>
        <item x="649"/>
        <item x="33"/>
        <item x="266"/>
        <item x="535"/>
        <item x="572"/>
        <item x="186"/>
        <item x="76"/>
        <item x="38"/>
        <item x="74"/>
        <item x="525"/>
        <item x="163"/>
        <item x="600"/>
        <item x="354"/>
        <item x="626"/>
        <item x="551"/>
        <item x="224"/>
        <item x="23"/>
        <item x="440"/>
        <item x="400"/>
        <item x="273"/>
        <item x="173"/>
        <item x="454"/>
        <item x="629"/>
        <item x="470"/>
        <item x="34"/>
        <item x="333"/>
        <item x="43"/>
        <item x="472"/>
        <item x="369"/>
        <item x="559"/>
        <item x="340"/>
        <item x="131"/>
        <item x="603"/>
        <item x="507"/>
        <item x="82"/>
        <item x="591"/>
        <item x="587"/>
        <item x="41"/>
        <item x="330"/>
        <item x="122"/>
        <item x="624"/>
        <item x="164"/>
        <item x="372"/>
        <item x="143"/>
        <item t="default"/>
      </items>
    </pivotField>
    <pivotField showAll="0"/>
    <pivotField showAll="0">
      <items count="3">
        <item x="1"/>
        <item x="0"/>
        <item t="default"/>
      </items>
    </pivotField>
    <pivotField showAll="0"/>
    <pivotField showAll="0"/>
    <pivotField showAll="0">
      <items count="4">
        <item x="2"/>
        <item x="1"/>
        <item x="0"/>
        <item t="default"/>
      </items>
    </pivotField>
    <pivotField showAll="0"/>
    <pivotField dataField="1" showAll="0"/>
    <pivotField showAll="0"/>
    <pivotField showAll="0"/>
    <pivotField showAll="0">
      <items count="5">
        <item x="2"/>
        <item x="3"/>
        <item x="0"/>
        <item x="1"/>
        <item t="default"/>
      </items>
    </pivotField>
    <pivotField showAll="0"/>
    <pivotField axis="axisRow" showAll="0">
      <items count="3">
        <item x="0"/>
        <item x="1"/>
        <item t="default"/>
      </items>
    </pivotField>
    <pivotField showAll="0" defaultSubtotal="0"/>
    <pivotField showAll="0" defaultSubtotal="0"/>
    <pivotField showAll="0" defaultSubtotal="0">
      <items count="5">
        <item x="0"/>
        <item x="1"/>
        <item x="2"/>
        <item x="3"/>
        <item x="4"/>
      </items>
    </pivotField>
  </pivotFields>
  <rowFields count="1">
    <field x="13"/>
  </rowFields>
  <rowItems count="3">
    <i>
      <x/>
    </i>
    <i>
      <x v="1"/>
    </i>
    <i t="grand">
      <x/>
    </i>
  </rowItems>
  <colItems count="1">
    <i/>
  </colItems>
  <dataFields count="1">
    <dataField name="Count of Churn Flag" fld="8" subtotal="count" showDataAs="percentOfTotal" baseField="0" baseItem="0" numFmtId="10"/>
  </dataFields>
  <formats count="2">
    <format dxfId="13">
      <pivotArea collapsedLevelsAreSubtotals="1" fieldPosition="0">
        <references count="1">
          <reference field="13" count="1">
            <x v="0"/>
          </reference>
        </references>
      </pivotArea>
    </format>
    <format dxfId="12">
      <pivotArea collapsedLevelsAreSubtotals="1" fieldPosition="0">
        <references count="1">
          <reference field="13"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2BC0015-51BD-4110-9C1D-5364ACC1F2C6}" name="Total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65:B66" firstHeaderRow="1" firstDataRow="1" firstDataCol="0"/>
  <pivotFields count="17">
    <pivotField showAll="0"/>
    <pivotField numFmtId="14" showAll="0">
      <items count="675">
        <item x="25"/>
        <item x="502"/>
        <item x="563"/>
        <item x="181"/>
        <item x="281"/>
        <item x="452"/>
        <item x="638"/>
        <item x="18"/>
        <item x="407"/>
        <item x="276"/>
        <item x="329"/>
        <item x="262"/>
        <item x="234"/>
        <item x="325"/>
        <item x="618"/>
        <item x="232"/>
        <item x="504"/>
        <item x="668"/>
        <item x="500"/>
        <item x="335"/>
        <item x="216"/>
        <item x="313"/>
        <item x="248"/>
        <item x="19"/>
        <item x="111"/>
        <item x="97"/>
        <item x="155"/>
        <item x="201"/>
        <item x="109"/>
        <item x="375"/>
        <item x="48"/>
        <item x="379"/>
        <item x="256"/>
        <item x="291"/>
        <item x="162"/>
        <item x="408"/>
        <item x="435"/>
        <item x="263"/>
        <item x="0"/>
        <item x="450"/>
        <item x="103"/>
        <item x="296"/>
        <item x="593"/>
        <item x="645"/>
        <item x="640"/>
        <item x="50"/>
        <item x="192"/>
        <item x="182"/>
        <item x="647"/>
        <item x="227"/>
        <item x="660"/>
        <item x="661"/>
        <item x="9"/>
        <item x="217"/>
        <item x="21"/>
        <item x="533"/>
        <item x="510"/>
        <item x="343"/>
        <item x="137"/>
        <item x="453"/>
        <item x="172"/>
        <item x="102"/>
        <item x="562"/>
        <item x="634"/>
        <item x="125"/>
        <item x="267"/>
        <item x="536"/>
        <item x="632"/>
        <item x="95"/>
        <item x="264"/>
        <item x="455"/>
        <item x="30"/>
        <item x="498"/>
        <item x="294"/>
        <item x="289"/>
        <item x="466"/>
        <item x="378"/>
        <item x="534"/>
        <item x="159"/>
        <item x="403"/>
        <item x="101"/>
        <item x="405"/>
        <item x="247"/>
        <item x="463"/>
        <item x="576"/>
        <item x="417"/>
        <item x="61"/>
        <item x="110"/>
        <item x="442"/>
        <item x="91"/>
        <item x="633"/>
        <item x="94"/>
        <item x="211"/>
        <item x="249"/>
        <item x="327"/>
        <item x="427"/>
        <item x="153"/>
        <item x="120"/>
        <item x="302"/>
        <item x="158"/>
        <item x="152"/>
        <item x="32"/>
        <item x="456"/>
        <item x="79"/>
        <item x="295"/>
        <item x="14"/>
        <item x="323"/>
        <item x="421"/>
        <item x="654"/>
        <item x="617"/>
        <item x="300"/>
        <item x="527"/>
        <item x="145"/>
        <item x="621"/>
        <item x="622"/>
        <item x="449"/>
        <item x="644"/>
        <item x="202"/>
        <item x="214"/>
        <item x="519"/>
        <item x="318"/>
        <item x="445"/>
        <item x="461"/>
        <item x="605"/>
        <item x="564"/>
        <item x="107"/>
        <item x="471"/>
        <item x="416"/>
        <item x="171"/>
        <item x="231"/>
        <item x="596"/>
        <item x="167"/>
        <item x="52"/>
        <item x="75"/>
        <item x="590"/>
        <item x="607"/>
        <item x="652"/>
        <item x="236"/>
        <item x="414"/>
        <item x="363"/>
        <item x="537"/>
        <item x="577"/>
        <item x="251"/>
        <item x="444"/>
        <item x="307"/>
        <item x="195"/>
        <item x="432"/>
        <item x="238"/>
        <item x="355"/>
        <item x="299"/>
        <item x="501"/>
        <item x="198"/>
        <item x="433"/>
        <item x="659"/>
        <item x="365"/>
        <item x="380"/>
        <item x="641"/>
        <item x="59"/>
        <item x="594"/>
        <item x="170"/>
        <item x="543"/>
        <item x="352"/>
        <item x="114"/>
        <item x="415"/>
        <item x="371"/>
        <item x="410"/>
        <item x="637"/>
        <item x="83"/>
        <item x="260"/>
        <item x="658"/>
        <item x="381"/>
        <item x="542"/>
        <item x="243"/>
        <item x="45"/>
        <item x="517"/>
        <item x="326"/>
        <item x="394"/>
        <item x="604"/>
        <item x="615"/>
        <item x="11"/>
        <item x="370"/>
        <item x="353"/>
        <item x="261"/>
        <item x="22"/>
        <item x="575"/>
        <item x="270"/>
        <item x="545"/>
        <item x="497"/>
        <item x="58"/>
        <item x="422"/>
        <item x="345"/>
        <item x="610"/>
        <item x="37"/>
        <item x="31"/>
        <item x="538"/>
        <item x="406"/>
        <item x="235"/>
        <item x="17"/>
        <item x="272"/>
        <item x="672"/>
        <item x="474"/>
        <item x="67"/>
        <item x="253"/>
        <item x="540"/>
        <item x="358"/>
        <item x="348"/>
        <item x="522"/>
        <item x="321"/>
        <item x="337"/>
        <item x="586"/>
        <item x="113"/>
        <item x="468"/>
        <item x="112"/>
        <item x="549"/>
        <item x="448"/>
        <item x="254"/>
        <item x="150"/>
        <item x="490"/>
        <item x="336"/>
        <item x="429"/>
        <item x="265"/>
        <item x="630"/>
        <item x="98"/>
        <item x="228"/>
        <item x="361"/>
        <item x="344"/>
        <item x="483"/>
        <item x="399"/>
        <item x="486"/>
        <item x="184"/>
        <item x="322"/>
        <item x="297"/>
        <item x="126"/>
        <item x="213"/>
        <item x="356"/>
        <item x="135"/>
        <item x="460"/>
        <item x="200"/>
        <item x="46"/>
        <item x="166"/>
        <item x="389"/>
        <item x="362"/>
        <item x="388"/>
        <item x="140"/>
        <item x="88"/>
        <item x="90"/>
        <item x="2"/>
        <item x="147"/>
        <item x="176"/>
        <item x="561"/>
        <item x="595"/>
        <item x="451"/>
        <item x="346"/>
        <item x="392"/>
        <item x="105"/>
        <item x="665"/>
        <item x="548"/>
        <item x="631"/>
        <item x="409"/>
        <item x="6"/>
        <item x="177"/>
        <item x="292"/>
        <item x="283"/>
        <item x="360"/>
        <item x="225"/>
        <item x="80"/>
        <item x="36"/>
        <item x="210"/>
        <item x="476"/>
        <item x="26"/>
        <item x="55"/>
        <item x="398"/>
        <item x="367"/>
        <item x="56"/>
        <item x="151"/>
        <item x="488"/>
        <item x="191"/>
        <item x="582"/>
        <item x="384"/>
        <item x="165"/>
        <item x="29"/>
        <item x="92"/>
        <item x="606"/>
        <item x="78"/>
        <item x="350"/>
        <item x="568"/>
        <item x="241"/>
        <item x="142"/>
        <item x="541"/>
        <item x="478"/>
        <item x="271"/>
        <item x="554"/>
        <item x="66"/>
        <item x="242"/>
        <item x="115"/>
        <item x="663"/>
        <item x="1"/>
        <item x="279"/>
        <item x="413"/>
        <item x="499"/>
        <item x="324"/>
        <item x="77"/>
        <item x="544"/>
        <item x="509"/>
        <item x="53"/>
        <item x="15"/>
        <item x="259"/>
        <item x="557"/>
        <item x="124"/>
        <item x="157"/>
        <item x="51"/>
        <item x="349"/>
        <item x="174"/>
        <item x="397"/>
        <item x="219"/>
        <item x="503"/>
        <item x="523"/>
        <item x="583"/>
        <item x="250"/>
        <item x="431"/>
        <item x="662"/>
        <item x="393"/>
        <item x="62"/>
        <item x="290"/>
        <item x="298"/>
        <item x="383"/>
        <item x="7"/>
        <item x="391"/>
        <item x="508"/>
        <item x="342"/>
        <item x="571"/>
        <item x="374"/>
        <item x="636"/>
        <item x="130"/>
        <item x="179"/>
        <item x="275"/>
        <item x="245"/>
        <item x="526"/>
        <item x="651"/>
        <item x="64"/>
        <item x="464"/>
        <item x="377"/>
        <item x="310"/>
        <item x="189"/>
        <item x="602"/>
        <item x="258"/>
        <item x="168"/>
        <item x="496"/>
        <item x="428"/>
        <item x="139"/>
        <item x="194"/>
        <item x="70"/>
        <item x="589"/>
        <item x="441"/>
        <item x="10"/>
        <item x="601"/>
        <item x="673"/>
        <item x="642"/>
        <item x="312"/>
        <item x="614"/>
        <item x="221"/>
        <item x="491"/>
        <item x="511"/>
        <item x="54"/>
        <item x="222"/>
        <item x="494"/>
        <item x="569"/>
        <item x="477"/>
        <item x="20"/>
        <item x="4"/>
        <item x="284"/>
        <item x="229"/>
        <item x="86"/>
        <item x="108"/>
        <item x="278"/>
        <item x="473"/>
        <item x="667"/>
        <item x="311"/>
        <item x="73"/>
        <item x="246"/>
        <item x="215"/>
        <item x="657"/>
        <item x="664"/>
        <item x="489"/>
        <item x="161"/>
        <item x="127"/>
        <item x="203"/>
        <item x="419"/>
        <item x="49"/>
        <item x="12"/>
        <item x="616"/>
        <item x="347"/>
        <item x="579"/>
        <item x="134"/>
        <item x="546"/>
        <item x="154"/>
        <item x="467"/>
        <item x="487"/>
        <item x="338"/>
        <item x="573"/>
        <item x="286"/>
        <item x="117"/>
        <item x="199"/>
        <item x="430"/>
        <item x="560"/>
        <item x="438"/>
        <item x="447"/>
        <item x="206"/>
        <item x="625"/>
        <item x="412"/>
        <item x="306"/>
        <item x="635"/>
        <item x="138"/>
        <item x="190"/>
        <item x="104"/>
        <item x="84"/>
        <item x="457"/>
        <item x="578"/>
        <item x="386"/>
        <item x="44"/>
        <item x="65"/>
        <item x="141"/>
        <item x="495"/>
        <item x="69"/>
        <item x="71"/>
        <item x="669"/>
        <item x="136"/>
        <item x="332"/>
        <item x="81"/>
        <item x="612"/>
        <item x="588"/>
        <item x="169"/>
        <item x="553"/>
        <item x="268"/>
        <item x="396"/>
        <item x="480"/>
        <item x="205"/>
        <item x="515"/>
        <item x="493"/>
        <item x="178"/>
        <item x="301"/>
        <item x="13"/>
        <item x="188"/>
        <item x="133"/>
        <item x="518"/>
        <item x="220"/>
        <item x="305"/>
        <item x="106"/>
        <item x="401"/>
        <item x="481"/>
        <item x="643"/>
        <item x="8"/>
        <item x="373"/>
        <item x="485"/>
        <item x="475"/>
        <item x="274"/>
        <item x="252"/>
        <item x="309"/>
        <item x="60"/>
        <item x="226"/>
        <item x="599"/>
        <item x="207"/>
        <item x="418"/>
        <item x="514"/>
        <item x="121"/>
        <item x="196"/>
        <item x="187"/>
        <item x="160"/>
        <item x="331"/>
        <item x="420"/>
        <item x="382"/>
        <item x="16"/>
        <item x="208"/>
        <item x="319"/>
        <item x="402"/>
        <item x="639"/>
        <item x="282"/>
        <item x="63"/>
        <item x="424"/>
        <item x="304"/>
        <item x="5"/>
        <item x="359"/>
        <item x="183"/>
        <item x="620"/>
        <item x="277"/>
        <item x="558"/>
        <item x="434"/>
        <item x="565"/>
        <item x="411"/>
        <item x="287"/>
        <item x="285"/>
        <item x="288"/>
        <item x="585"/>
        <item x="315"/>
        <item x="459"/>
        <item x="521"/>
        <item x="566"/>
        <item x="255"/>
        <item x="68"/>
        <item x="609"/>
        <item x="550"/>
        <item x="116"/>
        <item x="532"/>
        <item x="185"/>
        <item x="376"/>
        <item x="39"/>
        <item x="581"/>
        <item x="671"/>
        <item x="119"/>
        <item x="650"/>
        <item x="385"/>
        <item x="100"/>
        <item x="390"/>
        <item x="580"/>
        <item x="280"/>
        <item x="351"/>
        <item x="317"/>
        <item x="646"/>
        <item x="597"/>
        <item x="552"/>
        <item x="308"/>
        <item x="339"/>
        <item x="89"/>
        <item x="436"/>
        <item x="230"/>
        <item x="257"/>
        <item x="439"/>
        <item x="425"/>
        <item x="366"/>
        <item x="269"/>
        <item x="574"/>
        <item x="96"/>
        <item x="197"/>
        <item x="144"/>
        <item x="212"/>
        <item x="148"/>
        <item x="469"/>
        <item x="653"/>
        <item x="341"/>
        <item x="334"/>
        <item x="482"/>
        <item x="666"/>
        <item x="218"/>
        <item x="129"/>
        <item x="239"/>
        <item x="531"/>
        <item x="316"/>
        <item x="492"/>
        <item x="244"/>
        <item x="528"/>
        <item x="611"/>
        <item x="204"/>
        <item x="85"/>
        <item x="123"/>
        <item x="387"/>
        <item x="505"/>
        <item x="42"/>
        <item x="648"/>
        <item x="357"/>
        <item x="479"/>
        <item x="446"/>
        <item x="556"/>
        <item x="529"/>
        <item x="623"/>
        <item x="395"/>
        <item x="93"/>
        <item x="530"/>
        <item x="513"/>
        <item x="72"/>
        <item x="99"/>
        <item x="656"/>
        <item x="303"/>
        <item x="555"/>
        <item x="233"/>
        <item x="237"/>
        <item x="132"/>
        <item x="128"/>
        <item x="156"/>
        <item x="193"/>
        <item x="670"/>
        <item x="520"/>
        <item x="149"/>
        <item x="320"/>
        <item x="180"/>
        <item x="87"/>
        <item x="613"/>
        <item x="465"/>
        <item x="512"/>
        <item x="570"/>
        <item x="567"/>
        <item x="458"/>
        <item x="462"/>
        <item x="547"/>
        <item x="627"/>
        <item x="423"/>
        <item x="328"/>
        <item x="118"/>
        <item x="404"/>
        <item x="484"/>
        <item x="506"/>
        <item x="584"/>
        <item x="364"/>
        <item x="619"/>
        <item x="40"/>
        <item x="27"/>
        <item x="293"/>
        <item x="35"/>
        <item x="592"/>
        <item x="598"/>
        <item x="524"/>
        <item x="175"/>
        <item x="655"/>
        <item x="608"/>
        <item x="146"/>
        <item x="223"/>
        <item x="443"/>
        <item x="516"/>
        <item x="3"/>
        <item x="314"/>
        <item x="437"/>
        <item x="209"/>
        <item x="28"/>
        <item x="628"/>
        <item x="240"/>
        <item x="47"/>
        <item x="539"/>
        <item x="57"/>
        <item x="368"/>
        <item x="426"/>
        <item x="24"/>
        <item x="649"/>
        <item x="33"/>
        <item x="266"/>
        <item x="535"/>
        <item x="572"/>
        <item x="186"/>
        <item x="76"/>
        <item x="38"/>
        <item x="74"/>
        <item x="525"/>
        <item x="163"/>
        <item x="600"/>
        <item x="354"/>
        <item x="626"/>
        <item x="551"/>
        <item x="224"/>
        <item x="23"/>
        <item x="440"/>
        <item x="400"/>
        <item x="273"/>
        <item x="173"/>
        <item x="454"/>
        <item x="629"/>
        <item x="470"/>
        <item x="34"/>
        <item x="333"/>
        <item x="43"/>
        <item x="472"/>
        <item x="369"/>
        <item x="559"/>
        <item x="340"/>
        <item x="131"/>
        <item x="603"/>
        <item x="507"/>
        <item x="82"/>
        <item x="591"/>
        <item x="587"/>
        <item x="41"/>
        <item x="330"/>
        <item x="122"/>
        <item x="624"/>
        <item x="164"/>
        <item x="372"/>
        <item x="143"/>
        <item t="default"/>
      </items>
    </pivotField>
    <pivotField showAll="0"/>
    <pivotField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items count="5">
        <item x="2"/>
        <item x="3"/>
        <item x="0"/>
        <item x="1"/>
        <item t="default"/>
      </items>
    </pivotField>
    <pivotField dataField="1" showAll="0"/>
    <pivotField showAll="0"/>
    <pivotField showAll="0" defaultSubtotal="0"/>
    <pivotField showAll="0" defaultSubtotal="0"/>
    <pivotField showAll="0" defaultSubtotal="0">
      <items count="5">
        <item x="0"/>
        <item x="1"/>
        <item x="2"/>
        <item x="3"/>
        <item x="4"/>
      </items>
    </pivotField>
  </pivotFields>
  <rowItems count="1">
    <i/>
  </rowItems>
  <colItems count="1">
    <i/>
  </colItems>
  <dataFields count="1">
    <dataField name="Sum of Revenue" fld="12" baseField="0" baseItem="0" numFmtId="166"/>
  </dataFields>
  <formats count="1">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1B28C7C-FF30-4A5D-844B-DBAC6172859C}" name="% Split of Devic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22:C26" firstHeaderRow="1" firstDataRow="1" firstDataCol="1"/>
  <pivotFields count="17">
    <pivotField dataField="1" showAll="0"/>
    <pivotField numFmtId="14" showAll="0">
      <items count="675">
        <item x="25"/>
        <item x="502"/>
        <item x="563"/>
        <item x="181"/>
        <item x="281"/>
        <item x="452"/>
        <item x="638"/>
        <item x="18"/>
        <item x="407"/>
        <item x="276"/>
        <item x="329"/>
        <item x="262"/>
        <item x="234"/>
        <item x="325"/>
        <item x="618"/>
        <item x="232"/>
        <item x="504"/>
        <item x="668"/>
        <item x="500"/>
        <item x="335"/>
        <item x="216"/>
        <item x="313"/>
        <item x="248"/>
        <item x="19"/>
        <item x="111"/>
        <item x="97"/>
        <item x="155"/>
        <item x="201"/>
        <item x="109"/>
        <item x="375"/>
        <item x="48"/>
        <item x="379"/>
        <item x="256"/>
        <item x="291"/>
        <item x="162"/>
        <item x="408"/>
        <item x="435"/>
        <item x="263"/>
        <item x="0"/>
        <item x="450"/>
        <item x="103"/>
        <item x="296"/>
        <item x="593"/>
        <item x="645"/>
        <item x="640"/>
        <item x="50"/>
        <item x="192"/>
        <item x="182"/>
        <item x="647"/>
        <item x="227"/>
        <item x="660"/>
        <item x="661"/>
        <item x="9"/>
        <item x="217"/>
        <item x="21"/>
        <item x="533"/>
        <item x="510"/>
        <item x="343"/>
        <item x="137"/>
        <item x="453"/>
        <item x="172"/>
        <item x="102"/>
        <item x="562"/>
        <item x="634"/>
        <item x="125"/>
        <item x="267"/>
        <item x="536"/>
        <item x="632"/>
        <item x="95"/>
        <item x="264"/>
        <item x="455"/>
        <item x="30"/>
        <item x="498"/>
        <item x="294"/>
        <item x="289"/>
        <item x="466"/>
        <item x="378"/>
        <item x="534"/>
        <item x="159"/>
        <item x="403"/>
        <item x="101"/>
        <item x="405"/>
        <item x="247"/>
        <item x="463"/>
        <item x="576"/>
        <item x="417"/>
        <item x="61"/>
        <item x="110"/>
        <item x="442"/>
        <item x="91"/>
        <item x="633"/>
        <item x="94"/>
        <item x="211"/>
        <item x="249"/>
        <item x="327"/>
        <item x="427"/>
        <item x="153"/>
        <item x="120"/>
        <item x="302"/>
        <item x="158"/>
        <item x="152"/>
        <item x="32"/>
        <item x="456"/>
        <item x="79"/>
        <item x="295"/>
        <item x="14"/>
        <item x="323"/>
        <item x="421"/>
        <item x="654"/>
        <item x="617"/>
        <item x="300"/>
        <item x="527"/>
        <item x="145"/>
        <item x="621"/>
        <item x="622"/>
        <item x="449"/>
        <item x="644"/>
        <item x="202"/>
        <item x="214"/>
        <item x="519"/>
        <item x="318"/>
        <item x="445"/>
        <item x="461"/>
        <item x="605"/>
        <item x="564"/>
        <item x="107"/>
        <item x="471"/>
        <item x="416"/>
        <item x="171"/>
        <item x="231"/>
        <item x="596"/>
        <item x="167"/>
        <item x="52"/>
        <item x="75"/>
        <item x="590"/>
        <item x="607"/>
        <item x="652"/>
        <item x="236"/>
        <item x="414"/>
        <item x="363"/>
        <item x="537"/>
        <item x="577"/>
        <item x="251"/>
        <item x="444"/>
        <item x="307"/>
        <item x="195"/>
        <item x="432"/>
        <item x="238"/>
        <item x="355"/>
        <item x="299"/>
        <item x="501"/>
        <item x="198"/>
        <item x="433"/>
        <item x="659"/>
        <item x="365"/>
        <item x="380"/>
        <item x="641"/>
        <item x="59"/>
        <item x="594"/>
        <item x="170"/>
        <item x="543"/>
        <item x="352"/>
        <item x="114"/>
        <item x="415"/>
        <item x="371"/>
        <item x="410"/>
        <item x="637"/>
        <item x="83"/>
        <item x="260"/>
        <item x="658"/>
        <item x="381"/>
        <item x="542"/>
        <item x="243"/>
        <item x="45"/>
        <item x="517"/>
        <item x="326"/>
        <item x="394"/>
        <item x="604"/>
        <item x="615"/>
        <item x="11"/>
        <item x="370"/>
        <item x="353"/>
        <item x="261"/>
        <item x="22"/>
        <item x="575"/>
        <item x="270"/>
        <item x="545"/>
        <item x="497"/>
        <item x="58"/>
        <item x="422"/>
        <item x="345"/>
        <item x="610"/>
        <item x="37"/>
        <item x="31"/>
        <item x="538"/>
        <item x="406"/>
        <item x="235"/>
        <item x="17"/>
        <item x="272"/>
        <item x="672"/>
        <item x="474"/>
        <item x="67"/>
        <item x="253"/>
        <item x="540"/>
        <item x="358"/>
        <item x="348"/>
        <item x="522"/>
        <item x="321"/>
        <item x="337"/>
        <item x="586"/>
        <item x="113"/>
        <item x="468"/>
        <item x="112"/>
        <item x="549"/>
        <item x="448"/>
        <item x="254"/>
        <item x="150"/>
        <item x="490"/>
        <item x="336"/>
        <item x="429"/>
        <item x="265"/>
        <item x="630"/>
        <item x="98"/>
        <item x="228"/>
        <item x="361"/>
        <item x="344"/>
        <item x="483"/>
        <item x="399"/>
        <item x="486"/>
        <item x="184"/>
        <item x="322"/>
        <item x="297"/>
        <item x="126"/>
        <item x="213"/>
        <item x="356"/>
        <item x="135"/>
        <item x="460"/>
        <item x="200"/>
        <item x="46"/>
        <item x="166"/>
        <item x="389"/>
        <item x="362"/>
        <item x="388"/>
        <item x="140"/>
        <item x="88"/>
        <item x="90"/>
        <item x="2"/>
        <item x="147"/>
        <item x="176"/>
        <item x="561"/>
        <item x="595"/>
        <item x="451"/>
        <item x="346"/>
        <item x="392"/>
        <item x="105"/>
        <item x="665"/>
        <item x="548"/>
        <item x="631"/>
        <item x="409"/>
        <item x="6"/>
        <item x="177"/>
        <item x="292"/>
        <item x="283"/>
        <item x="360"/>
        <item x="225"/>
        <item x="80"/>
        <item x="36"/>
        <item x="210"/>
        <item x="476"/>
        <item x="26"/>
        <item x="55"/>
        <item x="398"/>
        <item x="367"/>
        <item x="56"/>
        <item x="151"/>
        <item x="488"/>
        <item x="191"/>
        <item x="582"/>
        <item x="384"/>
        <item x="165"/>
        <item x="29"/>
        <item x="92"/>
        <item x="606"/>
        <item x="78"/>
        <item x="350"/>
        <item x="568"/>
        <item x="241"/>
        <item x="142"/>
        <item x="541"/>
        <item x="478"/>
        <item x="271"/>
        <item x="554"/>
        <item x="66"/>
        <item x="242"/>
        <item x="115"/>
        <item x="663"/>
        <item x="1"/>
        <item x="279"/>
        <item x="413"/>
        <item x="499"/>
        <item x="324"/>
        <item x="77"/>
        <item x="544"/>
        <item x="509"/>
        <item x="53"/>
        <item x="15"/>
        <item x="259"/>
        <item x="557"/>
        <item x="124"/>
        <item x="157"/>
        <item x="51"/>
        <item x="349"/>
        <item x="174"/>
        <item x="397"/>
        <item x="219"/>
        <item x="503"/>
        <item x="523"/>
        <item x="583"/>
        <item x="250"/>
        <item x="431"/>
        <item x="662"/>
        <item x="393"/>
        <item x="62"/>
        <item x="290"/>
        <item x="298"/>
        <item x="383"/>
        <item x="7"/>
        <item x="391"/>
        <item x="508"/>
        <item x="342"/>
        <item x="571"/>
        <item x="374"/>
        <item x="636"/>
        <item x="130"/>
        <item x="179"/>
        <item x="275"/>
        <item x="245"/>
        <item x="526"/>
        <item x="651"/>
        <item x="64"/>
        <item x="464"/>
        <item x="377"/>
        <item x="310"/>
        <item x="189"/>
        <item x="602"/>
        <item x="258"/>
        <item x="168"/>
        <item x="496"/>
        <item x="428"/>
        <item x="139"/>
        <item x="194"/>
        <item x="70"/>
        <item x="589"/>
        <item x="441"/>
        <item x="10"/>
        <item x="601"/>
        <item x="673"/>
        <item x="642"/>
        <item x="312"/>
        <item x="614"/>
        <item x="221"/>
        <item x="491"/>
        <item x="511"/>
        <item x="54"/>
        <item x="222"/>
        <item x="494"/>
        <item x="569"/>
        <item x="477"/>
        <item x="20"/>
        <item x="4"/>
        <item x="284"/>
        <item x="229"/>
        <item x="86"/>
        <item x="108"/>
        <item x="278"/>
        <item x="473"/>
        <item x="667"/>
        <item x="311"/>
        <item x="73"/>
        <item x="246"/>
        <item x="215"/>
        <item x="657"/>
        <item x="664"/>
        <item x="489"/>
        <item x="161"/>
        <item x="127"/>
        <item x="203"/>
        <item x="419"/>
        <item x="49"/>
        <item x="12"/>
        <item x="616"/>
        <item x="347"/>
        <item x="579"/>
        <item x="134"/>
        <item x="546"/>
        <item x="154"/>
        <item x="467"/>
        <item x="487"/>
        <item x="338"/>
        <item x="573"/>
        <item x="286"/>
        <item x="117"/>
        <item x="199"/>
        <item x="430"/>
        <item x="560"/>
        <item x="438"/>
        <item x="447"/>
        <item x="206"/>
        <item x="625"/>
        <item x="412"/>
        <item x="306"/>
        <item x="635"/>
        <item x="138"/>
        <item x="190"/>
        <item x="104"/>
        <item x="84"/>
        <item x="457"/>
        <item x="578"/>
        <item x="386"/>
        <item x="44"/>
        <item x="65"/>
        <item x="141"/>
        <item x="495"/>
        <item x="69"/>
        <item x="71"/>
        <item x="669"/>
        <item x="136"/>
        <item x="332"/>
        <item x="81"/>
        <item x="612"/>
        <item x="588"/>
        <item x="169"/>
        <item x="553"/>
        <item x="268"/>
        <item x="396"/>
        <item x="480"/>
        <item x="205"/>
        <item x="515"/>
        <item x="493"/>
        <item x="178"/>
        <item x="301"/>
        <item x="13"/>
        <item x="188"/>
        <item x="133"/>
        <item x="518"/>
        <item x="220"/>
        <item x="305"/>
        <item x="106"/>
        <item x="401"/>
        <item x="481"/>
        <item x="643"/>
        <item x="8"/>
        <item x="373"/>
        <item x="485"/>
        <item x="475"/>
        <item x="274"/>
        <item x="252"/>
        <item x="309"/>
        <item x="60"/>
        <item x="226"/>
        <item x="599"/>
        <item x="207"/>
        <item x="418"/>
        <item x="514"/>
        <item x="121"/>
        <item x="196"/>
        <item x="187"/>
        <item x="160"/>
        <item x="331"/>
        <item x="420"/>
        <item x="382"/>
        <item x="16"/>
        <item x="208"/>
        <item x="319"/>
        <item x="402"/>
        <item x="639"/>
        <item x="282"/>
        <item x="63"/>
        <item x="424"/>
        <item x="304"/>
        <item x="5"/>
        <item x="359"/>
        <item x="183"/>
        <item x="620"/>
        <item x="277"/>
        <item x="558"/>
        <item x="434"/>
        <item x="565"/>
        <item x="411"/>
        <item x="287"/>
        <item x="285"/>
        <item x="288"/>
        <item x="585"/>
        <item x="315"/>
        <item x="459"/>
        <item x="521"/>
        <item x="566"/>
        <item x="255"/>
        <item x="68"/>
        <item x="609"/>
        <item x="550"/>
        <item x="116"/>
        <item x="532"/>
        <item x="185"/>
        <item x="376"/>
        <item x="39"/>
        <item x="581"/>
        <item x="671"/>
        <item x="119"/>
        <item x="650"/>
        <item x="385"/>
        <item x="100"/>
        <item x="390"/>
        <item x="580"/>
        <item x="280"/>
        <item x="351"/>
        <item x="317"/>
        <item x="646"/>
        <item x="597"/>
        <item x="552"/>
        <item x="308"/>
        <item x="339"/>
        <item x="89"/>
        <item x="436"/>
        <item x="230"/>
        <item x="257"/>
        <item x="439"/>
        <item x="425"/>
        <item x="366"/>
        <item x="269"/>
        <item x="574"/>
        <item x="96"/>
        <item x="197"/>
        <item x="144"/>
        <item x="212"/>
        <item x="148"/>
        <item x="469"/>
        <item x="653"/>
        <item x="341"/>
        <item x="334"/>
        <item x="482"/>
        <item x="666"/>
        <item x="218"/>
        <item x="129"/>
        <item x="239"/>
        <item x="531"/>
        <item x="316"/>
        <item x="492"/>
        <item x="244"/>
        <item x="528"/>
        <item x="611"/>
        <item x="204"/>
        <item x="85"/>
        <item x="123"/>
        <item x="387"/>
        <item x="505"/>
        <item x="42"/>
        <item x="648"/>
        <item x="357"/>
        <item x="479"/>
        <item x="446"/>
        <item x="556"/>
        <item x="529"/>
        <item x="623"/>
        <item x="395"/>
        <item x="93"/>
        <item x="530"/>
        <item x="513"/>
        <item x="72"/>
        <item x="99"/>
        <item x="656"/>
        <item x="303"/>
        <item x="555"/>
        <item x="233"/>
        <item x="237"/>
        <item x="132"/>
        <item x="128"/>
        <item x="156"/>
        <item x="193"/>
        <item x="670"/>
        <item x="520"/>
        <item x="149"/>
        <item x="320"/>
        <item x="180"/>
        <item x="87"/>
        <item x="613"/>
        <item x="465"/>
        <item x="512"/>
        <item x="570"/>
        <item x="567"/>
        <item x="458"/>
        <item x="462"/>
        <item x="547"/>
        <item x="627"/>
        <item x="423"/>
        <item x="328"/>
        <item x="118"/>
        <item x="404"/>
        <item x="484"/>
        <item x="506"/>
        <item x="584"/>
        <item x="364"/>
        <item x="619"/>
        <item x="40"/>
        <item x="27"/>
        <item x="293"/>
        <item x="35"/>
        <item x="592"/>
        <item x="598"/>
        <item x="524"/>
        <item x="175"/>
        <item x="655"/>
        <item x="608"/>
        <item x="146"/>
        <item x="223"/>
        <item x="443"/>
        <item x="516"/>
        <item x="3"/>
        <item x="314"/>
        <item x="437"/>
        <item x="209"/>
        <item x="28"/>
        <item x="628"/>
        <item x="240"/>
        <item x="47"/>
        <item x="539"/>
        <item x="57"/>
        <item x="368"/>
        <item x="426"/>
        <item x="24"/>
        <item x="649"/>
        <item x="33"/>
        <item x="266"/>
        <item x="535"/>
        <item x="572"/>
        <item x="186"/>
        <item x="76"/>
        <item x="38"/>
        <item x="74"/>
        <item x="525"/>
        <item x="163"/>
        <item x="600"/>
        <item x="354"/>
        <item x="626"/>
        <item x="551"/>
        <item x="224"/>
        <item x="23"/>
        <item x="440"/>
        <item x="400"/>
        <item x="273"/>
        <item x="173"/>
        <item x="454"/>
        <item x="629"/>
        <item x="470"/>
        <item x="34"/>
        <item x="333"/>
        <item x="43"/>
        <item x="472"/>
        <item x="369"/>
        <item x="559"/>
        <item x="340"/>
        <item x="131"/>
        <item x="603"/>
        <item x="507"/>
        <item x="82"/>
        <item x="591"/>
        <item x="587"/>
        <item x="41"/>
        <item x="330"/>
        <item x="122"/>
        <item x="624"/>
        <item x="164"/>
        <item x="372"/>
        <item x="143"/>
        <item t="default"/>
      </items>
    </pivotField>
    <pivotField showAll="0"/>
    <pivotField showAll="0">
      <items count="3">
        <item x="1"/>
        <item x="0"/>
        <item t="default"/>
      </items>
    </pivotField>
    <pivotField showAll="0"/>
    <pivotField showAll="0"/>
    <pivotField axis="axisRow" showAll="0">
      <items count="4">
        <item x="2"/>
        <item x="1"/>
        <item x="0"/>
        <item t="default"/>
      </items>
    </pivotField>
    <pivotField showAll="0"/>
    <pivotField showAll="0"/>
    <pivotField showAll="0"/>
    <pivotField showAll="0"/>
    <pivotField showAll="0">
      <items count="5">
        <item x="2"/>
        <item x="3"/>
        <item x="0"/>
        <item x="1"/>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4">
    <i>
      <x/>
    </i>
    <i>
      <x v="1"/>
    </i>
    <i>
      <x v="2"/>
    </i>
    <i t="grand">
      <x/>
    </i>
  </rowItems>
  <colItems count="1">
    <i/>
  </colItems>
  <dataFields count="1">
    <dataField name="Count of Order ID" fld="0" subtotal="count" showDataAs="percentOfTotal" baseField="0" baseItem="0" numFmtId="10"/>
  </dataFields>
  <formats count="1">
    <format dxfId="15">
      <pivotArea collapsedLevelsAreSubtotals="1" fieldPosition="0">
        <references count="1">
          <reference field="6" count="0"/>
        </references>
      </pivotArea>
    </format>
  </format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6" count="1" selected="0">
            <x v="0"/>
          </reference>
        </references>
      </pivotArea>
    </chartFormat>
    <chartFormat chart="3" format="7">
      <pivotArea type="data" outline="0" fieldPosition="0">
        <references count="2">
          <reference field="4294967294" count="1" selected="0">
            <x v="0"/>
          </reference>
          <reference field="6" count="1" selected="0">
            <x v="1"/>
          </reference>
        </references>
      </pivotArea>
    </chartFormat>
    <chartFormat chart="3" format="8">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622AC33-5E97-489E-B12C-71B9563B3FB1}" name="Churn Rate per Ti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8:E13" firstHeaderRow="1" firstDataRow="2" firstDataCol="1"/>
  <pivotFields count="17">
    <pivotField dataField="1" showAll="0"/>
    <pivotField numFmtId="14" showAll="0">
      <items count="675">
        <item x="25"/>
        <item x="502"/>
        <item x="563"/>
        <item x="181"/>
        <item x="281"/>
        <item x="452"/>
        <item x="638"/>
        <item x="18"/>
        <item x="407"/>
        <item x="276"/>
        <item x="329"/>
        <item x="262"/>
        <item x="234"/>
        <item x="325"/>
        <item x="618"/>
        <item x="232"/>
        <item x="504"/>
        <item x="668"/>
        <item x="500"/>
        <item x="335"/>
        <item x="216"/>
        <item x="313"/>
        <item x="248"/>
        <item x="19"/>
        <item x="111"/>
        <item x="97"/>
        <item x="155"/>
        <item x="201"/>
        <item x="109"/>
        <item x="375"/>
        <item x="48"/>
        <item x="379"/>
        <item x="256"/>
        <item x="291"/>
        <item x="162"/>
        <item x="408"/>
        <item x="435"/>
        <item x="263"/>
        <item x="0"/>
        <item x="450"/>
        <item x="103"/>
        <item x="296"/>
        <item x="593"/>
        <item x="645"/>
        <item x="640"/>
        <item x="50"/>
        <item x="192"/>
        <item x="182"/>
        <item x="647"/>
        <item x="227"/>
        <item x="660"/>
        <item x="661"/>
        <item x="9"/>
        <item x="217"/>
        <item x="21"/>
        <item x="533"/>
        <item x="510"/>
        <item x="343"/>
        <item x="137"/>
        <item x="453"/>
        <item x="172"/>
        <item x="102"/>
        <item x="562"/>
        <item x="634"/>
        <item x="125"/>
        <item x="267"/>
        <item x="536"/>
        <item x="632"/>
        <item x="95"/>
        <item x="264"/>
        <item x="455"/>
        <item x="30"/>
        <item x="498"/>
        <item x="294"/>
        <item x="289"/>
        <item x="466"/>
        <item x="378"/>
        <item x="534"/>
        <item x="159"/>
        <item x="403"/>
        <item x="101"/>
        <item x="405"/>
        <item x="247"/>
        <item x="463"/>
        <item x="576"/>
        <item x="417"/>
        <item x="61"/>
        <item x="110"/>
        <item x="442"/>
        <item x="91"/>
        <item x="633"/>
        <item x="94"/>
        <item x="211"/>
        <item x="249"/>
        <item x="327"/>
        <item x="427"/>
        <item x="153"/>
        <item x="120"/>
        <item x="302"/>
        <item x="158"/>
        <item x="152"/>
        <item x="32"/>
        <item x="456"/>
        <item x="79"/>
        <item x="295"/>
        <item x="14"/>
        <item x="323"/>
        <item x="421"/>
        <item x="654"/>
        <item x="617"/>
        <item x="300"/>
        <item x="527"/>
        <item x="145"/>
        <item x="621"/>
        <item x="622"/>
        <item x="449"/>
        <item x="644"/>
        <item x="202"/>
        <item x="214"/>
        <item x="519"/>
        <item x="318"/>
        <item x="445"/>
        <item x="461"/>
        <item x="605"/>
        <item x="564"/>
        <item x="107"/>
        <item x="471"/>
        <item x="416"/>
        <item x="171"/>
        <item x="231"/>
        <item x="596"/>
        <item x="167"/>
        <item x="52"/>
        <item x="75"/>
        <item x="590"/>
        <item x="607"/>
        <item x="652"/>
        <item x="236"/>
        <item x="414"/>
        <item x="363"/>
        <item x="537"/>
        <item x="577"/>
        <item x="251"/>
        <item x="444"/>
        <item x="307"/>
        <item x="195"/>
        <item x="432"/>
        <item x="238"/>
        <item x="355"/>
        <item x="299"/>
        <item x="501"/>
        <item x="198"/>
        <item x="433"/>
        <item x="659"/>
        <item x="365"/>
        <item x="380"/>
        <item x="641"/>
        <item x="59"/>
        <item x="594"/>
        <item x="170"/>
        <item x="543"/>
        <item x="352"/>
        <item x="114"/>
        <item x="415"/>
        <item x="371"/>
        <item x="410"/>
        <item x="637"/>
        <item x="83"/>
        <item x="260"/>
        <item x="658"/>
        <item x="381"/>
        <item x="542"/>
        <item x="243"/>
        <item x="45"/>
        <item x="517"/>
        <item x="326"/>
        <item x="394"/>
        <item x="604"/>
        <item x="615"/>
        <item x="11"/>
        <item x="370"/>
        <item x="353"/>
        <item x="261"/>
        <item x="22"/>
        <item x="575"/>
        <item x="270"/>
        <item x="545"/>
        <item x="497"/>
        <item x="58"/>
        <item x="422"/>
        <item x="345"/>
        <item x="610"/>
        <item x="37"/>
        <item x="31"/>
        <item x="538"/>
        <item x="406"/>
        <item x="235"/>
        <item x="17"/>
        <item x="272"/>
        <item x="672"/>
        <item x="474"/>
        <item x="67"/>
        <item x="253"/>
        <item x="540"/>
        <item x="358"/>
        <item x="348"/>
        <item x="522"/>
        <item x="321"/>
        <item x="337"/>
        <item x="586"/>
        <item x="113"/>
        <item x="468"/>
        <item x="112"/>
        <item x="549"/>
        <item x="448"/>
        <item x="254"/>
        <item x="150"/>
        <item x="490"/>
        <item x="336"/>
        <item x="429"/>
        <item x="265"/>
        <item x="630"/>
        <item x="98"/>
        <item x="228"/>
        <item x="361"/>
        <item x="344"/>
        <item x="483"/>
        <item x="399"/>
        <item x="486"/>
        <item x="184"/>
        <item x="322"/>
        <item x="297"/>
        <item x="126"/>
        <item x="213"/>
        <item x="356"/>
        <item x="135"/>
        <item x="460"/>
        <item x="200"/>
        <item x="46"/>
        <item x="166"/>
        <item x="389"/>
        <item x="362"/>
        <item x="388"/>
        <item x="140"/>
        <item x="88"/>
        <item x="90"/>
        <item x="2"/>
        <item x="147"/>
        <item x="176"/>
        <item x="561"/>
        <item x="595"/>
        <item x="451"/>
        <item x="346"/>
        <item x="392"/>
        <item x="105"/>
        <item x="665"/>
        <item x="548"/>
        <item x="631"/>
        <item x="409"/>
        <item x="6"/>
        <item x="177"/>
        <item x="292"/>
        <item x="283"/>
        <item x="360"/>
        <item x="225"/>
        <item x="80"/>
        <item x="36"/>
        <item x="210"/>
        <item x="476"/>
        <item x="26"/>
        <item x="55"/>
        <item x="398"/>
        <item x="367"/>
        <item x="56"/>
        <item x="151"/>
        <item x="488"/>
        <item x="191"/>
        <item x="582"/>
        <item x="384"/>
        <item x="165"/>
        <item x="29"/>
        <item x="92"/>
        <item x="606"/>
        <item x="78"/>
        <item x="350"/>
        <item x="568"/>
        <item x="241"/>
        <item x="142"/>
        <item x="541"/>
        <item x="478"/>
        <item x="271"/>
        <item x="554"/>
        <item x="66"/>
        <item x="242"/>
        <item x="115"/>
        <item x="663"/>
        <item x="1"/>
        <item x="279"/>
        <item x="413"/>
        <item x="499"/>
        <item x="324"/>
        <item x="77"/>
        <item x="544"/>
        <item x="509"/>
        <item x="53"/>
        <item x="15"/>
        <item x="259"/>
        <item x="557"/>
        <item x="124"/>
        <item x="157"/>
        <item x="51"/>
        <item x="349"/>
        <item x="174"/>
        <item x="397"/>
        <item x="219"/>
        <item x="503"/>
        <item x="523"/>
        <item x="583"/>
        <item x="250"/>
        <item x="431"/>
        <item x="662"/>
        <item x="393"/>
        <item x="62"/>
        <item x="290"/>
        <item x="298"/>
        <item x="383"/>
        <item x="7"/>
        <item x="391"/>
        <item x="508"/>
        <item x="342"/>
        <item x="571"/>
        <item x="374"/>
        <item x="636"/>
        <item x="130"/>
        <item x="179"/>
        <item x="275"/>
        <item x="245"/>
        <item x="526"/>
        <item x="651"/>
        <item x="64"/>
        <item x="464"/>
        <item x="377"/>
        <item x="310"/>
        <item x="189"/>
        <item x="602"/>
        <item x="258"/>
        <item x="168"/>
        <item x="496"/>
        <item x="428"/>
        <item x="139"/>
        <item x="194"/>
        <item x="70"/>
        <item x="589"/>
        <item x="441"/>
        <item x="10"/>
        <item x="601"/>
        <item x="673"/>
        <item x="642"/>
        <item x="312"/>
        <item x="614"/>
        <item x="221"/>
        <item x="491"/>
        <item x="511"/>
        <item x="54"/>
        <item x="222"/>
        <item x="494"/>
        <item x="569"/>
        <item x="477"/>
        <item x="20"/>
        <item x="4"/>
        <item x="284"/>
        <item x="229"/>
        <item x="86"/>
        <item x="108"/>
        <item x="278"/>
        <item x="473"/>
        <item x="667"/>
        <item x="311"/>
        <item x="73"/>
        <item x="246"/>
        <item x="215"/>
        <item x="657"/>
        <item x="664"/>
        <item x="489"/>
        <item x="161"/>
        <item x="127"/>
        <item x="203"/>
        <item x="419"/>
        <item x="49"/>
        <item x="12"/>
        <item x="616"/>
        <item x="347"/>
        <item x="579"/>
        <item x="134"/>
        <item x="546"/>
        <item x="154"/>
        <item x="467"/>
        <item x="487"/>
        <item x="338"/>
        <item x="573"/>
        <item x="286"/>
        <item x="117"/>
        <item x="199"/>
        <item x="430"/>
        <item x="560"/>
        <item x="438"/>
        <item x="447"/>
        <item x="206"/>
        <item x="625"/>
        <item x="412"/>
        <item x="306"/>
        <item x="635"/>
        <item x="138"/>
        <item x="190"/>
        <item x="104"/>
        <item x="84"/>
        <item x="457"/>
        <item x="578"/>
        <item x="386"/>
        <item x="44"/>
        <item x="65"/>
        <item x="141"/>
        <item x="495"/>
        <item x="69"/>
        <item x="71"/>
        <item x="669"/>
        <item x="136"/>
        <item x="332"/>
        <item x="81"/>
        <item x="612"/>
        <item x="588"/>
        <item x="169"/>
        <item x="553"/>
        <item x="268"/>
        <item x="396"/>
        <item x="480"/>
        <item x="205"/>
        <item x="515"/>
        <item x="493"/>
        <item x="178"/>
        <item x="301"/>
        <item x="13"/>
        <item x="188"/>
        <item x="133"/>
        <item x="518"/>
        <item x="220"/>
        <item x="305"/>
        <item x="106"/>
        <item x="401"/>
        <item x="481"/>
        <item x="643"/>
        <item x="8"/>
        <item x="373"/>
        <item x="485"/>
        <item x="475"/>
        <item x="274"/>
        <item x="252"/>
        <item x="309"/>
        <item x="60"/>
        <item x="226"/>
        <item x="599"/>
        <item x="207"/>
        <item x="418"/>
        <item x="514"/>
        <item x="121"/>
        <item x="196"/>
        <item x="187"/>
        <item x="160"/>
        <item x="331"/>
        <item x="420"/>
        <item x="382"/>
        <item x="16"/>
        <item x="208"/>
        <item x="319"/>
        <item x="402"/>
        <item x="639"/>
        <item x="282"/>
        <item x="63"/>
        <item x="424"/>
        <item x="304"/>
        <item x="5"/>
        <item x="359"/>
        <item x="183"/>
        <item x="620"/>
        <item x="277"/>
        <item x="558"/>
        <item x="434"/>
        <item x="565"/>
        <item x="411"/>
        <item x="287"/>
        <item x="285"/>
        <item x="288"/>
        <item x="585"/>
        <item x="315"/>
        <item x="459"/>
        <item x="521"/>
        <item x="566"/>
        <item x="255"/>
        <item x="68"/>
        <item x="609"/>
        <item x="550"/>
        <item x="116"/>
        <item x="532"/>
        <item x="185"/>
        <item x="376"/>
        <item x="39"/>
        <item x="581"/>
        <item x="671"/>
        <item x="119"/>
        <item x="650"/>
        <item x="385"/>
        <item x="100"/>
        <item x="390"/>
        <item x="580"/>
        <item x="280"/>
        <item x="351"/>
        <item x="317"/>
        <item x="646"/>
        <item x="597"/>
        <item x="552"/>
        <item x="308"/>
        <item x="339"/>
        <item x="89"/>
        <item x="436"/>
        <item x="230"/>
        <item x="257"/>
        <item x="439"/>
        <item x="425"/>
        <item x="366"/>
        <item x="269"/>
        <item x="574"/>
        <item x="96"/>
        <item x="197"/>
        <item x="144"/>
        <item x="212"/>
        <item x="148"/>
        <item x="469"/>
        <item x="653"/>
        <item x="341"/>
        <item x="334"/>
        <item x="482"/>
        <item x="666"/>
        <item x="218"/>
        <item x="129"/>
        <item x="239"/>
        <item x="531"/>
        <item x="316"/>
        <item x="492"/>
        <item x="244"/>
        <item x="528"/>
        <item x="611"/>
        <item x="204"/>
        <item x="85"/>
        <item x="123"/>
        <item x="387"/>
        <item x="505"/>
        <item x="42"/>
        <item x="648"/>
        <item x="357"/>
        <item x="479"/>
        <item x="446"/>
        <item x="556"/>
        <item x="529"/>
        <item x="623"/>
        <item x="395"/>
        <item x="93"/>
        <item x="530"/>
        <item x="513"/>
        <item x="72"/>
        <item x="99"/>
        <item x="656"/>
        <item x="303"/>
        <item x="555"/>
        <item x="233"/>
        <item x="237"/>
        <item x="132"/>
        <item x="128"/>
        <item x="156"/>
        <item x="193"/>
        <item x="670"/>
        <item x="520"/>
        <item x="149"/>
        <item x="320"/>
        <item x="180"/>
        <item x="87"/>
        <item x="613"/>
        <item x="465"/>
        <item x="512"/>
        <item x="570"/>
        <item x="567"/>
        <item x="458"/>
        <item x="462"/>
        <item x="547"/>
        <item x="627"/>
        <item x="423"/>
        <item x="328"/>
        <item x="118"/>
        <item x="404"/>
        <item x="484"/>
        <item x="506"/>
        <item x="584"/>
        <item x="364"/>
        <item x="619"/>
        <item x="40"/>
        <item x="27"/>
        <item x="293"/>
        <item x="35"/>
        <item x="592"/>
        <item x="598"/>
        <item x="524"/>
        <item x="175"/>
        <item x="655"/>
        <item x="608"/>
        <item x="146"/>
        <item x="223"/>
        <item x="443"/>
        <item x="516"/>
        <item x="3"/>
        <item x="314"/>
        <item x="437"/>
        <item x="209"/>
        <item x="28"/>
        <item x="628"/>
        <item x="240"/>
        <item x="47"/>
        <item x="539"/>
        <item x="57"/>
        <item x="368"/>
        <item x="426"/>
        <item x="24"/>
        <item x="649"/>
        <item x="33"/>
        <item x="266"/>
        <item x="535"/>
        <item x="572"/>
        <item x="186"/>
        <item x="76"/>
        <item x="38"/>
        <item x="74"/>
        <item x="525"/>
        <item x="163"/>
        <item x="600"/>
        <item x="354"/>
        <item x="626"/>
        <item x="551"/>
        <item x="224"/>
        <item x="23"/>
        <item x="440"/>
        <item x="400"/>
        <item x="273"/>
        <item x="173"/>
        <item x="454"/>
        <item x="629"/>
        <item x="470"/>
        <item x="34"/>
        <item x="333"/>
        <item x="43"/>
        <item x="472"/>
        <item x="369"/>
        <item x="559"/>
        <item x="340"/>
        <item x="131"/>
        <item x="603"/>
        <item x="507"/>
        <item x="82"/>
        <item x="591"/>
        <item x="587"/>
        <item x="41"/>
        <item x="330"/>
        <item x="122"/>
        <item x="624"/>
        <item x="164"/>
        <item x="372"/>
        <item x="143"/>
        <item t="default"/>
      </items>
    </pivotField>
    <pivotField axis="axisRow" showAll="0">
      <items count="4">
        <item x="1"/>
        <item x="0"/>
        <item x="2"/>
        <item t="default"/>
      </items>
    </pivotField>
    <pivotField showAll="0">
      <items count="3">
        <item x="1"/>
        <item x="0"/>
        <item t="default"/>
      </items>
    </pivotField>
    <pivotField showAll="0"/>
    <pivotField showAll="0"/>
    <pivotField showAll="0">
      <items count="4">
        <item x="2"/>
        <item x="1"/>
        <item x="0"/>
        <item t="default"/>
      </items>
    </pivotField>
    <pivotField showAll="0"/>
    <pivotField showAll="0">
      <items count="3">
        <item x="1"/>
        <item x="0"/>
        <item t="default"/>
      </items>
    </pivotField>
    <pivotField showAll="0"/>
    <pivotField showAll="0"/>
    <pivotField showAll="0">
      <items count="5">
        <item x="2"/>
        <item x="3"/>
        <item x="0"/>
        <item x="1"/>
        <item t="default"/>
      </items>
    </pivotField>
    <pivotField showAll="0"/>
    <pivotField axis="axisCol"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4">
    <i>
      <x/>
    </i>
    <i>
      <x v="1"/>
    </i>
    <i>
      <x v="2"/>
    </i>
    <i t="grand">
      <x/>
    </i>
  </rowItems>
  <colFields count="1">
    <field x="13"/>
  </colFields>
  <colItems count="3">
    <i>
      <x/>
    </i>
    <i>
      <x v="1"/>
    </i>
    <i t="grand">
      <x/>
    </i>
  </colItems>
  <dataFields count="1">
    <dataField name="Count of Order ID" fld="0" subtotal="count" baseField="0" baseItem="0"/>
  </dataFields>
  <chartFormats count="3">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2">
          <reference field="4294967294" count="1" selected="0">
            <x v="0"/>
          </reference>
          <reference field="13" count="1" selected="0">
            <x v="0"/>
          </reference>
        </references>
      </pivotArea>
    </chartFormat>
    <chartFormat chart="3" format="8"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954761A-A3FC-416D-810C-3C2ED7783D85}" name="Average Revenue per Ti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2:C6" firstHeaderRow="1" firstDataRow="1" firstDataCol="1"/>
  <pivotFields count="17">
    <pivotField showAll="0"/>
    <pivotField numFmtId="14" showAll="0">
      <items count="675">
        <item x="25"/>
        <item x="502"/>
        <item x="563"/>
        <item x="181"/>
        <item x="281"/>
        <item x="452"/>
        <item x="638"/>
        <item x="18"/>
        <item x="407"/>
        <item x="276"/>
        <item x="329"/>
        <item x="262"/>
        <item x="234"/>
        <item x="325"/>
        <item x="618"/>
        <item x="232"/>
        <item x="504"/>
        <item x="668"/>
        <item x="500"/>
        <item x="335"/>
        <item x="216"/>
        <item x="313"/>
        <item x="248"/>
        <item x="19"/>
        <item x="111"/>
        <item x="97"/>
        <item x="155"/>
        <item x="201"/>
        <item x="109"/>
        <item x="375"/>
        <item x="48"/>
        <item x="379"/>
        <item x="256"/>
        <item x="291"/>
        <item x="162"/>
        <item x="408"/>
        <item x="435"/>
        <item x="263"/>
        <item x="0"/>
        <item x="450"/>
        <item x="103"/>
        <item x="296"/>
        <item x="593"/>
        <item x="645"/>
        <item x="640"/>
        <item x="50"/>
        <item x="192"/>
        <item x="182"/>
        <item x="647"/>
        <item x="227"/>
        <item x="660"/>
        <item x="661"/>
        <item x="9"/>
        <item x="217"/>
        <item x="21"/>
        <item x="533"/>
        <item x="510"/>
        <item x="343"/>
        <item x="137"/>
        <item x="453"/>
        <item x="172"/>
        <item x="102"/>
        <item x="562"/>
        <item x="634"/>
        <item x="125"/>
        <item x="267"/>
        <item x="536"/>
        <item x="632"/>
        <item x="95"/>
        <item x="264"/>
        <item x="455"/>
        <item x="30"/>
        <item x="498"/>
        <item x="294"/>
        <item x="289"/>
        <item x="466"/>
        <item x="378"/>
        <item x="534"/>
        <item x="159"/>
        <item x="403"/>
        <item x="101"/>
        <item x="405"/>
        <item x="247"/>
        <item x="463"/>
        <item x="576"/>
        <item x="417"/>
        <item x="61"/>
        <item x="110"/>
        <item x="442"/>
        <item x="91"/>
        <item x="633"/>
        <item x="94"/>
        <item x="211"/>
        <item x="249"/>
        <item x="327"/>
        <item x="427"/>
        <item x="153"/>
        <item x="120"/>
        <item x="302"/>
        <item x="158"/>
        <item x="152"/>
        <item x="32"/>
        <item x="456"/>
        <item x="79"/>
        <item x="295"/>
        <item x="14"/>
        <item x="323"/>
        <item x="421"/>
        <item x="654"/>
        <item x="617"/>
        <item x="300"/>
        <item x="527"/>
        <item x="145"/>
        <item x="621"/>
        <item x="622"/>
        <item x="449"/>
        <item x="644"/>
        <item x="202"/>
        <item x="214"/>
        <item x="519"/>
        <item x="318"/>
        <item x="445"/>
        <item x="461"/>
        <item x="605"/>
        <item x="564"/>
        <item x="107"/>
        <item x="471"/>
        <item x="416"/>
        <item x="171"/>
        <item x="231"/>
        <item x="596"/>
        <item x="167"/>
        <item x="52"/>
        <item x="75"/>
        <item x="590"/>
        <item x="607"/>
        <item x="652"/>
        <item x="236"/>
        <item x="414"/>
        <item x="363"/>
        <item x="537"/>
        <item x="577"/>
        <item x="251"/>
        <item x="444"/>
        <item x="307"/>
        <item x="195"/>
        <item x="432"/>
        <item x="238"/>
        <item x="355"/>
        <item x="299"/>
        <item x="501"/>
        <item x="198"/>
        <item x="433"/>
        <item x="659"/>
        <item x="365"/>
        <item x="380"/>
        <item x="641"/>
        <item x="59"/>
        <item x="594"/>
        <item x="170"/>
        <item x="543"/>
        <item x="352"/>
        <item x="114"/>
        <item x="415"/>
        <item x="371"/>
        <item x="410"/>
        <item x="637"/>
        <item x="83"/>
        <item x="260"/>
        <item x="658"/>
        <item x="381"/>
        <item x="542"/>
        <item x="243"/>
        <item x="45"/>
        <item x="517"/>
        <item x="326"/>
        <item x="394"/>
        <item x="604"/>
        <item x="615"/>
        <item x="11"/>
        <item x="370"/>
        <item x="353"/>
        <item x="261"/>
        <item x="22"/>
        <item x="575"/>
        <item x="270"/>
        <item x="545"/>
        <item x="497"/>
        <item x="58"/>
        <item x="422"/>
        <item x="345"/>
        <item x="610"/>
        <item x="37"/>
        <item x="31"/>
        <item x="538"/>
        <item x="406"/>
        <item x="235"/>
        <item x="17"/>
        <item x="272"/>
        <item x="672"/>
        <item x="474"/>
        <item x="67"/>
        <item x="253"/>
        <item x="540"/>
        <item x="358"/>
        <item x="348"/>
        <item x="522"/>
        <item x="321"/>
        <item x="337"/>
        <item x="586"/>
        <item x="113"/>
        <item x="468"/>
        <item x="112"/>
        <item x="549"/>
        <item x="448"/>
        <item x="254"/>
        <item x="150"/>
        <item x="490"/>
        <item x="336"/>
        <item x="429"/>
        <item x="265"/>
        <item x="630"/>
        <item x="98"/>
        <item x="228"/>
        <item x="361"/>
        <item x="344"/>
        <item x="483"/>
        <item x="399"/>
        <item x="486"/>
        <item x="184"/>
        <item x="322"/>
        <item x="297"/>
        <item x="126"/>
        <item x="213"/>
        <item x="356"/>
        <item x="135"/>
        <item x="460"/>
        <item x="200"/>
        <item x="46"/>
        <item x="166"/>
        <item x="389"/>
        <item x="362"/>
        <item x="388"/>
        <item x="140"/>
        <item x="88"/>
        <item x="90"/>
        <item x="2"/>
        <item x="147"/>
        <item x="176"/>
        <item x="561"/>
        <item x="595"/>
        <item x="451"/>
        <item x="346"/>
        <item x="392"/>
        <item x="105"/>
        <item x="665"/>
        <item x="548"/>
        <item x="631"/>
        <item x="409"/>
        <item x="6"/>
        <item x="177"/>
        <item x="292"/>
        <item x="283"/>
        <item x="360"/>
        <item x="225"/>
        <item x="80"/>
        <item x="36"/>
        <item x="210"/>
        <item x="476"/>
        <item x="26"/>
        <item x="55"/>
        <item x="398"/>
        <item x="367"/>
        <item x="56"/>
        <item x="151"/>
        <item x="488"/>
        <item x="191"/>
        <item x="582"/>
        <item x="384"/>
        <item x="165"/>
        <item x="29"/>
        <item x="92"/>
        <item x="606"/>
        <item x="78"/>
        <item x="350"/>
        <item x="568"/>
        <item x="241"/>
        <item x="142"/>
        <item x="541"/>
        <item x="478"/>
        <item x="271"/>
        <item x="554"/>
        <item x="66"/>
        <item x="242"/>
        <item x="115"/>
        <item x="663"/>
        <item x="1"/>
        <item x="279"/>
        <item x="413"/>
        <item x="499"/>
        <item x="324"/>
        <item x="77"/>
        <item x="544"/>
        <item x="509"/>
        <item x="53"/>
        <item x="15"/>
        <item x="259"/>
        <item x="557"/>
        <item x="124"/>
        <item x="157"/>
        <item x="51"/>
        <item x="349"/>
        <item x="174"/>
        <item x="397"/>
        <item x="219"/>
        <item x="503"/>
        <item x="523"/>
        <item x="583"/>
        <item x="250"/>
        <item x="431"/>
        <item x="662"/>
        <item x="393"/>
        <item x="62"/>
        <item x="290"/>
        <item x="298"/>
        <item x="383"/>
        <item x="7"/>
        <item x="391"/>
        <item x="508"/>
        <item x="342"/>
        <item x="571"/>
        <item x="374"/>
        <item x="636"/>
        <item x="130"/>
        <item x="179"/>
        <item x="275"/>
        <item x="245"/>
        <item x="526"/>
        <item x="651"/>
        <item x="64"/>
        <item x="464"/>
        <item x="377"/>
        <item x="310"/>
        <item x="189"/>
        <item x="602"/>
        <item x="258"/>
        <item x="168"/>
        <item x="496"/>
        <item x="428"/>
        <item x="139"/>
        <item x="194"/>
        <item x="70"/>
        <item x="589"/>
        <item x="441"/>
        <item x="10"/>
        <item x="601"/>
        <item x="673"/>
        <item x="642"/>
        <item x="312"/>
        <item x="614"/>
        <item x="221"/>
        <item x="491"/>
        <item x="511"/>
        <item x="54"/>
        <item x="222"/>
        <item x="494"/>
        <item x="569"/>
        <item x="477"/>
        <item x="20"/>
        <item x="4"/>
        <item x="284"/>
        <item x="229"/>
        <item x="86"/>
        <item x="108"/>
        <item x="278"/>
        <item x="473"/>
        <item x="667"/>
        <item x="311"/>
        <item x="73"/>
        <item x="246"/>
        <item x="215"/>
        <item x="657"/>
        <item x="664"/>
        <item x="489"/>
        <item x="161"/>
        <item x="127"/>
        <item x="203"/>
        <item x="419"/>
        <item x="49"/>
        <item x="12"/>
        <item x="616"/>
        <item x="347"/>
        <item x="579"/>
        <item x="134"/>
        <item x="546"/>
        <item x="154"/>
        <item x="467"/>
        <item x="487"/>
        <item x="338"/>
        <item x="573"/>
        <item x="286"/>
        <item x="117"/>
        <item x="199"/>
        <item x="430"/>
        <item x="560"/>
        <item x="438"/>
        <item x="447"/>
        <item x="206"/>
        <item x="625"/>
        <item x="412"/>
        <item x="306"/>
        <item x="635"/>
        <item x="138"/>
        <item x="190"/>
        <item x="104"/>
        <item x="84"/>
        <item x="457"/>
        <item x="578"/>
        <item x="386"/>
        <item x="44"/>
        <item x="65"/>
        <item x="141"/>
        <item x="495"/>
        <item x="69"/>
        <item x="71"/>
        <item x="669"/>
        <item x="136"/>
        <item x="332"/>
        <item x="81"/>
        <item x="612"/>
        <item x="588"/>
        <item x="169"/>
        <item x="553"/>
        <item x="268"/>
        <item x="396"/>
        <item x="480"/>
        <item x="205"/>
        <item x="515"/>
        <item x="493"/>
        <item x="178"/>
        <item x="301"/>
        <item x="13"/>
        <item x="188"/>
        <item x="133"/>
        <item x="518"/>
        <item x="220"/>
        <item x="305"/>
        <item x="106"/>
        <item x="401"/>
        <item x="481"/>
        <item x="643"/>
        <item x="8"/>
        <item x="373"/>
        <item x="485"/>
        <item x="475"/>
        <item x="274"/>
        <item x="252"/>
        <item x="309"/>
        <item x="60"/>
        <item x="226"/>
        <item x="599"/>
        <item x="207"/>
        <item x="418"/>
        <item x="514"/>
        <item x="121"/>
        <item x="196"/>
        <item x="187"/>
        <item x="160"/>
        <item x="331"/>
        <item x="420"/>
        <item x="382"/>
        <item x="16"/>
        <item x="208"/>
        <item x="319"/>
        <item x="402"/>
        <item x="639"/>
        <item x="282"/>
        <item x="63"/>
        <item x="424"/>
        <item x="304"/>
        <item x="5"/>
        <item x="359"/>
        <item x="183"/>
        <item x="620"/>
        <item x="277"/>
        <item x="558"/>
        <item x="434"/>
        <item x="565"/>
        <item x="411"/>
        <item x="287"/>
        <item x="285"/>
        <item x="288"/>
        <item x="585"/>
        <item x="315"/>
        <item x="459"/>
        <item x="521"/>
        <item x="566"/>
        <item x="255"/>
        <item x="68"/>
        <item x="609"/>
        <item x="550"/>
        <item x="116"/>
        <item x="532"/>
        <item x="185"/>
        <item x="376"/>
        <item x="39"/>
        <item x="581"/>
        <item x="671"/>
        <item x="119"/>
        <item x="650"/>
        <item x="385"/>
        <item x="100"/>
        <item x="390"/>
        <item x="580"/>
        <item x="280"/>
        <item x="351"/>
        <item x="317"/>
        <item x="646"/>
        <item x="597"/>
        <item x="552"/>
        <item x="308"/>
        <item x="339"/>
        <item x="89"/>
        <item x="436"/>
        <item x="230"/>
        <item x="257"/>
        <item x="439"/>
        <item x="425"/>
        <item x="366"/>
        <item x="269"/>
        <item x="574"/>
        <item x="96"/>
        <item x="197"/>
        <item x="144"/>
        <item x="212"/>
        <item x="148"/>
        <item x="469"/>
        <item x="653"/>
        <item x="341"/>
        <item x="334"/>
        <item x="482"/>
        <item x="666"/>
        <item x="218"/>
        <item x="129"/>
        <item x="239"/>
        <item x="531"/>
        <item x="316"/>
        <item x="492"/>
        <item x="244"/>
        <item x="528"/>
        <item x="611"/>
        <item x="204"/>
        <item x="85"/>
        <item x="123"/>
        <item x="387"/>
        <item x="505"/>
        <item x="42"/>
        <item x="648"/>
        <item x="357"/>
        <item x="479"/>
        <item x="446"/>
        <item x="556"/>
        <item x="529"/>
        <item x="623"/>
        <item x="395"/>
        <item x="93"/>
        <item x="530"/>
        <item x="513"/>
        <item x="72"/>
        <item x="99"/>
        <item x="656"/>
        <item x="303"/>
        <item x="555"/>
        <item x="233"/>
        <item x="237"/>
        <item x="132"/>
        <item x="128"/>
        <item x="156"/>
        <item x="193"/>
        <item x="670"/>
        <item x="520"/>
        <item x="149"/>
        <item x="320"/>
        <item x="180"/>
        <item x="87"/>
        <item x="613"/>
        <item x="465"/>
        <item x="512"/>
        <item x="570"/>
        <item x="567"/>
        <item x="458"/>
        <item x="462"/>
        <item x="547"/>
        <item x="627"/>
        <item x="423"/>
        <item x="328"/>
        <item x="118"/>
        <item x="404"/>
        <item x="484"/>
        <item x="506"/>
        <item x="584"/>
        <item x="364"/>
        <item x="619"/>
        <item x="40"/>
        <item x="27"/>
        <item x="293"/>
        <item x="35"/>
        <item x="592"/>
        <item x="598"/>
        <item x="524"/>
        <item x="175"/>
        <item x="655"/>
        <item x="608"/>
        <item x="146"/>
        <item x="223"/>
        <item x="443"/>
        <item x="516"/>
        <item x="3"/>
        <item x="314"/>
        <item x="437"/>
        <item x="209"/>
        <item x="28"/>
        <item x="628"/>
        <item x="240"/>
        <item x="47"/>
        <item x="539"/>
        <item x="57"/>
        <item x="368"/>
        <item x="426"/>
        <item x="24"/>
        <item x="649"/>
        <item x="33"/>
        <item x="266"/>
        <item x="535"/>
        <item x="572"/>
        <item x="186"/>
        <item x="76"/>
        <item x="38"/>
        <item x="74"/>
        <item x="525"/>
        <item x="163"/>
        <item x="600"/>
        <item x="354"/>
        <item x="626"/>
        <item x="551"/>
        <item x="224"/>
        <item x="23"/>
        <item x="440"/>
        <item x="400"/>
        <item x="273"/>
        <item x="173"/>
        <item x="454"/>
        <item x="629"/>
        <item x="470"/>
        <item x="34"/>
        <item x="333"/>
        <item x="43"/>
        <item x="472"/>
        <item x="369"/>
        <item x="559"/>
        <item x="340"/>
        <item x="131"/>
        <item x="603"/>
        <item x="507"/>
        <item x="82"/>
        <item x="591"/>
        <item x="587"/>
        <item x="41"/>
        <item x="330"/>
        <item x="122"/>
        <item x="624"/>
        <item x="164"/>
        <item x="372"/>
        <item x="143"/>
        <item t="default"/>
      </items>
    </pivotField>
    <pivotField axis="axisRow" showAll="0" sortType="ascending">
      <items count="4">
        <item x="1"/>
        <item x="0"/>
        <item x="2"/>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items count="5">
        <item x="2"/>
        <item x="3"/>
        <item x="0"/>
        <item x="1"/>
        <item t="default"/>
      </items>
    </pivotField>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4">
    <i>
      <x/>
    </i>
    <i>
      <x v="2"/>
    </i>
    <i>
      <x v="1"/>
    </i>
    <i t="grand">
      <x/>
    </i>
  </rowItems>
  <colItems count="1">
    <i/>
  </colItems>
  <dataFields count="1">
    <dataField name="Average of Revenue" fld="12" subtotal="average" baseField="2" baseItem="0"/>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19971D8-E7AB-479D-9E18-23564916DB5D}" name="Revenue for Stat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15:C20" firstHeaderRow="1" firstDataRow="1" firstDataCol="1"/>
  <pivotFields count="17">
    <pivotField showAll="0"/>
    <pivotField numFmtId="14" showAll="0">
      <items count="675">
        <item x="25"/>
        <item x="502"/>
        <item x="563"/>
        <item x="181"/>
        <item x="281"/>
        <item x="452"/>
        <item x="638"/>
        <item x="18"/>
        <item x="407"/>
        <item x="276"/>
        <item x="329"/>
        <item x="262"/>
        <item x="234"/>
        <item x="325"/>
        <item x="618"/>
        <item x="232"/>
        <item x="504"/>
        <item x="668"/>
        <item x="500"/>
        <item x="335"/>
        <item x="216"/>
        <item x="313"/>
        <item x="248"/>
        <item x="19"/>
        <item x="111"/>
        <item x="97"/>
        <item x="155"/>
        <item x="201"/>
        <item x="109"/>
        <item x="375"/>
        <item x="48"/>
        <item x="379"/>
        <item x="256"/>
        <item x="291"/>
        <item x="162"/>
        <item x="408"/>
        <item x="435"/>
        <item x="263"/>
        <item x="0"/>
        <item x="450"/>
        <item x="103"/>
        <item x="296"/>
        <item x="593"/>
        <item x="645"/>
        <item x="640"/>
        <item x="50"/>
        <item x="192"/>
        <item x="182"/>
        <item x="647"/>
        <item x="227"/>
        <item x="660"/>
        <item x="661"/>
        <item x="9"/>
        <item x="217"/>
        <item x="21"/>
        <item x="533"/>
        <item x="510"/>
        <item x="343"/>
        <item x="137"/>
        <item x="453"/>
        <item x="172"/>
        <item x="102"/>
        <item x="562"/>
        <item x="634"/>
        <item x="125"/>
        <item x="267"/>
        <item x="536"/>
        <item x="632"/>
        <item x="95"/>
        <item x="264"/>
        <item x="455"/>
        <item x="30"/>
        <item x="498"/>
        <item x="294"/>
        <item x="289"/>
        <item x="466"/>
        <item x="378"/>
        <item x="534"/>
        <item x="159"/>
        <item x="403"/>
        <item x="101"/>
        <item x="405"/>
        <item x="247"/>
        <item x="463"/>
        <item x="576"/>
        <item x="417"/>
        <item x="61"/>
        <item x="110"/>
        <item x="442"/>
        <item x="91"/>
        <item x="633"/>
        <item x="94"/>
        <item x="211"/>
        <item x="249"/>
        <item x="327"/>
        <item x="427"/>
        <item x="153"/>
        <item x="120"/>
        <item x="302"/>
        <item x="158"/>
        <item x="152"/>
        <item x="32"/>
        <item x="456"/>
        <item x="79"/>
        <item x="295"/>
        <item x="14"/>
        <item x="323"/>
        <item x="421"/>
        <item x="654"/>
        <item x="617"/>
        <item x="300"/>
        <item x="527"/>
        <item x="145"/>
        <item x="621"/>
        <item x="622"/>
        <item x="449"/>
        <item x="644"/>
        <item x="202"/>
        <item x="214"/>
        <item x="519"/>
        <item x="318"/>
        <item x="445"/>
        <item x="461"/>
        <item x="605"/>
        <item x="564"/>
        <item x="107"/>
        <item x="471"/>
        <item x="416"/>
        <item x="171"/>
        <item x="231"/>
        <item x="596"/>
        <item x="167"/>
        <item x="52"/>
        <item x="75"/>
        <item x="590"/>
        <item x="607"/>
        <item x="652"/>
        <item x="236"/>
        <item x="414"/>
        <item x="363"/>
        <item x="537"/>
        <item x="577"/>
        <item x="251"/>
        <item x="444"/>
        <item x="307"/>
        <item x="195"/>
        <item x="432"/>
        <item x="238"/>
        <item x="355"/>
        <item x="299"/>
        <item x="501"/>
        <item x="198"/>
        <item x="433"/>
        <item x="659"/>
        <item x="365"/>
        <item x="380"/>
        <item x="641"/>
        <item x="59"/>
        <item x="594"/>
        <item x="170"/>
        <item x="543"/>
        <item x="352"/>
        <item x="114"/>
        <item x="415"/>
        <item x="371"/>
        <item x="410"/>
        <item x="637"/>
        <item x="83"/>
        <item x="260"/>
        <item x="658"/>
        <item x="381"/>
        <item x="542"/>
        <item x="243"/>
        <item x="45"/>
        <item x="517"/>
        <item x="326"/>
        <item x="394"/>
        <item x="604"/>
        <item x="615"/>
        <item x="11"/>
        <item x="370"/>
        <item x="353"/>
        <item x="261"/>
        <item x="22"/>
        <item x="575"/>
        <item x="270"/>
        <item x="545"/>
        <item x="497"/>
        <item x="58"/>
        <item x="422"/>
        <item x="345"/>
        <item x="610"/>
        <item x="37"/>
        <item x="31"/>
        <item x="538"/>
        <item x="406"/>
        <item x="235"/>
        <item x="17"/>
        <item x="272"/>
        <item x="672"/>
        <item x="474"/>
        <item x="67"/>
        <item x="253"/>
        <item x="540"/>
        <item x="358"/>
        <item x="348"/>
        <item x="522"/>
        <item x="321"/>
        <item x="337"/>
        <item x="586"/>
        <item x="113"/>
        <item x="468"/>
        <item x="112"/>
        <item x="549"/>
        <item x="448"/>
        <item x="254"/>
        <item x="150"/>
        <item x="490"/>
        <item x="336"/>
        <item x="429"/>
        <item x="265"/>
        <item x="630"/>
        <item x="98"/>
        <item x="228"/>
        <item x="361"/>
        <item x="344"/>
        <item x="483"/>
        <item x="399"/>
        <item x="486"/>
        <item x="184"/>
        <item x="322"/>
        <item x="297"/>
        <item x="126"/>
        <item x="213"/>
        <item x="356"/>
        <item x="135"/>
        <item x="460"/>
        <item x="200"/>
        <item x="46"/>
        <item x="166"/>
        <item x="389"/>
        <item x="362"/>
        <item x="388"/>
        <item x="140"/>
        <item x="88"/>
        <item x="90"/>
        <item x="2"/>
        <item x="147"/>
        <item x="176"/>
        <item x="561"/>
        <item x="595"/>
        <item x="451"/>
        <item x="346"/>
        <item x="392"/>
        <item x="105"/>
        <item x="665"/>
        <item x="548"/>
        <item x="631"/>
        <item x="409"/>
        <item x="6"/>
        <item x="177"/>
        <item x="292"/>
        <item x="283"/>
        <item x="360"/>
        <item x="225"/>
        <item x="80"/>
        <item x="36"/>
        <item x="210"/>
        <item x="476"/>
        <item x="26"/>
        <item x="55"/>
        <item x="398"/>
        <item x="367"/>
        <item x="56"/>
        <item x="151"/>
        <item x="488"/>
        <item x="191"/>
        <item x="582"/>
        <item x="384"/>
        <item x="165"/>
        <item x="29"/>
        <item x="92"/>
        <item x="606"/>
        <item x="78"/>
        <item x="350"/>
        <item x="568"/>
        <item x="241"/>
        <item x="142"/>
        <item x="541"/>
        <item x="478"/>
        <item x="271"/>
        <item x="554"/>
        <item x="66"/>
        <item x="242"/>
        <item x="115"/>
        <item x="663"/>
        <item x="1"/>
        <item x="279"/>
        <item x="413"/>
        <item x="499"/>
        <item x="324"/>
        <item x="77"/>
        <item x="544"/>
        <item x="509"/>
        <item x="53"/>
        <item x="15"/>
        <item x="259"/>
        <item x="557"/>
        <item x="124"/>
        <item x="157"/>
        <item x="51"/>
        <item x="349"/>
        <item x="174"/>
        <item x="397"/>
        <item x="219"/>
        <item x="503"/>
        <item x="523"/>
        <item x="583"/>
        <item x="250"/>
        <item x="431"/>
        <item x="662"/>
        <item x="393"/>
        <item x="62"/>
        <item x="290"/>
        <item x="298"/>
        <item x="383"/>
        <item x="7"/>
        <item x="391"/>
        <item x="508"/>
        <item x="342"/>
        <item x="571"/>
        <item x="374"/>
        <item x="636"/>
        <item x="130"/>
        <item x="179"/>
        <item x="275"/>
        <item x="245"/>
        <item x="526"/>
        <item x="651"/>
        <item x="64"/>
        <item x="464"/>
        <item x="377"/>
        <item x="310"/>
        <item x="189"/>
        <item x="602"/>
        <item x="258"/>
        <item x="168"/>
        <item x="496"/>
        <item x="428"/>
        <item x="139"/>
        <item x="194"/>
        <item x="70"/>
        <item x="589"/>
        <item x="441"/>
        <item x="10"/>
        <item x="601"/>
        <item x="673"/>
        <item x="642"/>
        <item x="312"/>
        <item x="614"/>
        <item x="221"/>
        <item x="491"/>
        <item x="511"/>
        <item x="54"/>
        <item x="222"/>
        <item x="494"/>
        <item x="569"/>
        <item x="477"/>
        <item x="20"/>
        <item x="4"/>
        <item x="284"/>
        <item x="229"/>
        <item x="86"/>
        <item x="108"/>
        <item x="278"/>
        <item x="473"/>
        <item x="667"/>
        <item x="311"/>
        <item x="73"/>
        <item x="246"/>
        <item x="215"/>
        <item x="657"/>
        <item x="664"/>
        <item x="489"/>
        <item x="161"/>
        <item x="127"/>
        <item x="203"/>
        <item x="419"/>
        <item x="49"/>
        <item x="12"/>
        <item x="616"/>
        <item x="347"/>
        <item x="579"/>
        <item x="134"/>
        <item x="546"/>
        <item x="154"/>
        <item x="467"/>
        <item x="487"/>
        <item x="338"/>
        <item x="573"/>
        <item x="286"/>
        <item x="117"/>
        <item x="199"/>
        <item x="430"/>
        <item x="560"/>
        <item x="438"/>
        <item x="447"/>
        <item x="206"/>
        <item x="625"/>
        <item x="412"/>
        <item x="306"/>
        <item x="635"/>
        <item x="138"/>
        <item x="190"/>
        <item x="104"/>
        <item x="84"/>
        <item x="457"/>
        <item x="578"/>
        <item x="386"/>
        <item x="44"/>
        <item x="65"/>
        <item x="141"/>
        <item x="495"/>
        <item x="69"/>
        <item x="71"/>
        <item x="669"/>
        <item x="136"/>
        <item x="332"/>
        <item x="81"/>
        <item x="612"/>
        <item x="588"/>
        <item x="169"/>
        <item x="553"/>
        <item x="268"/>
        <item x="396"/>
        <item x="480"/>
        <item x="205"/>
        <item x="515"/>
        <item x="493"/>
        <item x="178"/>
        <item x="301"/>
        <item x="13"/>
        <item x="188"/>
        <item x="133"/>
        <item x="518"/>
        <item x="220"/>
        <item x="305"/>
        <item x="106"/>
        <item x="401"/>
        <item x="481"/>
        <item x="643"/>
        <item x="8"/>
        <item x="373"/>
        <item x="485"/>
        <item x="475"/>
        <item x="274"/>
        <item x="252"/>
        <item x="309"/>
        <item x="60"/>
        <item x="226"/>
        <item x="599"/>
        <item x="207"/>
        <item x="418"/>
        <item x="514"/>
        <item x="121"/>
        <item x="196"/>
        <item x="187"/>
        <item x="160"/>
        <item x="331"/>
        <item x="420"/>
        <item x="382"/>
        <item x="16"/>
        <item x="208"/>
        <item x="319"/>
        <item x="402"/>
        <item x="639"/>
        <item x="282"/>
        <item x="63"/>
        <item x="424"/>
        <item x="304"/>
        <item x="5"/>
        <item x="359"/>
        <item x="183"/>
        <item x="620"/>
        <item x="277"/>
        <item x="558"/>
        <item x="434"/>
        <item x="565"/>
        <item x="411"/>
        <item x="287"/>
        <item x="285"/>
        <item x="288"/>
        <item x="585"/>
        <item x="315"/>
        <item x="459"/>
        <item x="521"/>
        <item x="566"/>
        <item x="255"/>
        <item x="68"/>
        <item x="609"/>
        <item x="550"/>
        <item x="116"/>
        <item x="532"/>
        <item x="185"/>
        <item x="376"/>
        <item x="39"/>
        <item x="581"/>
        <item x="671"/>
        <item x="119"/>
        <item x="650"/>
        <item x="385"/>
        <item x="100"/>
        <item x="390"/>
        <item x="580"/>
        <item x="280"/>
        <item x="351"/>
        <item x="317"/>
        <item x="646"/>
        <item x="597"/>
        <item x="552"/>
        <item x="308"/>
        <item x="339"/>
        <item x="89"/>
        <item x="436"/>
        <item x="230"/>
        <item x="257"/>
        <item x="439"/>
        <item x="425"/>
        <item x="366"/>
        <item x="269"/>
        <item x="574"/>
        <item x="96"/>
        <item x="197"/>
        <item x="144"/>
        <item x="212"/>
        <item x="148"/>
        <item x="469"/>
        <item x="653"/>
        <item x="341"/>
        <item x="334"/>
        <item x="482"/>
        <item x="666"/>
        <item x="218"/>
        <item x="129"/>
        <item x="239"/>
        <item x="531"/>
        <item x="316"/>
        <item x="492"/>
        <item x="244"/>
        <item x="528"/>
        <item x="611"/>
        <item x="204"/>
        <item x="85"/>
        <item x="123"/>
        <item x="387"/>
        <item x="505"/>
        <item x="42"/>
        <item x="648"/>
        <item x="357"/>
        <item x="479"/>
        <item x="446"/>
        <item x="556"/>
        <item x="529"/>
        <item x="623"/>
        <item x="395"/>
        <item x="93"/>
        <item x="530"/>
        <item x="513"/>
        <item x="72"/>
        <item x="99"/>
        <item x="656"/>
        <item x="303"/>
        <item x="555"/>
        <item x="233"/>
        <item x="237"/>
        <item x="132"/>
        <item x="128"/>
        <item x="156"/>
        <item x="193"/>
        <item x="670"/>
        <item x="520"/>
        <item x="149"/>
        <item x="320"/>
        <item x="180"/>
        <item x="87"/>
        <item x="613"/>
        <item x="465"/>
        <item x="512"/>
        <item x="570"/>
        <item x="567"/>
        <item x="458"/>
        <item x="462"/>
        <item x="547"/>
        <item x="627"/>
        <item x="423"/>
        <item x="328"/>
        <item x="118"/>
        <item x="404"/>
        <item x="484"/>
        <item x="506"/>
        <item x="584"/>
        <item x="364"/>
        <item x="619"/>
        <item x="40"/>
        <item x="27"/>
        <item x="293"/>
        <item x="35"/>
        <item x="592"/>
        <item x="598"/>
        <item x="524"/>
        <item x="175"/>
        <item x="655"/>
        <item x="608"/>
        <item x="146"/>
        <item x="223"/>
        <item x="443"/>
        <item x="516"/>
        <item x="3"/>
        <item x="314"/>
        <item x="437"/>
        <item x="209"/>
        <item x="28"/>
        <item x="628"/>
        <item x="240"/>
        <item x="47"/>
        <item x="539"/>
        <item x="57"/>
        <item x="368"/>
        <item x="426"/>
        <item x="24"/>
        <item x="649"/>
        <item x="33"/>
        <item x="266"/>
        <item x="535"/>
        <item x="572"/>
        <item x="186"/>
        <item x="76"/>
        <item x="38"/>
        <item x="74"/>
        <item x="525"/>
        <item x="163"/>
        <item x="600"/>
        <item x="354"/>
        <item x="626"/>
        <item x="551"/>
        <item x="224"/>
        <item x="23"/>
        <item x="440"/>
        <item x="400"/>
        <item x="273"/>
        <item x="173"/>
        <item x="454"/>
        <item x="629"/>
        <item x="470"/>
        <item x="34"/>
        <item x="333"/>
        <item x="43"/>
        <item x="472"/>
        <item x="369"/>
        <item x="559"/>
        <item x="340"/>
        <item x="131"/>
        <item x="603"/>
        <item x="507"/>
        <item x="82"/>
        <item x="591"/>
        <item x="587"/>
        <item x="41"/>
        <item x="330"/>
        <item x="122"/>
        <item x="624"/>
        <item x="164"/>
        <item x="372"/>
        <item x="143"/>
        <item t="default"/>
      </items>
    </pivotField>
    <pivotField showAll="0"/>
    <pivotField showAll="0">
      <items count="3">
        <item x="1"/>
        <item x="0"/>
        <item t="default"/>
      </items>
    </pivotField>
    <pivotField showAll="0"/>
    <pivotField axis="axisRow" showAll="0" sortType="ascending">
      <items count="5">
        <item x="2"/>
        <item x="0"/>
        <item x="1"/>
        <item x="3"/>
        <item t="default"/>
      </items>
      <autoSortScope>
        <pivotArea dataOnly="0" outline="0" fieldPosition="0">
          <references count="1">
            <reference field="4294967294" count="1" selected="0">
              <x v="0"/>
            </reference>
          </references>
        </pivotArea>
      </autoSortScope>
    </pivotField>
    <pivotField showAll="0">
      <items count="4">
        <item x="2"/>
        <item x="1"/>
        <item x="0"/>
        <item t="default"/>
      </items>
    </pivotField>
    <pivotField showAll="0"/>
    <pivotField showAll="0"/>
    <pivotField showAll="0"/>
    <pivotField showAll="0"/>
    <pivotField showAll="0">
      <items count="5">
        <item x="2"/>
        <item x="3"/>
        <item x="0"/>
        <item x="1"/>
        <item t="default"/>
      </items>
    </pivotField>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5">
    <i>
      <x v="2"/>
    </i>
    <i>
      <x/>
    </i>
    <i>
      <x v="1"/>
    </i>
    <i>
      <x v="3"/>
    </i>
    <i t="grand">
      <x/>
    </i>
  </rowItems>
  <colItems count="1">
    <i/>
  </colItems>
  <dataFields count="1">
    <dataField name="Sum of Revenue" fld="12" baseField="0" baseItem="0"/>
  </dataFields>
  <chartFormats count="5">
    <chartFormat chart="5" format="3" series="1">
      <pivotArea type="data" outline="0" fieldPosition="0">
        <references count="1">
          <reference field="4294967294" count="1" selected="0">
            <x v="0"/>
          </reference>
        </references>
      </pivotArea>
    </chartFormat>
    <chartFormat chart="5" format="4">
      <pivotArea type="data" outline="0" fieldPosition="0">
        <references count="2">
          <reference field="4294967294" count="1" selected="0">
            <x v="0"/>
          </reference>
          <reference field="5" count="1" selected="0">
            <x v="3"/>
          </reference>
        </references>
      </pivotArea>
    </chartFormat>
    <chartFormat chart="5" format="5">
      <pivotArea type="data" outline="0" fieldPosition="0">
        <references count="2">
          <reference field="4294967294" count="1" selected="0">
            <x v="0"/>
          </reference>
          <reference field="5" count="1" selected="0">
            <x v="1"/>
          </reference>
        </references>
      </pivotArea>
    </chartFormat>
    <chartFormat chart="5" format="6">
      <pivotArea type="data" outline="0" fieldPosition="0">
        <references count="2">
          <reference field="4294967294" count="1" selected="0">
            <x v="0"/>
          </reference>
          <reference field="5" count="1" selected="0">
            <x v="0"/>
          </reference>
        </references>
      </pivotArea>
    </chartFormat>
    <chartFormat chart="5" format="7">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1698092-8D47-4616-8994-F114721B1C68}" name="Total Orde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62:B63" firstHeaderRow="1" firstDataRow="1" firstDataCol="0"/>
  <pivotFields count="17">
    <pivotField dataField="1" showAll="0"/>
    <pivotField numFmtId="14" showAll="0">
      <items count="675">
        <item x="25"/>
        <item x="502"/>
        <item x="563"/>
        <item x="181"/>
        <item x="281"/>
        <item x="452"/>
        <item x="638"/>
        <item x="18"/>
        <item x="407"/>
        <item x="276"/>
        <item x="329"/>
        <item x="262"/>
        <item x="234"/>
        <item x="325"/>
        <item x="618"/>
        <item x="232"/>
        <item x="504"/>
        <item x="668"/>
        <item x="500"/>
        <item x="335"/>
        <item x="216"/>
        <item x="313"/>
        <item x="248"/>
        <item x="19"/>
        <item x="111"/>
        <item x="97"/>
        <item x="155"/>
        <item x="201"/>
        <item x="109"/>
        <item x="375"/>
        <item x="48"/>
        <item x="379"/>
        <item x="256"/>
        <item x="291"/>
        <item x="162"/>
        <item x="408"/>
        <item x="435"/>
        <item x="263"/>
        <item x="0"/>
        <item x="450"/>
        <item x="103"/>
        <item x="296"/>
        <item x="593"/>
        <item x="645"/>
        <item x="640"/>
        <item x="50"/>
        <item x="192"/>
        <item x="182"/>
        <item x="647"/>
        <item x="227"/>
        <item x="660"/>
        <item x="661"/>
        <item x="9"/>
        <item x="217"/>
        <item x="21"/>
        <item x="533"/>
        <item x="510"/>
        <item x="343"/>
        <item x="137"/>
        <item x="453"/>
        <item x="172"/>
        <item x="102"/>
        <item x="562"/>
        <item x="634"/>
        <item x="125"/>
        <item x="267"/>
        <item x="536"/>
        <item x="632"/>
        <item x="95"/>
        <item x="264"/>
        <item x="455"/>
        <item x="30"/>
        <item x="498"/>
        <item x="294"/>
        <item x="289"/>
        <item x="466"/>
        <item x="378"/>
        <item x="534"/>
        <item x="159"/>
        <item x="403"/>
        <item x="101"/>
        <item x="405"/>
        <item x="247"/>
        <item x="463"/>
        <item x="576"/>
        <item x="417"/>
        <item x="61"/>
        <item x="110"/>
        <item x="442"/>
        <item x="91"/>
        <item x="633"/>
        <item x="94"/>
        <item x="211"/>
        <item x="249"/>
        <item x="327"/>
        <item x="427"/>
        <item x="153"/>
        <item x="120"/>
        <item x="302"/>
        <item x="158"/>
        <item x="152"/>
        <item x="32"/>
        <item x="456"/>
        <item x="79"/>
        <item x="295"/>
        <item x="14"/>
        <item x="323"/>
        <item x="421"/>
        <item x="654"/>
        <item x="617"/>
        <item x="300"/>
        <item x="527"/>
        <item x="145"/>
        <item x="621"/>
        <item x="622"/>
        <item x="449"/>
        <item x="644"/>
        <item x="202"/>
        <item x="214"/>
        <item x="519"/>
        <item x="318"/>
        <item x="445"/>
        <item x="461"/>
        <item x="605"/>
        <item x="564"/>
        <item x="107"/>
        <item x="471"/>
        <item x="416"/>
        <item x="171"/>
        <item x="231"/>
        <item x="596"/>
        <item x="167"/>
        <item x="52"/>
        <item x="75"/>
        <item x="590"/>
        <item x="607"/>
        <item x="652"/>
        <item x="236"/>
        <item x="414"/>
        <item x="363"/>
        <item x="537"/>
        <item x="577"/>
        <item x="251"/>
        <item x="444"/>
        <item x="307"/>
        <item x="195"/>
        <item x="432"/>
        <item x="238"/>
        <item x="355"/>
        <item x="299"/>
        <item x="501"/>
        <item x="198"/>
        <item x="433"/>
        <item x="659"/>
        <item x="365"/>
        <item x="380"/>
        <item x="641"/>
        <item x="59"/>
        <item x="594"/>
        <item x="170"/>
        <item x="543"/>
        <item x="352"/>
        <item x="114"/>
        <item x="415"/>
        <item x="371"/>
        <item x="410"/>
        <item x="637"/>
        <item x="83"/>
        <item x="260"/>
        <item x="658"/>
        <item x="381"/>
        <item x="542"/>
        <item x="243"/>
        <item x="45"/>
        <item x="517"/>
        <item x="326"/>
        <item x="394"/>
        <item x="604"/>
        <item x="615"/>
        <item x="11"/>
        <item x="370"/>
        <item x="353"/>
        <item x="261"/>
        <item x="22"/>
        <item x="575"/>
        <item x="270"/>
        <item x="545"/>
        <item x="497"/>
        <item x="58"/>
        <item x="422"/>
        <item x="345"/>
        <item x="610"/>
        <item x="37"/>
        <item x="31"/>
        <item x="538"/>
        <item x="406"/>
        <item x="235"/>
        <item x="17"/>
        <item x="272"/>
        <item x="672"/>
        <item x="474"/>
        <item x="67"/>
        <item x="253"/>
        <item x="540"/>
        <item x="358"/>
        <item x="348"/>
        <item x="522"/>
        <item x="321"/>
        <item x="337"/>
        <item x="586"/>
        <item x="113"/>
        <item x="468"/>
        <item x="112"/>
        <item x="549"/>
        <item x="448"/>
        <item x="254"/>
        <item x="150"/>
        <item x="490"/>
        <item x="336"/>
        <item x="429"/>
        <item x="265"/>
        <item x="630"/>
        <item x="98"/>
        <item x="228"/>
        <item x="361"/>
        <item x="344"/>
        <item x="483"/>
        <item x="399"/>
        <item x="486"/>
        <item x="184"/>
        <item x="322"/>
        <item x="297"/>
        <item x="126"/>
        <item x="213"/>
        <item x="356"/>
        <item x="135"/>
        <item x="460"/>
        <item x="200"/>
        <item x="46"/>
        <item x="166"/>
        <item x="389"/>
        <item x="362"/>
        <item x="388"/>
        <item x="140"/>
        <item x="88"/>
        <item x="90"/>
        <item x="2"/>
        <item x="147"/>
        <item x="176"/>
        <item x="561"/>
        <item x="595"/>
        <item x="451"/>
        <item x="346"/>
        <item x="392"/>
        <item x="105"/>
        <item x="665"/>
        <item x="548"/>
        <item x="631"/>
        <item x="409"/>
        <item x="6"/>
        <item x="177"/>
        <item x="292"/>
        <item x="283"/>
        <item x="360"/>
        <item x="225"/>
        <item x="80"/>
        <item x="36"/>
        <item x="210"/>
        <item x="476"/>
        <item x="26"/>
        <item x="55"/>
        <item x="398"/>
        <item x="367"/>
        <item x="56"/>
        <item x="151"/>
        <item x="488"/>
        <item x="191"/>
        <item x="582"/>
        <item x="384"/>
        <item x="165"/>
        <item x="29"/>
        <item x="92"/>
        <item x="606"/>
        <item x="78"/>
        <item x="350"/>
        <item x="568"/>
        <item x="241"/>
        <item x="142"/>
        <item x="541"/>
        <item x="478"/>
        <item x="271"/>
        <item x="554"/>
        <item x="66"/>
        <item x="242"/>
        <item x="115"/>
        <item x="663"/>
        <item x="1"/>
        <item x="279"/>
        <item x="413"/>
        <item x="499"/>
        <item x="324"/>
        <item x="77"/>
        <item x="544"/>
        <item x="509"/>
        <item x="53"/>
        <item x="15"/>
        <item x="259"/>
        <item x="557"/>
        <item x="124"/>
        <item x="157"/>
        <item x="51"/>
        <item x="349"/>
        <item x="174"/>
        <item x="397"/>
        <item x="219"/>
        <item x="503"/>
        <item x="523"/>
        <item x="583"/>
        <item x="250"/>
        <item x="431"/>
        <item x="662"/>
        <item x="393"/>
        <item x="62"/>
        <item x="290"/>
        <item x="298"/>
        <item x="383"/>
        <item x="7"/>
        <item x="391"/>
        <item x="508"/>
        <item x="342"/>
        <item x="571"/>
        <item x="374"/>
        <item x="636"/>
        <item x="130"/>
        <item x="179"/>
        <item x="275"/>
        <item x="245"/>
        <item x="526"/>
        <item x="651"/>
        <item x="64"/>
        <item x="464"/>
        <item x="377"/>
        <item x="310"/>
        <item x="189"/>
        <item x="602"/>
        <item x="258"/>
        <item x="168"/>
        <item x="496"/>
        <item x="428"/>
        <item x="139"/>
        <item x="194"/>
        <item x="70"/>
        <item x="589"/>
        <item x="441"/>
        <item x="10"/>
        <item x="601"/>
        <item x="673"/>
        <item x="642"/>
        <item x="312"/>
        <item x="614"/>
        <item x="221"/>
        <item x="491"/>
        <item x="511"/>
        <item x="54"/>
        <item x="222"/>
        <item x="494"/>
        <item x="569"/>
        <item x="477"/>
        <item x="20"/>
        <item x="4"/>
        <item x="284"/>
        <item x="229"/>
        <item x="86"/>
        <item x="108"/>
        <item x="278"/>
        <item x="473"/>
        <item x="667"/>
        <item x="311"/>
        <item x="73"/>
        <item x="246"/>
        <item x="215"/>
        <item x="657"/>
        <item x="664"/>
        <item x="489"/>
        <item x="161"/>
        <item x="127"/>
        <item x="203"/>
        <item x="419"/>
        <item x="49"/>
        <item x="12"/>
        <item x="616"/>
        <item x="347"/>
        <item x="579"/>
        <item x="134"/>
        <item x="546"/>
        <item x="154"/>
        <item x="467"/>
        <item x="487"/>
        <item x="338"/>
        <item x="573"/>
        <item x="286"/>
        <item x="117"/>
        <item x="199"/>
        <item x="430"/>
        <item x="560"/>
        <item x="438"/>
        <item x="447"/>
        <item x="206"/>
        <item x="625"/>
        <item x="412"/>
        <item x="306"/>
        <item x="635"/>
        <item x="138"/>
        <item x="190"/>
        <item x="104"/>
        <item x="84"/>
        <item x="457"/>
        <item x="578"/>
        <item x="386"/>
        <item x="44"/>
        <item x="65"/>
        <item x="141"/>
        <item x="495"/>
        <item x="69"/>
        <item x="71"/>
        <item x="669"/>
        <item x="136"/>
        <item x="332"/>
        <item x="81"/>
        <item x="612"/>
        <item x="588"/>
        <item x="169"/>
        <item x="553"/>
        <item x="268"/>
        <item x="396"/>
        <item x="480"/>
        <item x="205"/>
        <item x="515"/>
        <item x="493"/>
        <item x="178"/>
        <item x="301"/>
        <item x="13"/>
        <item x="188"/>
        <item x="133"/>
        <item x="518"/>
        <item x="220"/>
        <item x="305"/>
        <item x="106"/>
        <item x="401"/>
        <item x="481"/>
        <item x="643"/>
        <item x="8"/>
        <item x="373"/>
        <item x="485"/>
        <item x="475"/>
        <item x="274"/>
        <item x="252"/>
        <item x="309"/>
        <item x="60"/>
        <item x="226"/>
        <item x="599"/>
        <item x="207"/>
        <item x="418"/>
        <item x="514"/>
        <item x="121"/>
        <item x="196"/>
        <item x="187"/>
        <item x="160"/>
        <item x="331"/>
        <item x="420"/>
        <item x="382"/>
        <item x="16"/>
        <item x="208"/>
        <item x="319"/>
        <item x="402"/>
        <item x="639"/>
        <item x="282"/>
        <item x="63"/>
        <item x="424"/>
        <item x="304"/>
        <item x="5"/>
        <item x="359"/>
        <item x="183"/>
        <item x="620"/>
        <item x="277"/>
        <item x="558"/>
        <item x="434"/>
        <item x="565"/>
        <item x="411"/>
        <item x="287"/>
        <item x="285"/>
        <item x="288"/>
        <item x="585"/>
        <item x="315"/>
        <item x="459"/>
        <item x="521"/>
        <item x="566"/>
        <item x="255"/>
        <item x="68"/>
        <item x="609"/>
        <item x="550"/>
        <item x="116"/>
        <item x="532"/>
        <item x="185"/>
        <item x="376"/>
        <item x="39"/>
        <item x="581"/>
        <item x="671"/>
        <item x="119"/>
        <item x="650"/>
        <item x="385"/>
        <item x="100"/>
        <item x="390"/>
        <item x="580"/>
        <item x="280"/>
        <item x="351"/>
        <item x="317"/>
        <item x="646"/>
        <item x="597"/>
        <item x="552"/>
        <item x="308"/>
        <item x="339"/>
        <item x="89"/>
        <item x="436"/>
        <item x="230"/>
        <item x="257"/>
        <item x="439"/>
        <item x="425"/>
        <item x="366"/>
        <item x="269"/>
        <item x="574"/>
        <item x="96"/>
        <item x="197"/>
        <item x="144"/>
        <item x="212"/>
        <item x="148"/>
        <item x="469"/>
        <item x="653"/>
        <item x="341"/>
        <item x="334"/>
        <item x="482"/>
        <item x="666"/>
        <item x="218"/>
        <item x="129"/>
        <item x="239"/>
        <item x="531"/>
        <item x="316"/>
        <item x="492"/>
        <item x="244"/>
        <item x="528"/>
        <item x="611"/>
        <item x="204"/>
        <item x="85"/>
        <item x="123"/>
        <item x="387"/>
        <item x="505"/>
        <item x="42"/>
        <item x="648"/>
        <item x="357"/>
        <item x="479"/>
        <item x="446"/>
        <item x="556"/>
        <item x="529"/>
        <item x="623"/>
        <item x="395"/>
        <item x="93"/>
        <item x="530"/>
        <item x="513"/>
        <item x="72"/>
        <item x="99"/>
        <item x="656"/>
        <item x="303"/>
        <item x="555"/>
        <item x="233"/>
        <item x="237"/>
        <item x="132"/>
        <item x="128"/>
        <item x="156"/>
        <item x="193"/>
        <item x="670"/>
        <item x="520"/>
        <item x="149"/>
        <item x="320"/>
        <item x="180"/>
        <item x="87"/>
        <item x="613"/>
        <item x="465"/>
        <item x="512"/>
        <item x="570"/>
        <item x="567"/>
        <item x="458"/>
        <item x="462"/>
        <item x="547"/>
        <item x="627"/>
        <item x="423"/>
        <item x="328"/>
        <item x="118"/>
        <item x="404"/>
        <item x="484"/>
        <item x="506"/>
        <item x="584"/>
        <item x="364"/>
        <item x="619"/>
        <item x="40"/>
        <item x="27"/>
        <item x="293"/>
        <item x="35"/>
        <item x="592"/>
        <item x="598"/>
        <item x="524"/>
        <item x="175"/>
        <item x="655"/>
        <item x="608"/>
        <item x="146"/>
        <item x="223"/>
        <item x="443"/>
        <item x="516"/>
        <item x="3"/>
        <item x="314"/>
        <item x="437"/>
        <item x="209"/>
        <item x="28"/>
        <item x="628"/>
        <item x="240"/>
        <item x="47"/>
        <item x="539"/>
        <item x="57"/>
        <item x="368"/>
        <item x="426"/>
        <item x="24"/>
        <item x="649"/>
        <item x="33"/>
        <item x="266"/>
        <item x="535"/>
        <item x="572"/>
        <item x="186"/>
        <item x="76"/>
        <item x="38"/>
        <item x="74"/>
        <item x="525"/>
        <item x="163"/>
        <item x="600"/>
        <item x="354"/>
        <item x="626"/>
        <item x="551"/>
        <item x="224"/>
        <item x="23"/>
        <item x="440"/>
        <item x="400"/>
        <item x="273"/>
        <item x="173"/>
        <item x="454"/>
        <item x="629"/>
        <item x="470"/>
        <item x="34"/>
        <item x="333"/>
        <item x="43"/>
        <item x="472"/>
        <item x="369"/>
        <item x="559"/>
        <item x="340"/>
        <item x="131"/>
        <item x="603"/>
        <item x="507"/>
        <item x="82"/>
        <item x="591"/>
        <item x="587"/>
        <item x="41"/>
        <item x="330"/>
        <item x="122"/>
        <item x="624"/>
        <item x="164"/>
        <item x="372"/>
        <item x="143"/>
        <item t="default"/>
      </items>
    </pivotField>
    <pivotField showAll="0"/>
    <pivotField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items count="5">
        <item x="2"/>
        <item x="3"/>
        <item x="0"/>
        <item x="1"/>
        <item t="default"/>
      </items>
    </pivotField>
    <pivotField showAll="0"/>
    <pivotField showAll="0"/>
    <pivotField showAll="0" defaultSubtotal="0"/>
    <pivotField showAll="0" defaultSubtotal="0"/>
    <pivotField showAll="0" defaultSubtotal="0">
      <items count="5">
        <item x="0"/>
        <item x="1"/>
        <item x="2"/>
        <item x="3"/>
        <item x="4"/>
      </items>
    </pivotField>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C9C3716-A0C5-43E5-9FE6-729DFB1651A4}" name="AR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57:C60" firstHeaderRow="1" firstDataRow="1" firstDataCol="1"/>
  <pivotFields count="17">
    <pivotField showAll="0"/>
    <pivotField numFmtId="14" showAll="0">
      <items count="675">
        <item x="25"/>
        <item x="502"/>
        <item x="563"/>
        <item x="181"/>
        <item x="281"/>
        <item x="452"/>
        <item x="638"/>
        <item x="18"/>
        <item x="407"/>
        <item x="276"/>
        <item x="329"/>
        <item x="262"/>
        <item x="234"/>
        <item x="325"/>
        <item x="618"/>
        <item x="232"/>
        <item x="504"/>
        <item x="668"/>
        <item x="500"/>
        <item x="335"/>
        <item x="216"/>
        <item x="313"/>
        <item x="248"/>
        <item x="19"/>
        <item x="111"/>
        <item x="97"/>
        <item x="155"/>
        <item x="201"/>
        <item x="109"/>
        <item x="375"/>
        <item x="48"/>
        <item x="379"/>
        <item x="256"/>
        <item x="291"/>
        <item x="162"/>
        <item x="408"/>
        <item x="435"/>
        <item x="263"/>
        <item x="0"/>
        <item x="450"/>
        <item x="103"/>
        <item x="296"/>
        <item x="593"/>
        <item x="645"/>
        <item x="640"/>
        <item x="50"/>
        <item x="192"/>
        <item x="182"/>
        <item x="647"/>
        <item x="227"/>
        <item x="660"/>
        <item x="661"/>
        <item x="9"/>
        <item x="217"/>
        <item x="21"/>
        <item x="533"/>
        <item x="510"/>
        <item x="343"/>
        <item x="137"/>
        <item x="453"/>
        <item x="172"/>
        <item x="102"/>
        <item x="562"/>
        <item x="634"/>
        <item x="125"/>
        <item x="267"/>
        <item x="536"/>
        <item x="632"/>
        <item x="95"/>
        <item x="264"/>
        <item x="455"/>
        <item x="30"/>
        <item x="498"/>
        <item x="294"/>
        <item x="289"/>
        <item x="466"/>
        <item x="378"/>
        <item x="534"/>
        <item x="159"/>
        <item x="403"/>
        <item x="101"/>
        <item x="405"/>
        <item x="247"/>
        <item x="463"/>
        <item x="576"/>
        <item x="417"/>
        <item x="61"/>
        <item x="110"/>
        <item x="442"/>
        <item x="91"/>
        <item x="633"/>
        <item x="94"/>
        <item x="211"/>
        <item x="249"/>
        <item x="327"/>
        <item x="427"/>
        <item x="153"/>
        <item x="120"/>
        <item x="302"/>
        <item x="158"/>
        <item x="152"/>
        <item x="32"/>
        <item x="456"/>
        <item x="79"/>
        <item x="295"/>
        <item x="14"/>
        <item x="323"/>
        <item x="421"/>
        <item x="654"/>
        <item x="617"/>
        <item x="300"/>
        <item x="527"/>
        <item x="145"/>
        <item x="621"/>
        <item x="622"/>
        <item x="449"/>
        <item x="644"/>
        <item x="202"/>
        <item x="214"/>
        <item x="519"/>
        <item x="318"/>
        <item x="445"/>
        <item x="461"/>
        <item x="605"/>
        <item x="564"/>
        <item x="107"/>
        <item x="471"/>
        <item x="416"/>
        <item x="171"/>
        <item x="231"/>
        <item x="596"/>
        <item x="167"/>
        <item x="52"/>
        <item x="75"/>
        <item x="590"/>
        <item x="607"/>
        <item x="652"/>
        <item x="236"/>
        <item x="414"/>
        <item x="363"/>
        <item x="537"/>
        <item x="577"/>
        <item x="251"/>
        <item x="444"/>
        <item x="307"/>
        <item x="195"/>
        <item x="432"/>
        <item x="238"/>
        <item x="355"/>
        <item x="299"/>
        <item x="501"/>
        <item x="198"/>
        <item x="433"/>
        <item x="659"/>
        <item x="365"/>
        <item x="380"/>
        <item x="641"/>
        <item x="59"/>
        <item x="594"/>
        <item x="170"/>
        <item x="543"/>
        <item x="352"/>
        <item x="114"/>
        <item x="415"/>
        <item x="371"/>
        <item x="410"/>
        <item x="637"/>
        <item x="83"/>
        <item x="260"/>
        <item x="658"/>
        <item x="381"/>
        <item x="542"/>
        <item x="243"/>
        <item x="45"/>
        <item x="517"/>
        <item x="326"/>
        <item x="394"/>
        <item x="604"/>
        <item x="615"/>
        <item x="11"/>
        <item x="370"/>
        <item x="353"/>
        <item x="261"/>
        <item x="22"/>
        <item x="575"/>
        <item x="270"/>
        <item x="545"/>
        <item x="497"/>
        <item x="58"/>
        <item x="422"/>
        <item x="345"/>
        <item x="610"/>
        <item x="37"/>
        <item x="31"/>
        <item x="538"/>
        <item x="406"/>
        <item x="235"/>
        <item x="17"/>
        <item x="272"/>
        <item x="672"/>
        <item x="474"/>
        <item x="67"/>
        <item x="253"/>
        <item x="540"/>
        <item x="358"/>
        <item x="348"/>
        <item x="522"/>
        <item x="321"/>
        <item x="337"/>
        <item x="586"/>
        <item x="113"/>
        <item x="468"/>
        <item x="112"/>
        <item x="549"/>
        <item x="448"/>
        <item x="254"/>
        <item x="150"/>
        <item x="490"/>
        <item x="336"/>
        <item x="429"/>
        <item x="265"/>
        <item x="630"/>
        <item x="98"/>
        <item x="228"/>
        <item x="361"/>
        <item x="344"/>
        <item x="483"/>
        <item x="399"/>
        <item x="486"/>
        <item x="184"/>
        <item x="322"/>
        <item x="297"/>
        <item x="126"/>
        <item x="213"/>
        <item x="356"/>
        <item x="135"/>
        <item x="460"/>
        <item x="200"/>
        <item x="46"/>
        <item x="166"/>
        <item x="389"/>
        <item x="362"/>
        <item x="388"/>
        <item x="140"/>
        <item x="88"/>
        <item x="90"/>
        <item x="2"/>
        <item x="147"/>
        <item x="176"/>
        <item x="561"/>
        <item x="595"/>
        <item x="451"/>
        <item x="346"/>
        <item x="392"/>
        <item x="105"/>
        <item x="665"/>
        <item x="548"/>
        <item x="631"/>
        <item x="409"/>
        <item x="6"/>
        <item x="177"/>
        <item x="292"/>
        <item x="283"/>
        <item x="360"/>
        <item x="225"/>
        <item x="80"/>
        <item x="36"/>
        <item x="210"/>
        <item x="476"/>
        <item x="26"/>
        <item x="55"/>
        <item x="398"/>
        <item x="367"/>
        <item x="56"/>
        <item x="151"/>
        <item x="488"/>
        <item x="191"/>
        <item x="582"/>
        <item x="384"/>
        <item x="165"/>
        <item x="29"/>
        <item x="92"/>
        <item x="606"/>
        <item x="78"/>
        <item x="350"/>
        <item x="568"/>
        <item x="241"/>
        <item x="142"/>
        <item x="541"/>
        <item x="478"/>
        <item x="271"/>
        <item x="554"/>
        <item x="66"/>
        <item x="242"/>
        <item x="115"/>
        <item x="663"/>
        <item x="1"/>
        <item x="279"/>
        <item x="413"/>
        <item x="499"/>
        <item x="324"/>
        <item x="77"/>
        <item x="544"/>
        <item x="509"/>
        <item x="53"/>
        <item x="15"/>
        <item x="259"/>
        <item x="557"/>
        <item x="124"/>
        <item x="157"/>
        <item x="51"/>
        <item x="349"/>
        <item x="174"/>
        <item x="397"/>
        <item x="219"/>
        <item x="503"/>
        <item x="523"/>
        <item x="583"/>
        <item x="250"/>
        <item x="431"/>
        <item x="662"/>
        <item x="393"/>
        <item x="62"/>
        <item x="290"/>
        <item x="298"/>
        <item x="383"/>
        <item x="7"/>
        <item x="391"/>
        <item x="508"/>
        <item x="342"/>
        <item x="571"/>
        <item x="374"/>
        <item x="636"/>
        <item x="130"/>
        <item x="179"/>
        <item x="275"/>
        <item x="245"/>
        <item x="526"/>
        <item x="651"/>
        <item x="64"/>
        <item x="464"/>
        <item x="377"/>
        <item x="310"/>
        <item x="189"/>
        <item x="602"/>
        <item x="258"/>
        <item x="168"/>
        <item x="496"/>
        <item x="428"/>
        <item x="139"/>
        <item x="194"/>
        <item x="70"/>
        <item x="589"/>
        <item x="441"/>
        <item x="10"/>
        <item x="601"/>
        <item x="673"/>
        <item x="642"/>
        <item x="312"/>
        <item x="614"/>
        <item x="221"/>
        <item x="491"/>
        <item x="511"/>
        <item x="54"/>
        <item x="222"/>
        <item x="494"/>
        <item x="569"/>
        <item x="477"/>
        <item x="20"/>
        <item x="4"/>
        <item x="284"/>
        <item x="229"/>
        <item x="86"/>
        <item x="108"/>
        <item x="278"/>
        <item x="473"/>
        <item x="667"/>
        <item x="311"/>
        <item x="73"/>
        <item x="246"/>
        <item x="215"/>
        <item x="657"/>
        <item x="664"/>
        <item x="489"/>
        <item x="161"/>
        <item x="127"/>
        <item x="203"/>
        <item x="419"/>
        <item x="49"/>
        <item x="12"/>
        <item x="616"/>
        <item x="347"/>
        <item x="579"/>
        <item x="134"/>
        <item x="546"/>
        <item x="154"/>
        <item x="467"/>
        <item x="487"/>
        <item x="338"/>
        <item x="573"/>
        <item x="286"/>
        <item x="117"/>
        <item x="199"/>
        <item x="430"/>
        <item x="560"/>
        <item x="438"/>
        <item x="447"/>
        <item x="206"/>
        <item x="625"/>
        <item x="412"/>
        <item x="306"/>
        <item x="635"/>
        <item x="138"/>
        <item x="190"/>
        <item x="104"/>
        <item x="84"/>
        <item x="457"/>
        <item x="578"/>
        <item x="386"/>
        <item x="44"/>
        <item x="65"/>
        <item x="141"/>
        <item x="495"/>
        <item x="69"/>
        <item x="71"/>
        <item x="669"/>
        <item x="136"/>
        <item x="332"/>
        <item x="81"/>
        <item x="612"/>
        <item x="588"/>
        <item x="169"/>
        <item x="553"/>
        <item x="268"/>
        <item x="396"/>
        <item x="480"/>
        <item x="205"/>
        <item x="515"/>
        <item x="493"/>
        <item x="178"/>
        <item x="301"/>
        <item x="13"/>
        <item x="188"/>
        <item x="133"/>
        <item x="518"/>
        <item x="220"/>
        <item x="305"/>
        <item x="106"/>
        <item x="401"/>
        <item x="481"/>
        <item x="643"/>
        <item x="8"/>
        <item x="373"/>
        <item x="485"/>
        <item x="475"/>
        <item x="274"/>
        <item x="252"/>
        <item x="309"/>
        <item x="60"/>
        <item x="226"/>
        <item x="599"/>
        <item x="207"/>
        <item x="418"/>
        <item x="514"/>
        <item x="121"/>
        <item x="196"/>
        <item x="187"/>
        <item x="160"/>
        <item x="331"/>
        <item x="420"/>
        <item x="382"/>
        <item x="16"/>
        <item x="208"/>
        <item x="319"/>
        <item x="402"/>
        <item x="639"/>
        <item x="282"/>
        <item x="63"/>
        <item x="424"/>
        <item x="304"/>
        <item x="5"/>
        <item x="359"/>
        <item x="183"/>
        <item x="620"/>
        <item x="277"/>
        <item x="558"/>
        <item x="434"/>
        <item x="565"/>
        <item x="411"/>
        <item x="287"/>
        <item x="285"/>
        <item x="288"/>
        <item x="585"/>
        <item x="315"/>
        <item x="459"/>
        <item x="521"/>
        <item x="566"/>
        <item x="255"/>
        <item x="68"/>
        <item x="609"/>
        <item x="550"/>
        <item x="116"/>
        <item x="532"/>
        <item x="185"/>
        <item x="376"/>
        <item x="39"/>
        <item x="581"/>
        <item x="671"/>
        <item x="119"/>
        <item x="650"/>
        <item x="385"/>
        <item x="100"/>
        <item x="390"/>
        <item x="580"/>
        <item x="280"/>
        <item x="351"/>
        <item x="317"/>
        <item x="646"/>
        <item x="597"/>
        <item x="552"/>
        <item x="308"/>
        <item x="339"/>
        <item x="89"/>
        <item x="436"/>
        <item x="230"/>
        <item x="257"/>
        <item x="439"/>
        <item x="425"/>
        <item x="366"/>
        <item x="269"/>
        <item x="574"/>
        <item x="96"/>
        <item x="197"/>
        <item x="144"/>
        <item x="212"/>
        <item x="148"/>
        <item x="469"/>
        <item x="653"/>
        <item x="341"/>
        <item x="334"/>
        <item x="482"/>
        <item x="666"/>
        <item x="218"/>
        <item x="129"/>
        <item x="239"/>
        <item x="531"/>
        <item x="316"/>
        <item x="492"/>
        <item x="244"/>
        <item x="528"/>
        <item x="611"/>
        <item x="204"/>
        <item x="85"/>
        <item x="123"/>
        <item x="387"/>
        <item x="505"/>
        <item x="42"/>
        <item x="648"/>
        <item x="357"/>
        <item x="479"/>
        <item x="446"/>
        <item x="556"/>
        <item x="529"/>
        <item x="623"/>
        <item x="395"/>
        <item x="93"/>
        <item x="530"/>
        <item x="513"/>
        <item x="72"/>
        <item x="99"/>
        <item x="656"/>
        <item x="303"/>
        <item x="555"/>
        <item x="233"/>
        <item x="237"/>
        <item x="132"/>
        <item x="128"/>
        <item x="156"/>
        <item x="193"/>
        <item x="670"/>
        <item x="520"/>
        <item x="149"/>
        <item x="320"/>
        <item x="180"/>
        <item x="87"/>
        <item x="613"/>
        <item x="465"/>
        <item x="512"/>
        <item x="570"/>
        <item x="567"/>
        <item x="458"/>
        <item x="462"/>
        <item x="547"/>
        <item x="627"/>
        <item x="423"/>
        <item x="328"/>
        <item x="118"/>
        <item x="404"/>
        <item x="484"/>
        <item x="506"/>
        <item x="584"/>
        <item x="364"/>
        <item x="619"/>
        <item x="40"/>
        <item x="27"/>
        <item x="293"/>
        <item x="35"/>
        <item x="592"/>
        <item x="598"/>
        <item x="524"/>
        <item x="175"/>
        <item x="655"/>
        <item x="608"/>
        <item x="146"/>
        <item x="223"/>
        <item x="443"/>
        <item x="516"/>
        <item x="3"/>
        <item x="314"/>
        <item x="437"/>
        <item x="209"/>
        <item x="28"/>
        <item x="628"/>
        <item x="240"/>
        <item x="47"/>
        <item x="539"/>
        <item x="57"/>
        <item x="368"/>
        <item x="426"/>
        <item x="24"/>
        <item x="649"/>
        <item x="33"/>
        <item x="266"/>
        <item x="535"/>
        <item x="572"/>
        <item x="186"/>
        <item x="76"/>
        <item x="38"/>
        <item x="74"/>
        <item x="525"/>
        <item x="163"/>
        <item x="600"/>
        <item x="354"/>
        <item x="626"/>
        <item x="551"/>
        <item x="224"/>
        <item x="23"/>
        <item x="440"/>
        <item x="400"/>
        <item x="273"/>
        <item x="173"/>
        <item x="454"/>
        <item x="629"/>
        <item x="470"/>
        <item x="34"/>
        <item x="333"/>
        <item x="43"/>
        <item x="472"/>
        <item x="369"/>
        <item x="559"/>
        <item x="340"/>
        <item x="131"/>
        <item x="603"/>
        <item x="507"/>
        <item x="82"/>
        <item x="591"/>
        <item x="587"/>
        <item x="41"/>
        <item x="330"/>
        <item x="122"/>
        <item x="624"/>
        <item x="164"/>
        <item x="372"/>
        <item x="143"/>
        <item t="default"/>
      </items>
    </pivotField>
    <pivotField showAll="0"/>
    <pivotField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items count="5">
        <item x="2"/>
        <item x="3"/>
        <item x="0"/>
        <item x="1"/>
        <item t="default"/>
      </items>
    </pivotField>
    <pivotField dataField="1"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sortType="ascending" defaultSubtotal="0">
      <items count="5">
        <item sd="0" x="0"/>
        <item sd="0" x="1"/>
        <item sd="0" x="2"/>
        <item sd="0" x="3"/>
        <item sd="0" x="4"/>
      </items>
      <autoSortScope>
        <pivotArea dataOnly="0" outline="0" fieldPosition="0">
          <references count="1">
            <reference field="4294967294" count="1" selected="0">
              <x v="0"/>
            </reference>
          </references>
        </pivotArea>
      </autoSortScope>
    </pivotField>
  </pivotFields>
  <rowFields count="1">
    <field x="16"/>
  </rowFields>
  <rowItems count="3">
    <i>
      <x v="2"/>
    </i>
    <i>
      <x v="1"/>
    </i>
    <i t="grand">
      <x/>
    </i>
  </rowItems>
  <colItems count="1">
    <i/>
  </colItems>
  <dataFields count="1">
    <dataField name="Sum of Revenue" fld="12" baseField="0" baseItem="0"/>
  </dataFields>
  <chartFormats count="3">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6" count="1" selected="0">
            <x v="1"/>
          </reference>
        </references>
      </pivotArea>
    </chartFormat>
    <chartFormat chart="3" format="4">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5EDD925-9061-4ABF-9AF5-094F21F42AAA}" name="MR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28:C55" firstHeaderRow="1" firstDataRow="1" firstDataCol="1"/>
  <pivotFields count="17">
    <pivotField showAll="0"/>
    <pivotField numFmtId="14" showAll="0">
      <items count="675">
        <item x="25"/>
        <item x="502"/>
        <item x="563"/>
        <item x="181"/>
        <item x="281"/>
        <item x="452"/>
        <item x="638"/>
        <item x="18"/>
        <item x="407"/>
        <item x="276"/>
        <item x="329"/>
        <item x="262"/>
        <item x="234"/>
        <item x="325"/>
        <item x="618"/>
        <item x="232"/>
        <item x="504"/>
        <item x="668"/>
        <item x="500"/>
        <item x="335"/>
        <item x="216"/>
        <item x="313"/>
        <item x="248"/>
        <item x="19"/>
        <item x="111"/>
        <item x="97"/>
        <item x="155"/>
        <item x="201"/>
        <item x="109"/>
        <item x="375"/>
        <item x="48"/>
        <item x="379"/>
        <item x="256"/>
        <item x="291"/>
        <item x="162"/>
        <item x="408"/>
        <item x="435"/>
        <item x="263"/>
        <item x="0"/>
        <item x="450"/>
        <item x="103"/>
        <item x="296"/>
        <item x="593"/>
        <item x="645"/>
        <item x="640"/>
        <item x="50"/>
        <item x="192"/>
        <item x="182"/>
        <item x="647"/>
        <item x="227"/>
        <item x="660"/>
        <item x="661"/>
        <item x="9"/>
        <item x="217"/>
        <item x="21"/>
        <item x="533"/>
        <item x="510"/>
        <item x="343"/>
        <item x="137"/>
        <item x="453"/>
        <item x="172"/>
        <item x="102"/>
        <item x="562"/>
        <item x="634"/>
        <item x="125"/>
        <item x="267"/>
        <item x="536"/>
        <item x="632"/>
        <item x="95"/>
        <item x="264"/>
        <item x="455"/>
        <item x="30"/>
        <item x="498"/>
        <item x="294"/>
        <item x="289"/>
        <item x="466"/>
        <item x="378"/>
        <item x="534"/>
        <item x="159"/>
        <item x="403"/>
        <item x="101"/>
        <item x="405"/>
        <item x="247"/>
        <item x="463"/>
        <item x="576"/>
        <item x="417"/>
        <item x="61"/>
        <item x="110"/>
        <item x="442"/>
        <item x="91"/>
        <item x="633"/>
        <item x="94"/>
        <item x="211"/>
        <item x="249"/>
        <item x="327"/>
        <item x="427"/>
        <item x="153"/>
        <item x="120"/>
        <item x="302"/>
        <item x="158"/>
        <item x="152"/>
        <item x="32"/>
        <item x="456"/>
        <item x="79"/>
        <item x="295"/>
        <item x="14"/>
        <item x="323"/>
        <item x="421"/>
        <item x="654"/>
        <item x="617"/>
        <item x="300"/>
        <item x="527"/>
        <item x="145"/>
        <item x="621"/>
        <item x="622"/>
        <item x="449"/>
        <item x="644"/>
        <item x="202"/>
        <item x="214"/>
        <item x="519"/>
        <item x="318"/>
        <item x="445"/>
        <item x="461"/>
        <item x="605"/>
        <item x="564"/>
        <item x="107"/>
        <item x="471"/>
        <item x="416"/>
        <item x="171"/>
        <item x="231"/>
        <item x="596"/>
        <item x="167"/>
        <item x="52"/>
        <item x="75"/>
        <item x="590"/>
        <item x="607"/>
        <item x="652"/>
        <item x="236"/>
        <item x="414"/>
        <item x="363"/>
        <item x="537"/>
        <item x="577"/>
        <item x="251"/>
        <item x="444"/>
        <item x="307"/>
        <item x="195"/>
        <item x="432"/>
        <item x="238"/>
        <item x="355"/>
        <item x="299"/>
        <item x="501"/>
        <item x="198"/>
        <item x="433"/>
        <item x="659"/>
        <item x="365"/>
        <item x="380"/>
        <item x="641"/>
        <item x="59"/>
        <item x="594"/>
        <item x="170"/>
        <item x="543"/>
        <item x="352"/>
        <item x="114"/>
        <item x="415"/>
        <item x="371"/>
        <item x="410"/>
        <item x="637"/>
        <item x="83"/>
        <item x="260"/>
        <item x="658"/>
        <item x="381"/>
        <item x="542"/>
        <item x="243"/>
        <item x="45"/>
        <item x="517"/>
        <item x="326"/>
        <item x="394"/>
        <item x="604"/>
        <item x="615"/>
        <item x="11"/>
        <item x="370"/>
        <item x="353"/>
        <item x="261"/>
        <item x="22"/>
        <item x="575"/>
        <item x="270"/>
        <item x="545"/>
        <item x="497"/>
        <item x="58"/>
        <item x="422"/>
        <item x="345"/>
        <item x="610"/>
        <item x="37"/>
        <item x="31"/>
        <item x="538"/>
        <item x="406"/>
        <item x="235"/>
        <item x="17"/>
        <item x="272"/>
        <item x="672"/>
        <item x="474"/>
        <item x="67"/>
        <item x="253"/>
        <item x="540"/>
        <item x="358"/>
        <item x="348"/>
        <item x="522"/>
        <item x="321"/>
        <item x="337"/>
        <item x="586"/>
        <item x="113"/>
        <item x="468"/>
        <item x="112"/>
        <item x="549"/>
        <item x="448"/>
        <item x="254"/>
        <item x="150"/>
        <item x="490"/>
        <item x="336"/>
        <item x="429"/>
        <item x="265"/>
        <item x="630"/>
        <item x="98"/>
        <item x="228"/>
        <item x="361"/>
        <item x="344"/>
        <item x="483"/>
        <item x="399"/>
        <item x="486"/>
        <item x="184"/>
        <item x="322"/>
        <item x="297"/>
        <item x="126"/>
        <item x="213"/>
        <item x="356"/>
        <item x="135"/>
        <item x="460"/>
        <item x="200"/>
        <item x="46"/>
        <item x="166"/>
        <item x="389"/>
        <item x="362"/>
        <item x="388"/>
        <item x="140"/>
        <item x="88"/>
        <item x="90"/>
        <item x="2"/>
        <item x="147"/>
        <item x="176"/>
        <item x="561"/>
        <item x="595"/>
        <item x="451"/>
        <item x="346"/>
        <item x="392"/>
        <item x="105"/>
        <item x="665"/>
        <item x="548"/>
        <item x="631"/>
        <item x="409"/>
        <item x="6"/>
        <item x="177"/>
        <item x="292"/>
        <item x="283"/>
        <item x="360"/>
        <item x="225"/>
        <item x="80"/>
        <item x="36"/>
        <item x="210"/>
        <item x="476"/>
        <item x="26"/>
        <item x="55"/>
        <item x="398"/>
        <item x="367"/>
        <item x="56"/>
        <item x="151"/>
        <item x="488"/>
        <item x="191"/>
        <item x="582"/>
        <item x="384"/>
        <item x="165"/>
        <item x="29"/>
        <item x="92"/>
        <item x="606"/>
        <item x="78"/>
        <item x="350"/>
        <item x="568"/>
        <item x="241"/>
        <item x="142"/>
        <item x="541"/>
        <item x="478"/>
        <item x="271"/>
        <item x="554"/>
        <item x="66"/>
        <item x="242"/>
        <item x="115"/>
        <item x="663"/>
        <item x="1"/>
        <item x="279"/>
        <item x="413"/>
        <item x="499"/>
        <item x="324"/>
        <item x="77"/>
        <item x="544"/>
        <item x="509"/>
        <item x="53"/>
        <item x="15"/>
        <item x="259"/>
        <item x="557"/>
        <item x="124"/>
        <item x="157"/>
        <item x="51"/>
        <item x="349"/>
        <item x="174"/>
        <item x="397"/>
        <item x="219"/>
        <item x="503"/>
        <item x="523"/>
        <item x="583"/>
        <item x="250"/>
        <item x="431"/>
        <item x="662"/>
        <item x="393"/>
        <item x="62"/>
        <item x="290"/>
        <item x="298"/>
        <item x="383"/>
        <item x="7"/>
        <item x="391"/>
        <item x="508"/>
        <item x="342"/>
        <item x="571"/>
        <item x="374"/>
        <item x="636"/>
        <item x="130"/>
        <item x="179"/>
        <item x="275"/>
        <item x="245"/>
        <item x="526"/>
        <item x="651"/>
        <item x="64"/>
        <item x="464"/>
        <item x="377"/>
        <item x="310"/>
        <item x="189"/>
        <item x="602"/>
        <item x="258"/>
        <item x="168"/>
        <item x="496"/>
        <item x="428"/>
        <item x="139"/>
        <item x="194"/>
        <item x="70"/>
        <item x="589"/>
        <item x="441"/>
        <item x="10"/>
        <item x="601"/>
        <item x="673"/>
        <item x="642"/>
        <item x="312"/>
        <item x="614"/>
        <item x="221"/>
        <item x="491"/>
        <item x="511"/>
        <item x="54"/>
        <item x="222"/>
        <item x="494"/>
        <item x="569"/>
        <item x="477"/>
        <item x="20"/>
        <item x="4"/>
        <item x="284"/>
        <item x="229"/>
        <item x="86"/>
        <item x="108"/>
        <item x="278"/>
        <item x="473"/>
        <item x="667"/>
        <item x="311"/>
        <item x="73"/>
        <item x="246"/>
        <item x="215"/>
        <item x="657"/>
        <item x="664"/>
        <item x="489"/>
        <item x="161"/>
        <item x="127"/>
        <item x="203"/>
        <item x="419"/>
        <item x="49"/>
        <item x="12"/>
        <item x="616"/>
        <item x="347"/>
        <item x="579"/>
        <item x="134"/>
        <item x="546"/>
        <item x="154"/>
        <item x="467"/>
        <item x="487"/>
        <item x="338"/>
        <item x="573"/>
        <item x="286"/>
        <item x="117"/>
        <item x="199"/>
        <item x="430"/>
        <item x="560"/>
        <item x="438"/>
        <item x="447"/>
        <item x="206"/>
        <item x="625"/>
        <item x="412"/>
        <item x="306"/>
        <item x="635"/>
        <item x="138"/>
        <item x="190"/>
        <item x="104"/>
        <item x="84"/>
        <item x="457"/>
        <item x="578"/>
        <item x="386"/>
        <item x="44"/>
        <item x="65"/>
        <item x="141"/>
        <item x="495"/>
        <item x="69"/>
        <item x="71"/>
        <item x="669"/>
        <item x="136"/>
        <item x="332"/>
        <item x="81"/>
        <item x="612"/>
        <item x="588"/>
        <item x="169"/>
        <item x="553"/>
        <item x="268"/>
        <item x="396"/>
        <item x="480"/>
        <item x="205"/>
        <item x="515"/>
        <item x="493"/>
        <item x="178"/>
        <item x="301"/>
        <item x="13"/>
        <item x="188"/>
        <item x="133"/>
        <item x="518"/>
        <item x="220"/>
        <item x="305"/>
        <item x="106"/>
        <item x="401"/>
        <item x="481"/>
        <item x="643"/>
        <item x="8"/>
        <item x="373"/>
        <item x="485"/>
        <item x="475"/>
        <item x="274"/>
        <item x="252"/>
        <item x="309"/>
        <item x="60"/>
        <item x="226"/>
        <item x="599"/>
        <item x="207"/>
        <item x="418"/>
        <item x="514"/>
        <item x="121"/>
        <item x="196"/>
        <item x="187"/>
        <item x="160"/>
        <item x="331"/>
        <item x="420"/>
        <item x="382"/>
        <item x="16"/>
        <item x="208"/>
        <item x="319"/>
        <item x="402"/>
        <item x="639"/>
        <item x="282"/>
        <item x="63"/>
        <item x="424"/>
        <item x="304"/>
        <item x="5"/>
        <item x="359"/>
        <item x="183"/>
        <item x="620"/>
        <item x="277"/>
        <item x="558"/>
        <item x="434"/>
        <item x="565"/>
        <item x="411"/>
        <item x="287"/>
        <item x="285"/>
        <item x="288"/>
        <item x="585"/>
        <item x="315"/>
        <item x="459"/>
        <item x="521"/>
        <item x="566"/>
        <item x="255"/>
        <item x="68"/>
        <item x="609"/>
        <item x="550"/>
        <item x="116"/>
        <item x="532"/>
        <item x="185"/>
        <item x="376"/>
        <item x="39"/>
        <item x="581"/>
        <item x="671"/>
        <item x="119"/>
        <item x="650"/>
        <item x="385"/>
        <item x="100"/>
        <item x="390"/>
        <item x="580"/>
        <item x="280"/>
        <item x="351"/>
        <item x="317"/>
        <item x="646"/>
        <item x="597"/>
        <item x="552"/>
        <item x="308"/>
        <item x="339"/>
        <item x="89"/>
        <item x="436"/>
        <item x="230"/>
        <item x="257"/>
        <item x="439"/>
        <item x="425"/>
        <item x="366"/>
        <item x="269"/>
        <item x="574"/>
        <item x="96"/>
        <item x="197"/>
        <item x="144"/>
        <item x="212"/>
        <item x="148"/>
        <item x="469"/>
        <item x="653"/>
        <item x="341"/>
        <item x="334"/>
        <item x="482"/>
        <item x="666"/>
        <item x="218"/>
        <item x="129"/>
        <item x="239"/>
        <item x="531"/>
        <item x="316"/>
        <item x="492"/>
        <item x="244"/>
        <item x="528"/>
        <item x="611"/>
        <item x="204"/>
        <item x="85"/>
        <item x="123"/>
        <item x="387"/>
        <item x="505"/>
        <item x="42"/>
        <item x="648"/>
        <item x="357"/>
        <item x="479"/>
        <item x="446"/>
        <item x="556"/>
        <item x="529"/>
        <item x="623"/>
        <item x="395"/>
        <item x="93"/>
        <item x="530"/>
        <item x="513"/>
        <item x="72"/>
        <item x="99"/>
        <item x="656"/>
        <item x="303"/>
        <item x="555"/>
        <item x="233"/>
        <item x="237"/>
        <item x="132"/>
        <item x="128"/>
        <item x="156"/>
        <item x="193"/>
        <item x="670"/>
        <item x="520"/>
        <item x="149"/>
        <item x="320"/>
        <item x="180"/>
        <item x="87"/>
        <item x="613"/>
        <item x="465"/>
        <item x="512"/>
        <item x="570"/>
        <item x="567"/>
        <item x="458"/>
        <item x="462"/>
        <item x="547"/>
        <item x="627"/>
        <item x="423"/>
        <item x="328"/>
        <item x="118"/>
        <item x="404"/>
        <item x="484"/>
        <item x="506"/>
        <item x="584"/>
        <item x="364"/>
        <item x="619"/>
        <item x="40"/>
        <item x="27"/>
        <item x="293"/>
        <item x="35"/>
        <item x="592"/>
        <item x="598"/>
        <item x="524"/>
        <item x="175"/>
        <item x="655"/>
        <item x="608"/>
        <item x="146"/>
        <item x="223"/>
        <item x="443"/>
        <item x="516"/>
        <item x="3"/>
        <item x="314"/>
        <item x="437"/>
        <item x="209"/>
        <item x="28"/>
        <item x="628"/>
        <item x="240"/>
        <item x="47"/>
        <item x="539"/>
        <item x="57"/>
        <item x="368"/>
        <item x="426"/>
        <item x="24"/>
        <item x="649"/>
        <item x="33"/>
        <item x="266"/>
        <item x="535"/>
        <item x="572"/>
        <item x="186"/>
        <item x="76"/>
        <item x="38"/>
        <item x="74"/>
        <item x="525"/>
        <item x="163"/>
        <item x="600"/>
        <item x="354"/>
        <item x="626"/>
        <item x="551"/>
        <item x="224"/>
        <item x="23"/>
        <item x="440"/>
        <item x="400"/>
        <item x="273"/>
        <item x="173"/>
        <item x="454"/>
        <item x="629"/>
        <item x="470"/>
        <item x="34"/>
        <item x="333"/>
        <item x="43"/>
        <item x="472"/>
        <item x="369"/>
        <item x="559"/>
        <item x="340"/>
        <item x="131"/>
        <item x="603"/>
        <item x="507"/>
        <item x="82"/>
        <item x="591"/>
        <item x="587"/>
        <item x="41"/>
        <item x="330"/>
        <item x="122"/>
        <item x="624"/>
        <item x="164"/>
        <item x="372"/>
        <item x="143"/>
        <item t="default"/>
      </items>
    </pivotField>
    <pivotField showAll="0"/>
    <pivotField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items count="5">
        <item x="2"/>
        <item x="3"/>
        <item x="0"/>
        <item x="1"/>
        <item t="default"/>
      </items>
    </pivotField>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x="1"/>
        <item x="2"/>
        <item sd="0" x="3"/>
        <item sd="0" x="4"/>
        <item t="default"/>
      </items>
    </pivotField>
  </pivotFields>
  <rowFields count="2">
    <field x="16"/>
    <field x="14"/>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Items count="1">
    <i/>
  </colItems>
  <dataFields count="1">
    <dataField name="Sum of Revenue" fld="12" baseField="0" baseItem="0"/>
  </dataFields>
  <chartFormats count="25">
    <chartFormat chart="3" format="2" series="1">
      <pivotArea type="data" outline="0" fieldPosition="0">
        <references count="1">
          <reference field="4294967294" count="1" selected="0">
            <x v="0"/>
          </reference>
        </references>
      </pivotArea>
    </chartFormat>
    <chartFormat chart="3" format="3">
      <pivotArea type="data" outline="0" fieldPosition="0">
        <references count="3">
          <reference field="4294967294" count="1" selected="0">
            <x v="0"/>
          </reference>
          <reference field="14" count="1" selected="0">
            <x v="9"/>
          </reference>
          <reference field="16" count="1" selected="0">
            <x v="2"/>
          </reference>
        </references>
      </pivotArea>
    </chartFormat>
    <chartFormat chart="3" format="4">
      <pivotArea type="data" outline="0" fieldPosition="0">
        <references count="3">
          <reference field="4294967294" count="1" selected="0">
            <x v="0"/>
          </reference>
          <reference field="14" count="1" selected="0">
            <x v="8"/>
          </reference>
          <reference field="16" count="1" selected="0">
            <x v="2"/>
          </reference>
        </references>
      </pivotArea>
    </chartFormat>
    <chartFormat chart="3" format="5">
      <pivotArea type="data" outline="0" fieldPosition="0">
        <references count="3">
          <reference field="4294967294" count="1" selected="0">
            <x v="0"/>
          </reference>
          <reference field="14" count="1" selected="0">
            <x v="6"/>
          </reference>
          <reference field="16" count="1" selected="0">
            <x v="2"/>
          </reference>
        </references>
      </pivotArea>
    </chartFormat>
    <chartFormat chart="3" format="6">
      <pivotArea type="data" outline="0" fieldPosition="0">
        <references count="3">
          <reference field="4294967294" count="1" selected="0">
            <x v="0"/>
          </reference>
          <reference field="14" count="1" selected="0">
            <x v="4"/>
          </reference>
          <reference field="16" count="1" selected="0">
            <x v="2"/>
          </reference>
        </references>
      </pivotArea>
    </chartFormat>
    <chartFormat chart="3" format="7">
      <pivotArea type="data" outline="0" fieldPosition="0">
        <references count="3">
          <reference field="4294967294" count="1" selected="0">
            <x v="0"/>
          </reference>
          <reference field="14" count="1" selected="0">
            <x v="12"/>
          </reference>
          <reference field="16" count="1" selected="0">
            <x v="2"/>
          </reference>
        </references>
      </pivotArea>
    </chartFormat>
    <chartFormat chart="3" format="8">
      <pivotArea type="data" outline="0" fieldPosition="0">
        <references count="3">
          <reference field="4294967294" count="1" selected="0">
            <x v="0"/>
          </reference>
          <reference field="14" count="1" selected="0">
            <x v="11"/>
          </reference>
          <reference field="16" count="1" selected="0">
            <x v="2"/>
          </reference>
        </references>
      </pivotArea>
    </chartFormat>
    <chartFormat chart="3" format="9">
      <pivotArea type="data" outline="0" fieldPosition="0">
        <references count="3">
          <reference field="4294967294" count="1" selected="0">
            <x v="0"/>
          </reference>
          <reference field="14" count="1" selected="0">
            <x v="10"/>
          </reference>
          <reference field="16" count="1" selected="0">
            <x v="2"/>
          </reference>
        </references>
      </pivotArea>
    </chartFormat>
    <chartFormat chart="3" format="10">
      <pivotArea type="data" outline="0" fieldPosition="0">
        <references count="3">
          <reference field="4294967294" count="1" selected="0">
            <x v="0"/>
          </reference>
          <reference field="14" count="1" selected="0">
            <x v="7"/>
          </reference>
          <reference field="16" count="1" selected="0">
            <x v="2"/>
          </reference>
        </references>
      </pivotArea>
    </chartFormat>
    <chartFormat chart="3" format="11">
      <pivotArea type="data" outline="0" fieldPosition="0">
        <references count="3">
          <reference field="4294967294" count="1" selected="0">
            <x v="0"/>
          </reference>
          <reference field="14" count="1" selected="0">
            <x v="5"/>
          </reference>
          <reference field="16" count="1" selected="0">
            <x v="2"/>
          </reference>
        </references>
      </pivotArea>
    </chartFormat>
    <chartFormat chart="3" format="12">
      <pivotArea type="data" outline="0" fieldPosition="0">
        <references count="3">
          <reference field="4294967294" count="1" selected="0">
            <x v="0"/>
          </reference>
          <reference field="14" count="1" selected="0">
            <x v="3"/>
          </reference>
          <reference field="16" count="1" selected="0">
            <x v="2"/>
          </reference>
        </references>
      </pivotArea>
    </chartFormat>
    <chartFormat chart="3" format="13">
      <pivotArea type="data" outline="0" fieldPosition="0">
        <references count="3">
          <reference field="4294967294" count="1" selected="0">
            <x v="0"/>
          </reference>
          <reference field="14" count="1" selected="0">
            <x v="2"/>
          </reference>
          <reference field="16" count="1" selected="0">
            <x v="2"/>
          </reference>
        </references>
      </pivotArea>
    </chartFormat>
    <chartFormat chart="3" format="14">
      <pivotArea type="data" outline="0" fieldPosition="0">
        <references count="3">
          <reference field="4294967294" count="1" selected="0">
            <x v="0"/>
          </reference>
          <reference field="14" count="1" selected="0">
            <x v="1"/>
          </reference>
          <reference field="16" count="1" selected="0">
            <x v="2"/>
          </reference>
        </references>
      </pivotArea>
    </chartFormat>
    <chartFormat chart="3" format="15">
      <pivotArea type="data" outline="0" fieldPosition="0">
        <references count="3">
          <reference field="4294967294" count="1" selected="0">
            <x v="0"/>
          </reference>
          <reference field="14" count="1" selected="0">
            <x v="12"/>
          </reference>
          <reference field="16" count="1" selected="0">
            <x v="1"/>
          </reference>
        </references>
      </pivotArea>
    </chartFormat>
    <chartFormat chart="3" format="16">
      <pivotArea type="data" outline="0" fieldPosition="0">
        <references count="3">
          <reference field="4294967294" count="1" selected="0">
            <x v="0"/>
          </reference>
          <reference field="14" count="1" selected="0">
            <x v="11"/>
          </reference>
          <reference field="16" count="1" selected="0">
            <x v="1"/>
          </reference>
        </references>
      </pivotArea>
    </chartFormat>
    <chartFormat chart="3" format="17">
      <pivotArea type="data" outline="0" fieldPosition="0">
        <references count="3">
          <reference field="4294967294" count="1" selected="0">
            <x v="0"/>
          </reference>
          <reference field="14" count="1" selected="0">
            <x v="7"/>
          </reference>
          <reference field="16" count="1" selected="0">
            <x v="1"/>
          </reference>
        </references>
      </pivotArea>
    </chartFormat>
    <chartFormat chart="3" format="18">
      <pivotArea type="data" outline="0" fieldPosition="0">
        <references count="3">
          <reference field="4294967294" count="1" selected="0">
            <x v="0"/>
          </reference>
          <reference field="14" count="1" selected="0">
            <x v="4"/>
          </reference>
          <reference field="16" count="1" selected="0">
            <x v="1"/>
          </reference>
        </references>
      </pivotArea>
    </chartFormat>
    <chartFormat chart="3" format="19">
      <pivotArea type="data" outline="0" fieldPosition="0">
        <references count="3">
          <reference field="4294967294" count="1" selected="0">
            <x v="0"/>
          </reference>
          <reference field="14" count="1" selected="0">
            <x v="3"/>
          </reference>
          <reference field="16" count="1" selected="0">
            <x v="1"/>
          </reference>
        </references>
      </pivotArea>
    </chartFormat>
    <chartFormat chart="3" format="20">
      <pivotArea type="data" outline="0" fieldPosition="0">
        <references count="3">
          <reference field="4294967294" count="1" selected="0">
            <x v="0"/>
          </reference>
          <reference field="14" count="1" selected="0">
            <x v="2"/>
          </reference>
          <reference field="16" count="1" selected="0">
            <x v="1"/>
          </reference>
        </references>
      </pivotArea>
    </chartFormat>
    <chartFormat chart="3" format="21">
      <pivotArea type="data" outline="0" fieldPosition="0">
        <references count="3">
          <reference field="4294967294" count="1" selected="0">
            <x v="0"/>
          </reference>
          <reference field="14" count="1" selected="0">
            <x v="1"/>
          </reference>
          <reference field="16" count="1" selected="0">
            <x v="1"/>
          </reference>
        </references>
      </pivotArea>
    </chartFormat>
    <chartFormat chart="3" format="22">
      <pivotArea type="data" outline="0" fieldPosition="0">
        <references count="3">
          <reference field="4294967294" count="1" selected="0">
            <x v="0"/>
          </reference>
          <reference field="14" count="1" selected="0">
            <x v="6"/>
          </reference>
          <reference field="16" count="1" selected="0">
            <x v="1"/>
          </reference>
        </references>
      </pivotArea>
    </chartFormat>
    <chartFormat chart="3" format="23">
      <pivotArea type="data" outline="0" fieldPosition="0">
        <references count="3">
          <reference field="4294967294" count="1" selected="0">
            <x v="0"/>
          </reference>
          <reference field="14" count="1" selected="0">
            <x v="5"/>
          </reference>
          <reference field="16" count="1" selected="0">
            <x v="1"/>
          </reference>
        </references>
      </pivotArea>
    </chartFormat>
    <chartFormat chart="3" format="24">
      <pivotArea type="data" outline="0" fieldPosition="0">
        <references count="3">
          <reference field="4294967294" count="1" selected="0">
            <x v="0"/>
          </reference>
          <reference field="14" count="1" selected="0">
            <x v="10"/>
          </reference>
          <reference field="16" count="1" selected="0">
            <x v="1"/>
          </reference>
        </references>
      </pivotArea>
    </chartFormat>
    <chartFormat chart="3" format="25">
      <pivotArea type="data" outline="0" fieldPosition="0">
        <references count="3">
          <reference field="4294967294" count="1" selected="0">
            <x v="0"/>
          </reference>
          <reference field="14" count="1" selected="0">
            <x v="9"/>
          </reference>
          <reference field="16" count="1" selected="0">
            <x v="1"/>
          </reference>
        </references>
      </pivotArea>
    </chartFormat>
    <chartFormat chart="3" format="26">
      <pivotArea type="data" outline="0" fieldPosition="0">
        <references count="3">
          <reference field="4294967294" count="1" selected="0">
            <x v="0"/>
          </reference>
          <reference field="14" count="1" selected="0">
            <x v="8"/>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vice" xr10:uid="{F4F8E153-D80D-4C07-985C-6370D784DAA4}" sourceName="Device">
  <pivotTables>
    <pivotTable tabId="4" name="Revenue for State"/>
    <pivotTable tabId="4" name="ARR"/>
    <pivotTable tabId="4" name="Average Revenue per Tier"/>
    <pivotTable tabId="4" name="MRR"/>
    <pivotTable tabId="4" name="Churn Rate per Tier"/>
    <pivotTable tabId="4" name="Total Orders"/>
    <pivotTable tabId="4" name="Total Sales"/>
    <pivotTable tabId="4" name="% Churned"/>
    <pivotTable tabId="4" name="% Split of Devices"/>
  </pivotTables>
  <data>
    <tabular pivotCacheId="1603119858">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s" xr10:uid="{6E2E6A14-9CDF-4F9B-896A-90DF3A881377}" sourceName="Regions">
  <pivotTables>
    <pivotTable tabId="4" name="% Split of Devices"/>
    <pivotTable tabId="4" name="ARR"/>
    <pivotTable tabId="4" name="Average Revenue per Tier"/>
    <pivotTable tabId="4" name="Churn Rate per Tier"/>
    <pivotTable tabId="4" name="MRR"/>
    <pivotTable tabId="4" name="% Churned"/>
    <pivotTable tabId="4" name="Total Orders"/>
    <pivotTable tabId="4" name="Total Sales"/>
    <pivotTable tabId="4" name="Revenue for State"/>
  </pivotTables>
  <data>
    <tabular pivotCacheId="1603119858">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Subscription_Date" xr10:uid="{F7CA6094-60D1-4A47-9563-ADCE47B9D89E}" sourceName="Years (Subscription Date)">
  <pivotTables>
    <pivotTable tabId="4" name="Revenue for State"/>
    <pivotTable tabId="4" name="% Split of Devices"/>
    <pivotTable tabId="4" name="Average Revenue per Tier"/>
    <pivotTable tabId="4" name="Churn Rate per Tier"/>
    <pivotTable tabId="4" name="% Churned"/>
    <pivotTable tabId="4" name="Total Orders"/>
    <pivotTable tabId="4" name="Total Sales"/>
    <pivotTable tabId="4" name="ARR"/>
    <pivotTable tabId="4" name="MRR"/>
  </pivotTables>
  <data>
    <tabular pivotCacheId="1603119858">
      <items count="5">
        <i x="1" s="1"/>
        <i x="2" s="1"/>
        <i x="0" s="1" nd="1"/>
        <i x="4" s="1" nd="1"/>
        <i x="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n_Type" xr10:uid="{F956B60B-8E4F-4F6B-9B64-BE394A9F94BF}" sourceName="Plan Type">
  <pivotTables>
    <pivotTable tabId="4" name="Average Revenue per Tier"/>
    <pivotTable tabId="4" name="% Churned"/>
    <pivotTable tabId="4" name="% Split of Devices"/>
    <pivotTable tabId="4" name="ARR"/>
    <pivotTable tabId="4" name="Churn Rate per Tier"/>
    <pivotTable tabId="4" name="MRR"/>
    <pivotTable tabId="4" name="Revenue for State"/>
    <pivotTable tabId="4" name="Total Orders"/>
    <pivotTable tabId="4" name="Total Sales"/>
  </pivotTables>
  <data>
    <tabular pivotCacheId="1603119858">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vice" xr10:uid="{32787943-D56B-4FBF-ABAA-9C65514775B4}" cache="Slicer_Device" caption="Device" rowHeight="241300"/>
  <slicer name="Regions" xr10:uid="{4507F27F-747B-42B2-9E06-F74F3C0E6680}" cache="Slicer_Regions" caption="Regions" rowHeight="241300"/>
  <slicer name="Years (Subscription Date)" xr10:uid="{11D2F9F5-9203-47F0-921F-11671F8BFAD3}" cache="Slicer_Years__Subscription_Date" caption="Year" rowHeight="241300"/>
  <slicer name="Plan Type" xr10:uid="{440470D7-DC00-46DF-9452-A3DA0864B069}" cache="Slicer_Plan_Type" caption="Plan Typ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8B50222-B609-462F-BA56-FE35093FDCCF}" name="GhanaStream" displayName="GhanaStream" ref="A1:N2001" totalsRowShown="0">
  <autoFilter ref="A1:N2001" xr:uid="{48B50222-B609-462F-BA56-FE35093FDCCF}"/>
  <tableColumns count="14">
    <tableColumn id="1" xr3:uid="{3A5F08FB-871E-40AD-A230-FA8CC0522A07}" name="Order ID"/>
    <tableColumn id="2" xr3:uid="{3717A08F-00F3-410B-83F5-E40DAE53D705}" name="Subscription Date" dataDxfId="19"/>
    <tableColumn id="3" xr3:uid="{25C38FB0-E1A6-45A8-9612-BD626D2FA3AB}" name="Tier"/>
    <tableColumn id="4" xr3:uid="{0D4B1B95-6907-464D-8338-0FBC1CC4807A}" name="Plan Type"/>
    <tableColumn id="5" xr3:uid="{0AF7C5B8-9D7F-410C-9B63-E880F6A32757}" name="Subscription Fee"/>
    <tableColumn id="6" xr3:uid="{F564E8D3-1FC2-4F95-9968-AAFD5BDE4B6F}" name="Region"/>
    <tableColumn id="7" xr3:uid="{8A0790E9-BC29-4732-9294-CB13063D3ED4}" name="Device"/>
    <tableColumn id="8" xr3:uid="{B7A03592-BF8C-4FE3-B94B-4F2178A7A779}" name="Status"/>
    <tableColumn id="9" xr3:uid="{F3426942-F157-453F-83AF-4DF0EE738C5B}" name="Churn Flag"/>
    <tableColumn id="10" xr3:uid="{60772342-11DA-4EB0-8730-284786A1F938}" name="State"/>
    <tableColumn id="11" xr3:uid="{1269CD83-FBC9-4D99-9974-28D558667CE2}" name="Discount"/>
    <tableColumn id="12" xr3:uid="{D112C4AD-43EF-4ECD-8654-993A40F2D05D}" name="Regions" dataDxfId="18">
      <calculatedColumnFormula>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calculatedColumnFormula>
    </tableColumn>
    <tableColumn id="13" xr3:uid="{0524A6C3-DED4-43CF-BC26-0D65752149AC}" name="Revenue" dataDxfId="17">
      <calculatedColumnFormula>GhanaStream[[#This Row],[Subscription Fee]]-(GhanaStream[[#This Row],[Discount]]*GhanaStream[[#This Row],[Subscription Fee]])</calculatedColumnFormula>
    </tableColumn>
    <tableColumn id="14" xr3:uid="{273459B6-266C-4FDF-AD53-5BD5ED42B0A6}" name="Churn" dataDxfId="16">
      <calculatedColumnFormula>IF(GhanaStream[[#This Row],[Churn Flag]]="Yes","Churned","Retained")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43835-EBA9-4109-96FD-AD08E9DE6AF8}">
  <dimension ref="A1:K2001"/>
  <sheetViews>
    <sheetView workbookViewId="0">
      <selection activeCell="B2" sqref="B2"/>
    </sheetView>
  </sheetViews>
  <sheetFormatPr defaultRowHeight="15" x14ac:dyDescent="0.25"/>
  <cols>
    <col min="2" max="2" width="16.7109375" bestFit="1" customWidth="1"/>
    <col min="4" max="4" width="9.5703125" bestFit="1" customWidth="1"/>
    <col min="5" max="5" width="15.85546875" bestFit="1" customWidth="1"/>
    <col min="6" max="6" width="15.28515625" bestFit="1" customWidth="1"/>
    <col min="7" max="7" width="8.85546875" bestFit="1" customWidth="1"/>
    <col min="8" max="8" width="9.7109375" bestFit="1" customWidth="1"/>
    <col min="9" max="9" width="10.28515625" bestFit="1" customWidth="1"/>
    <col min="10" max="10" width="14.28515625" bestFit="1" customWidth="1"/>
    <col min="11" max="11" width="8.7109375" bestFit="1" customWidth="1"/>
  </cols>
  <sheetData>
    <row r="1" spans="1:11" x14ac:dyDescent="0.25">
      <c r="A1" t="s">
        <v>0</v>
      </c>
      <c r="B1" t="s">
        <v>1</v>
      </c>
      <c r="C1" t="s">
        <v>2</v>
      </c>
      <c r="D1" t="s">
        <v>3</v>
      </c>
      <c r="E1" t="s">
        <v>4</v>
      </c>
      <c r="F1" t="s">
        <v>5</v>
      </c>
      <c r="G1" t="s">
        <v>6</v>
      </c>
      <c r="H1" t="s">
        <v>7</v>
      </c>
      <c r="I1" t="s">
        <v>8</v>
      </c>
      <c r="J1" t="s">
        <v>9</v>
      </c>
      <c r="K1" t="s">
        <v>10</v>
      </c>
    </row>
    <row r="2" spans="1:11" x14ac:dyDescent="0.25">
      <c r="A2" t="s">
        <v>11</v>
      </c>
      <c r="B2" s="1">
        <v>44967</v>
      </c>
      <c r="C2" t="s">
        <v>12</v>
      </c>
      <c r="D2" t="s">
        <v>13</v>
      </c>
      <c r="E2">
        <v>1500</v>
      </c>
      <c r="F2" t="s">
        <v>14</v>
      </c>
      <c r="G2" t="s">
        <v>15</v>
      </c>
      <c r="H2" t="s">
        <v>16</v>
      </c>
      <c r="I2" t="s">
        <v>17</v>
      </c>
      <c r="J2" t="s">
        <v>18</v>
      </c>
      <c r="K2">
        <v>0</v>
      </c>
    </row>
    <row r="3" spans="1:11" x14ac:dyDescent="0.25">
      <c r="A3" t="s">
        <v>19</v>
      </c>
      <c r="B3" s="1">
        <v>45244</v>
      </c>
      <c r="C3" t="s">
        <v>20</v>
      </c>
      <c r="D3" t="s">
        <v>13</v>
      </c>
      <c r="E3">
        <v>500</v>
      </c>
      <c r="F3" t="s">
        <v>21</v>
      </c>
      <c r="G3" t="s">
        <v>15</v>
      </c>
      <c r="H3" t="s">
        <v>16</v>
      </c>
      <c r="I3" t="s">
        <v>17</v>
      </c>
      <c r="J3" t="s">
        <v>22</v>
      </c>
      <c r="K3">
        <v>0</v>
      </c>
    </row>
    <row r="4" spans="1:11" x14ac:dyDescent="0.25">
      <c r="A4" t="s">
        <v>23</v>
      </c>
      <c r="B4" s="1">
        <v>45190</v>
      </c>
      <c r="C4" t="s">
        <v>20</v>
      </c>
      <c r="D4" t="s">
        <v>13</v>
      </c>
      <c r="E4">
        <v>500</v>
      </c>
      <c r="F4" t="s">
        <v>21</v>
      </c>
      <c r="G4" t="s">
        <v>24</v>
      </c>
      <c r="H4" t="s">
        <v>16</v>
      </c>
      <c r="I4" t="s">
        <v>17</v>
      </c>
      <c r="J4" t="s">
        <v>25</v>
      </c>
      <c r="K4">
        <v>0</v>
      </c>
    </row>
    <row r="5" spans="1:11" x14ac:dyDescent="0.25">
      <c r="A5" t="s">
        <v>26</v>
      </c>
      <c r="B5" s="1">
        <v>45595</v>
      </c>
      <c r="C5" t="s">
        <v>20</v>
      </c>
      <c r="D5" t="s">
        <v>27</v>
      </c>
      <c r="E5">
        <v>5400</v>
      </c>
      <c r="F5" t="s">
        <v>21</v>
      </c>
      <c r="G5" t="s">
        <v>28</v>
      </c>
      <c r="H5" t="s">
        <v>16</v>
      </c>
      <c r="I5" t="s">
        <v>17</v>
      </c>
      <c r="J5" t="s">
        <v>29</v>
      </c>
      <c r="K5">
        <v>0.1</v>
      </c>
    </row>
    <row r="6" spans="1:11" x14ac:dyDescent="0.25">
      <c r="A6" t="s">
        <v>30</v>
      </c>
      <c r="B6" s="1">
        <v>45321</v>
      </c>
      <c r="C6" t="s">
        <v>31</v>
      </c>
      <c r="D6" t="s">
        <v>27</v>
      </c>
      <c r="E6">
        <v>10800</v>
      </c>
      <c r="F6" t="s">
        <v>32</v>
      </c>
      <c r="G6" t="s">
        <v>15</v>
      </c>
      <c r="H6" t="s">
        <v>33</v>
      </c>
      <c r="I6" t="s">
        <v>34</v>
      </c>
      <c r="J6" t="s">
        <v>35</v>
      </c>
      <c r="K6">
        <v>0.1</v>
      </c>
    </row>
    <row r="7" spans="1:11" x14ac:dyDescent="0.25">
      <c r="A7" t="s">
        <v>36</v>
      </c>
      <c r="B7" s="1">
        <v>45442</v>
      </c>
      <c r="C7" t="s">
        <v>31</v>
      </c>
      <c r="D7" t="s">
        <v>27</v>
      </c>
      <c r="E7">
        <v>10800</v>
      </c>
      <c r="F7" t="s">
        <v>14</v>
      </c>
      <c r="G7" t="s">
        <v>24</v>
      </c>
      <c r="H7" t="s">
        <v>33</v>
      </c>
      <c r="I7" t="s">
        <v>34</v>
      </c>
      <c r="J7" t="s">
        <v>37</v>
      </c>
      <c r="K7">
        <v>0.1</v>
      </c>
    </row>
    <row r="8" spans="1:11" x14ac:dyDescent="0.25">
      <c r="A8" t="s">
        <v>38</v>
      </c>
      <c r="B8" s="1">
        <v>45204</v>
      </c>
      <c r="C8" t="s">
        <v>12</v>
      </c>
      <c r="D8" t="s">
        <v>13</v>
      </c>
      <c r="E8">
        <v>1500</v>
      </c>
      <c r="F8" t="s">
        <v>32</v>
      </c>
      <c r="G8" t="s">
        <v>24</v>
      </c>
      <c r="H8" t="s">
        <v>33</v>
      </c>
      <c r="I8" t="s">
        <v>34</v>
      </c>
      <c r="J8" t="s">
        <v>39</v>
      </c>
      <c r="K8">
        <v>0</v>
      </c>
    </row>
    <row r="9" spans="1:11" x14ac:dyDescent="0.25">
      <c r="A9" t="s">
        <v>40</v>
      </c>
      <c r="B9" s="1">
        <v>45276</v>
      </c>
      <c r="C9" t="s">
        <v>20</v>
      </c>
      <c r="D9" t="s">
        <v>27</v>
      </c>
      <c r="E9">
        <v>5400</v>
      </c>
      <c r="F9" t="s">
        <v>14</v>
      </c>
      <c r="G9" t="s">
        <v>24</v>
      </c>
      <c r="H9" t="s">
        <v>33</v>
      </c>
      <c r="I9" t="s">
        <v>34</v>
      </c>
      <c r="J9" t="s">
        <v>41</v>
      </c>
      <c r="K9">
        <v>0.1</v>
      </c>
    </row>
    <row r="10" spans="1:11" x14ac:dyDescent="0.25">
      <c r="A10" t="s">
        <v>42</v>
      </c>
      <c r="B10" s="1">
        <v>45410</v>
      </c>
      <c r="C10" t="s">
        <v>31</v>
      </c>
      <c r="D10" t="s">
        <v>13</v>
      </c>
      <c r="E10">
        <v>1000</v>
      </c>
      <c r="F10" t="s">
        <v>21</v>
      </c>
      <c r="G10" t="s">
        <v>24</v>
      </c>
      <c r="H10" t="s">
        <v>33</v>
      </c>
      <c r="I10" t="s">
        <v>34</v>
      </c>
      <c r="J10" t="s">
        <v>18</v>
      </c>
      <c r="K10">
        <v>0</v>
      </c>
    </row>
    <row r="11" spans="1:11" x14ac:dyDescent="0.25">
      <c r="A11" t="s">
        <v>43</v>
      </c>
      <c r="B11" s="1">
        <v>44982</v>
      </c>
      <c r="C11" t="s">
        <v>12</v>
      </c>
      <c r="D11" t="s">
        <v>13</v>
      </c>
      <c r="E11">
        <v>1500</v>
      </c>
      <c r="F11" t="s">
        <v>32</v>
      </c>
      <c r="G11" t="s">
        <v>28</v>
      </c>
      <c r="H11" t="s">
        <v>16</v>
      </c>
      <c r="I11" t="s">
        <v>17</v>
      </c>
      <c r="J11" t="s">
        <v>44</v>
      </c>
      <c r="K11">
        <v>0</v>
      </c>
    </row>
    <row r="12" spans="1:11" x14ac:dyDescent="0.25">
      <c r="A12" t="s">
        <v>45</v>
      </c>
      <c r="B12" s="1">
        <v>45305</v>
      </c>
      <c r="C12" t="s">
        <v>12</v>
      </c>
      <c r="D12" t="s">
        <v>27</v>
      </c>
      <c r="E12">
        <v>16200</v>
      </c>
      <c r="F12" t="s">
        <v>14</v>
      </c>
      <c r="G12" t="s">
        <v>24</v>
      </c>
      <c r="H12" t="s">
        <v>33</v>
      </c>
      <c r="I12" t="s">
        <v>34</v>
      </c>
      <c r="J12" t="s">
        <v>37</v>
      </c>
      <c r="K12">
        <v>0.1</v>
      </c>
    </row>
    <row r="13" spans="1:11" x14ac:dyDescent="0.25">
      <c r="A13" t="s">
        <v>46</v>
      </c>
      <c r="B13" s="1">
        <v>45116</v>
      </c>
      <c r="C13" t="s">
        <v>31</v>
      </c>
      <c r="D13" t="s">
        <v>27</v>
      </c>
      <c r="E13">
        <v>10800</v>
      </c>
      <c r="F13" t="s">
        <v>14</v>
      </c>
      <c r="G13" t="s">
        <v>28</v>
      </c>
      <c r="H13" t="s">
        <v>16</v>
      </c>
      <c r="I13" t="s">
        <v>17</v>
      </c>
      <c r="J13" t="s">
        <v>22</v>
      </c>
      <c r="K13">
        <v>0.1</v>
      </c>
    </row>
    <row r="14" spans="1:11" x14ac:dyDescent="0.25">
      <c r="A14" t="s">
        <v>47</v>
      </c>
      <c r="B14" s="1">
        <v>45343</v>
      </c>
      <c r="C14" t="s">
        <v>20</v>
      </c>
      <c r="D14" t="s">
        <v>13</v>
      </c>
      <c r="E14">
        <v>500</v>
      </c>
      <c r="F14" t="s">
        <v>32</v>
      </c>
      <c r="G14" t="s">
        <v>15</v>
      </c>
      <c r="H14" t="s">
        <v>16</v>
      </c>
      <c r="I14" t="s">
        <v>17</v>
      </c>
      <c r="J14" t="s">
        <v>35</v>
      </c>
      <c r="K14">
        <v>0</v>
      </c>
    </row>
    <row r="15" spans="1:11" x14ac:dyDescent="0.25">
      <c r="A15" t="s">
        <v>48</v>
      </c>
      <c r="B15" s="1">
        <v>45399</v>
      </c>
      <c r="C15" t="s">
        <v>12</v>
      </c>
      <c r="D15" t="s">
        <v>13</v>
      </c>
      <c r="E15">
        <v>1500</v>
      </c>
      <c r="F15" t="s">
        <v>49</v>
      </c>
      <c r="G15" t="s">
        <v>24</v>
      </c>
      <c r="H15" t="s">
        <v>33</v>
      </c>
      <c r="I15" t="s">
        <v>34</v>
      </c>
      <c r="J15" t="s">
        <v>50</v>
      </c>
      <c r="K15">
        <v>0</v>
      </c>
    </row>
    <row r="16" spans="1:11" x14ac:dyDescent="0.25">
      <c r="A16" t="s">
        <v>51</v>
      </c>
      <c r="B16" s="1">
        <v>45037</v>
      </c>
      <c r="C16" t="s">
        <v>12</v>
      </c>
      <c r="D16" t="s">
        <v>13</v>
      </c>
      <c r="E16">
        <v>1500</v>
      </c>
      <c r="F16" t="s">
        <v>14</v>
      </c>
      <c r="G16" t="s">
        <v>15</v>
      </c>
      <c r="H16" t="s">
        <v>16</v>
      </c>
      <c r="I16" t="s">
        <v>17</v>
      </c>
      <c r="J16" t="s">
        <v>22</v>
      </c>
      <c r="K16">
        <v>0</v>
      </c>
    </row>
    <row r="17" spans="1:11" x14ac:dyDescent="0.25">
      <c r="A17" t="s">
        <v>52</v>
      </c>
      <c r="B17" s="1">
        <v>45253</v>
      </c>
      <c r="C17" t="s">
        <v>31</v>
      </c>
      <c r="D17" t="s">
        <v>13</v>
      </c>
      <c r="E17">
        <v>1000</v>
      </c>
      <c r="F17" t="s">
        <v>32</v>
      </c>
      <c r="G17" t="s">
        <v>24</v>
      </c>
      <c r="H17" t="s">
        <v>16</v>
      </c>
      <c r="I17" t="s">
        <v>17</v>
      </c>
      <c r="J17" t="s">
        <v>44</v>
      </c>
      <c r="K17">
        <v>0</v>
      </c>
    </row>
    <row r="18" spans="1:11" x14ac:dyDescent="0.25">
      <c r="A18" t="s">
        <v>53</v>
      </c>
      <c r="B18" s="1">
        <v>45432</v>
      </c>
      <c r="C18" t="s">
        <v>31</v>
      </c>
      <c r="D18" t="s">
        <v>27</v>
      </c>
      <c r="E18">
        <v>10800</v>
      </c>
      <c r="F18" t="s">
        <v>21</v>
      </c>
      <c r="G18" t="s">
        <v>28</v>
      </c>
      <c r="H18" t="s">
        <v>33</v>
      </c>
      <c r="I18" t="s">
        <v>34</v>
      </c>
      <c r="J18" t="s">
        <v>22</v>
      </c>
      <c r="K18">
        <v>0.1</v>
      </c>
    </row>
    <row r="19" spans="1:11" x14ac:dyDescent="0.25">
      <c r="A19" t="s">
        <v>54</v>
      </c>
      <c r="B19" s="1">
        <v>45136</v>
      </c>
      <c r="C19" t="s">
        <v>20</v>
      </c>
      <c r="D19" t="s">
        <v>13</v>
      </c>
      <c r="E19">
        <v>500</v>
      </c>
      <c r="F19" t="s">
        <v>14</v>
      </c>
      <c r="G19" t="s">
        <v>28</v>
      </c>
      <c r="H19" t="s">
        <v>16</v>
      </c>
      <c r="I19" t="s">
        <v>17</v>
      </c>
      <c r="J19" t="s">
        <v>55</v>
      </c>
      <c r="K19">
        <v>0</v>
      </c>
    </row>
    <row r="20" spans="1:11" x14ac:dyDescent="0.25">
      <c r="A20" t="s">
        <v>56</v>
      </c>
      <c r="B20" s="1">
        <v>44935</v>
      </c>
      <c r="C20" t="s">
        <v>31</v>
      </c>
      <c r="D20" t="s">
        <v>13</v>
      </c>
      <c r="E20">
        <v>1000</v>
      </c>
      <c r="F20" t="s">
        <v>32</v>
      </c>
      <c r="G20" t="s">
        <v>28</v>
      </c>
      <c r="H20" t="s">
        <v>33</v>
      </c>
      <c r="I20" t="s">
        <v>34</v>
      </c>
      <c r="J20" t="s">
        <v>25</v>
      </c>
      <c r="K20">
        <v>0</v>
      </c>
    </row>
    <row r="21" spans="1:11" x14ac:dyDescent="0.25">
      <c r="A21" t="s">
        <v>57</v>
      </c>
      <c r="B21" s="1">
        <v>44952</v>
      </c>
      <c r="C21" t="s">
        <v>31</v>
      </c>
      <c r="D21" t="s">
        <v>13</v>
      </c>
      <c r="E21">
        <v>1000</v>
      </c>
      <c r="F21" t="s">
        <v>49</v>
      </c>
      <c r="G21" t="s">
        <v>28</v>
      </c>
      <c r="H21" t="s">
        <v>16</v>
      </c>
      <c r="I21" t="s">
        <v>17</v>
      </c>
      <c r="J21" t="s">
        <v>58</v>
      </c>
      <c r="K21">
        <v>0</v>
      </c>
    </row>
    <row r="22" spans="1:11" x14ac:dyDescent="0.25">
      <c r="A22" t="s">
        <v>59</v>
      </c>
      <c r="B22" s="1">
        <v>45320</v>
      </c>
      <c r="C22" t="s">
        <v>31</v>
      </c>
      <c r="D22" t="s">
        <v>27</v>
      </c>
      <c r="E22">
        <v>10800</v>
      </c>
      <c r="F22" t="s">
        <v>14</v>
      </c>
      <c r="G22" t="s">
        <v>15</v>
      </c>
      <c r="H22" t="s">
        <v>16</v>
      </c>
      <c r="I22" t="s">
        <v>17</v>
      </c>
      <c r="J22" t="s">
        <v>18</v>
      </c>
      <c r="K22">
        <v>0.1</v>
      </c>
    </row>
    <row r="23" spans="1:11" x14ac:dyDescent="0.25">
      <c r="A23" t="s">
        <v>60</v>
      </c>
      <c r="B23" s="1">
        <v>44984</v>
      </c>
      <c r="C23" t="s">
        <v>20</v>
      </c>
      <c r="D23" t="s">
        <v>27</v>
      </c>
      <c r="E23">
        <v>5400</v>
      </c>
      <c r="F23" t="s">
        <v>14</v>
      </c>
      <c r="G23" t="s">
        <v>24</v>
      </c>
      <c r="H23" t="s">
        <v>33</v>
      </c>
      <c r="I23" t="s">
        <v>34</v>
      </c>
      <c r="J23" t="s">
        <v>18</v>
      </c>
      <c r="K23">
        <v>0.1</v>
      </c>
    </row>
    <row r="24" spans="1:11" x14ac:dyDescent="0.25">
      <c r="A24" t="s">
        <v>61</v>
      </c>
      <c r="B24" s="1">
        <v>45120</v>
      </c>
      <c r="C24" t="s">
        <v>31</v>
      </c>
      <c r="D24" t="s">
        <v>27</v>
      </c>
      <c r="E24">
        <v>10800</v>
      </c>
      <c r="F24" t="s">
        <v>14</v>
      </c>
      <c r="G24" t="s">
        <v>28</v>
      </c>
      <c r="H24" t="s">
        <v>33</v>
      </c>
      <c r="I24" t="s">
        <v>34</v>
      </c>
      <c r="J24" t="s">
        <v>22</v>
      </c>
      <c r="K24">
        <v>0.1</v>
      </c>
    </row>
    <row r="25" spans="1:11" x14ac:dyDescent="0.25">
      <c r="A25" t="s">
        <v>62</v>
      </c>
      <c r="B25" s="1">
        <v>45627</v>
      </c>
      <c r="C25" t="s">
        <v>12</v>
      </c>
      <c r="D25" t="s">
        <v>13</v>
      </c>
      <c r="E25">
        <v>1500</v>
      </c>
      <c r="F25" t="s">
        <v>49</v>
      </c>
      <c r="G25" t="s">
        <v>28</v>
      </c>
      <c r="H25" t="s">
        <v>16</v>
      </c>
      <c r="I25" t="s">
        <v>17</v>
      </c>
      <c r="J25" t="s">
        <v>58</v>
      </c>
      <c r="K25">
        <v>0</v>
      </c>
    </row>
    <row r="26" spans="1:11" x14ac:dyDescent="0.25">
      <c r="A26" t="s">
        <v>63</v>
      </c>
      <c r="B26" s="1">
        <v>45442</v>
      </c>
      <c r="C26" t="s">
        <v>12</v>
      </c>
      <c r="D26" t="s">
        <v>13</v>
      </c>
      <c r="E26">
        <v>1500</v>
      </c>
      <c r="F26" t="s">
        <v>14</v>
      </c>
      <c r="G26" t="s">
        <v>15</v>
      </c>
      <c r="H26" t="s">
        <v>16</v>
      </c>
      <c r="I26" t="s">
        <v>17</v>
      </c>
      <c r="J26" t="s">
        <v>55</v>
      </c>
      <c r="K26">
        <v>0</v>
      </c>
    </row>
    <row r="27" spans="1:11" x14ac:dyDescent="0.25">
      <c r="A27" t="s">
        <v>64</v>
      </c>
      <c r="B27" s="1">
        <v>45609</v>
      </c>
      <c r="C27" t="s">
        <v>12</v>
      </c>
      <c r="D27" t="s">
        <v>27</v>
      </c>
      <c r="E27">
        <v>16200</v>
      </c>
      <c r="F27" t="s">
        <v>14</v>
      </c>
      <c r="G27" t="s">
        <v>24</v>
      </c>
      <c r="H27" t="s">
        <v>33</v>
      </c>
      <c r="I27" t="s">
        <v>34</v>
      </c>
      <c r="J27" t="s">
        <v>41</v>
      </c>
      <c r="K27">
        <v>0.1</v>
      </c>
    </row>
    <row r="28" spans="1:11" x14ac:dyDescent="0.25">
      <c r="A28" t="s">
        <v>65</v>
      </c>
      <c r="B28" s="1">
        <v>44928</v>
      </c>
      <c r="C28" t="s">
        <v>20</v>
      </c>
      <c r="D28" t="s">
        <v>27</v>
      </c>
      <c r="E28">
        <v>5400</v>
      </c>
      <c r="F28" t="s">
        <v>32</v>
      </c>
      <c r="G28" t="s">
        <v>28</v>
      </c>
      <c r="H28" t="s">
        <v>33</v>
      </c>
      <c r="I28" t="s">
        <v>34</v>
      </c>
      <c r="J28" t="s">
        <v>66</v>
      </c>
      <c r="K28">
        <v>0.1</v>
      </c>
    </row>
    <row r="29" spans="1:11" x14ac:dyDescent="0.25">
      <c r="A29" t="s">
        <v>67</v>
      </c>
      <c r="B29" s="1">
        <v>45215</v>
      </c>
      <c r="C29" t="s">
        <v>20</v>
      </c>
      <c r="D29" t="s">
        <v>27</v>
      </c>
      <c r="E29">
        <v>5400</v>
      </c>
      <c r="F29" t="s">
        <v>21</v>
      </c>
      <c r="G29" t="s">
        <v>24</v>
      </c>
      <c r="H29" t="s">
        <v>33</v>
      </c>
      <c r="I29" t="s">
        <v>34</v>
      </c>
      <c r="J29" t="s">
        <v>22</v>
      </c>
      <c r="K29">
        <v>0.1</v>
      </c>
    </row>
    <row r="30" spans="1:11" x14ac:dyDescent="0.25">
      <c r="A30" t="s">
        <v>68</v>
      </c>
      <c r="B30" s="1">
        <v>45577</v>
      </c>
      <c r="C30" t="s">
        <v>31</v>
      </c>
      <c r="D30" t="s">
        <v>13</v>
      </c>
      <c r="E30">
        <v>1000</v>
      </c>
      <c r="F30" t="s">
        <v>21</v>
      </c>
      <c r="G30" t="s">
        <v>15</v>
      </c>
      <c r="H30" t="s">
        <v>16</v>
      </c>
      <c r="I30" t="s">
        <v>17</v>
      </c>
      <c r="J30" t="s">
        <v>18</v>
      </c>
      <c r="K30">
        <v>0</v>
      </c>
    </row>
    <row r="31" spans="1:11" x14ac:dyDescent="0.25">
      <c r="A31" t="s">
        <v>69</v>
      </c>
      <c r="B31" s="1">
        <v>45600</v>
      </c>
      <c r="C31" t="s">
        <v>20</v>
      </c>
      <c r="D31" t="s">
        <v>27</v>
      </c>
      <c r="E31">
        <v>5400</v>
      </c>
      <c r="F31" t="s">
        <v>21</v>
      </c>
      <c r="G31" t="s">
        <v>28</v>
      </c>
      <c r="H31" t="s">
        <v>33</v>
      </c>
      <c r="I31" t="s">
        <v>34</v>
      </c>
      <c r="J31" t="s">
        <v>18</v>
      </c>
      <c r="K31">
        <v>0.1</v>
      </c>
    </row>
    <row r="32" spans="1:11" x14ac:dyDescent="0.25">
      <c r="A32" t="s">
        <v>70</v>
      </c>
      <c r="B32" s="1">
        <v>45227</v>
      </c>
      <c r="C32" t="s">
        <v>31</v>
      </c>
      <c r="D32" t="s">
        <v>27</v>
      </c>
      <c r="E32">
        <v>10800</v>
      </c>
      <c r="F32" t="s">
        <v>32</v>
      </c>
      <c r="G32" t="s">
        <v>24</v>
      </c>
      <c r="H32" t="s">
        <v>33</v>
      </c>
      <c r="I32" t="s">
        <v>34</v>
      </c>
      <c r="J32" t="s">
        <v>44</v>
      </c>
      <c r="K32">
        <v>0.1</v>
      </c>
    </row>
    <row r="33" spans="1:11" x14ac:dyDescent="0.25">
      <c r="A33" t="s">
        <v>71</v>
      </c>
      <c r="B33" s="1">
        <v>45002</v>
      </c>
      <c r="C33" t="s">
        <v>31</v>
      </c>
      <c r="D33" t="s">
        <v>27</v>
      </c>
      <c r="E33">
        <v>10800</v>
      </c>
      <c r="F33" t="s">
        <v>14</v>
      </c>
      <c r="G33" t="s">
        <v>28</v>
      </c>
      <c r="H33" t="s">
        <v>16</v>
      </c>
      <c r="I33" t="s">
        <v>17</v>
      </c>
      <c r="J33" t="s">
        <v>37</v>
      </c>
      <c r="K33">
        <v>0.1</v>
      </c>
    </row>
    <row r="34" spans="1:11" x14ac:dyDescent="0.25">
      <c r="A34" t="s">
        <v>72</v>
      </c>
      <c r="B34" s="1">
        <v>45132</v>
      </c>
      <c r="C34" t="s">
        <v>12</v>
      </c>
      <c r="D34" t="s">
        <v>27</v>
      </c>
      <c r="E34">
        <v>16200</v>
      </c>
      <c r="F34" t="s">
        <v>32</v>
      </c>
      <c r="G34" t="s">
        <v>28</v>
      </c>
      <c r="H34" t="s">
        <v>33</v>
      </c>
      <c r="I34" t="s">
        <v>34</v>
      </c>
      <c r="J34" t="s">
        <v>44</v>
      </c>
      <c r="K34">
        <v>0.1</v>
      </c>
    </row>
    <row r="35" spans="1:11" x14ac:dyDescent="0.25">
      <c r="A35" t="s">
        <v>73</v>
      </c>
      <c r="B35" s="1">
        <v>45033</v>
      </c>
      <c r="C35" t="s">
        <v>31</v>
      </c>
      <c r="D35" t="s">
        <v>13</v>
      </c>
      <c r="E35">
        <v>1000</v>
      </c>
      <c r="F35" t="s">
        <v>21</v>
      </c>
      <c r="G35" t="s">
        <v>24</v>
      </c>
      <c r="H35" t="s">
        <v>16</v>
      </c>
      <c r="I35" t="s">
        <v>17</v>
      </c>
      <c r="J35" t="s">
        <v>18</v>
      </c>
      <c r="K35">
        <v>0</v>
      </c>
    </row>
    <row r="36" spans="1:11" x14ac:dyDescent="0.25">
      <c r="A36" t="s">
        <v>74</v>
      </c>
      <c r="B36" s="1">
        <v>45611</v>
      </c>
      <c r="C36" t="s">
        <v>20</v>
      </c>
      <c r="D36" t="s">
        <v>13</v>
      </c>
      <c r="E36">
        <v>500</v>
      </c>
      <c r="F36" t="s">
        <v>49</v>
      </c>
      <c r="G36" t="s">
        <v>28</v>
      </c>
      <c r="H36" t="s">
        <v>33</v>
      </c>
      <c r="I36" t="s">
        <v>34</v>
      </c>
      <c r="J36" t="s">
        <v>22</v>
      </c>
      <c r="K36">
        <v>0</v>
      </c>
    </row>
    <row r="37" spans="1:11" x14ac:dyDescent="0.25">
      <c r="A37" t="s">
        <v>75</v>
      </c>
      <c r="B37" s="1">
        <v>45637</v>
      </c>
      <c r="C37" t="s">
        <v>20</v>
      </c>
      <c r="D37" t="s">
        <v>27</v>
      </c>
      <c r="E37">
        <v>5400</v>
      </c>
      <c r="F37" t="s">
        <v>49</v>
      </c>
      <c r="G37" t="s">
        <v>28</v>
      </c>
      <c r="H37" t="s">
        <v>33</v>
      </c>
      <c r="I37" t="s">
        <v>34</v>
      </c>
      <c r="J37" t="s">
        <v>25</v>
      </c>
      <c r="K37">
        <v>0.1</v>
      </c>
    </row>
    <row r="38" spans="1:11" x14ac:dyDescent="0.25">
      <c r="A38" t="s">
        <v>76</v>
      </c>
      <c r="B38" s="1">
        <v>45579</v>
      </c>
      <c r="C38" t="s">
        <v>12</v>
      </c>
      <c r="D38" t="s">
        <v>13</v>
      </c>
      <c r="E38">
        <v>1500</v>
      </c>
      <c r="F38" t="s">
        <v>49</v>
      </c>
      <c r="G38" t="s">
        <v>24</v>
      </c>
      <c r="H38" t="s">
        <v>33</v>
      </c>
      <c r="I38" t="s">
        <v>34</v>
      </c>
      <c r="J38" t="s">
        <v>58</v>
      </c>
      <c r="K38">
        <v>0</v>
      </c>
    </row>
    <row r="39" spans="1:11" x14ac:dyDescent="0.25">
      <c r="A39" t="s">
        <v>77</v>
      </c>
      <c r="B39" s="1">
        <v>45212</v>
      </c>
      <c r="C39" t="s">
        <v>20</v>
      </c>
      <c r="D39" t="s">
        <v>13</v>
      </c>
      <c r="E39">
        <v>500</v>
      </c>
      <c r="F39" t="s">
        <v>21</v>
      </c>
      <c r="G39" t="s">
        <v>15</v>
      </c>
      <c r="H39" t="s">
        <v>16</v>
      </c>
      <c r="I39" t="s">
        <v>17</v>
      </c>
      <c r="J39" t="s">
        <v>29</v>
      </c>
      <c r="K39">
        <v>0</v>
      </c>
    </row>
    <row r="40" spans="1:11" x14ac:dyDescent="0.25">
      <c r="A40" t="s">
        <v>78</v>
      </c>
      <c r="B40" s="1">
        <v>45131</v>
      </c>
      <c r="C40" t="s">
        <v>12</v>
      </c>
      <c r="D40" t="s">
        <v>27</v>
      </c>
      <c r="E40">
        <v>16200</v>
      </c>
      <c r="F40" t="s">
        <v>49</v>
      </c>
      <c r="G40" t="s">
        <v>24</v>
      </c>
      <c r="H40" t="s">
        <v>16</v>
      </c>
      <c r="I40" t="s">
        <v>17</v>
      </c>
      <c r="J40" t="s">
        <v>25</v>
      </c>
      <c r="K40">
        <v>0.1</v>
      </c>
    </row>
    <row r="41" spans="1:11" x14ac:dyDescent="0.25">
      <c r="A41" t="s">
        <v>79</v>
      </c>
      <c r="B41" s="1">
        <v>45618</v>
      </c>
      <c r="C41" t="s">
        <v>31</v>
      </c>
      <c r="D41" t="s">
        <v>13</v>
      </c>
      <c r="E41">
        <v>1000</v>
      </c>
      <c r="F41" t="s">
        <v>32</v>
      </c>
      <c r="G41" t="s">
        <v>28</v>
      </c>
      <c r="H41" t="s">
        <v>33</v>
      </c>
      <c r="I41" t="s">
        <v>34</v>
      </c>
      <c r="J41" t="s">
        <v>25</v>
      </c>
      <c r="K41">
        <v>0</v>
      </c>
    </row>
    <row r="42" spans="1:11" x14ac:dyDescent="0.25">
      <c r="A42" t="s">
        <v>80</v>
      </c>
      <c r="B42" s="1">
        <v>45467</v>
      </c>
      <c r="C42" t="s">
        <v>31</v>
      </c>
      <c r="D42" t="s">
        <v>13</v>
      </c>
      <c r="E42">
        <v>1000</v>
      </c>
      <c r="F42" t="s">
        <v>32</v>
      </c>
      <c r="G42" t="s">
        <v>15</v>
      </c>
      <c r="H42" t="s">
        <v>16</v>
      </c>
      <c r="I42" t="s">
        <v>17</v>
      </c>
      <c r="J42" t="s">
        <v>25</v>
      </c>
      <c r="K42">
        <v>0</v>
      </c>
    </row>
    <row r="43" spans="1:11" x14ac:dyDescent="0.25">
      <c r="A43" t="s">
        <v>81</v>
      </c>
      <c r="B43" s="1">
        <v>45575</v>
      </c>
      <c r="C43" t="s">
        <v>31</v>
      </c>
      <c r="D43" t="s">
        <v>27</v>
      </c>
      <c r="E43">
        <v>10800</v>
      </c>
      <c r="F43" t="s">
        <v>49</v>
      </c>
      <c r="G43" t="s">
        <v>24</v>
      </c>
      <c r="H43" t="s">
        <v>33</v>
      </c>
      <c r="I43" t="s">
        <v>34</v>
      </c>
      <c r="J43" t="s">
        <v>22</v>
      </c>
      <c r="K43">
        <v>0.1</v>
      </c>
    </row>
    <row r="44" spans="1:11" x14ac:dyDescent="0.25">
      <c r="A44" t="s">
        <v>82</v>
      </c>
      <c r="B44" s="1">
        <v>45399</v>
      </c>
      <c r="C44" t="s">
        <v>12</v>
      </c>
      <c r="D44" t="s">
        <v>27</v>
      </c>
      <c r="E44">
        <v>16200</v>
      </c>
      <c r="F44" t="s">
        <v>49</v>
      </c>
      <c r="G44" t="s">
        <v>28</v>
      </c>
      <c r="H44" t="s">
        <v>33</v>
      </c>
      <c r="I44" t="s">
        <v>34</v>
      </c>
      <c r="J44" t="s">
        <v>50</v>
      </c>
      <c r="K44">
        <v>0.1</v>
      </c>
    </row>
    <row r="45" spans="1:11" x14ac:dyDescent="0.25">
      <c r="A45" t="s">
        <v>83</v>
      </c>
      <c r="B45" s="1">
        <v>45651</v>
      </c>
      <c r="C45" t="s">
        <v>31</v>
      </c>
      <c r="D45" t="s">
        <v>27</v>
      </c>
      <c r="E45">
        <v>10800</v>
      </c>
      <c r="F45" t="s">
        <v>21</v>
      </c>
      <c r="G45" t="s">
        <v>28</v>
      </c>
      <c r="H45" t="s">
        <v>33</v>
      </c>
      <c r="I45" t="s">
        <v>34</v>
      </c>
      <c r="J45" t="s">
        <v>25</v>
      </c>
      <c r="K45">
        <v>0.1</v>
      </c>
    </row>
    <row r="46" spans="1:11" x14ac:dyDescent="0.25">
      <c r="A46" t="s">
        <v>84</v>
      </c>
      <c r="B46" s="1">
        <v>45522</v>
      </c>
      <c r="C46" t="s">
        <v>12</v>
      </c>
      <c r="D46" t="s">
        <v>13</v>
      </c>
      <c r="E46">
        <v>1500</v>
      </c>
      <c r="F46" t="s">
        <v>32</v>
      </c>
      <c r="G46" t="s">
        <v>24</v>
      </c>
      <c r="H46" t="s">
        <v>33</v>
      </c>
      <c r="I46" t="s">
        <v>34</v>
      </c>
      <c r="J46" t="s">
        <v>25</v>
      </c>
      <c r="K46">
        <v>0</v>
      </c>
    </row>
    <row r="47" spans="1:11" x14ac:dyDescent="0.25">
      <c r="A47" t="s">
        <v>85</v>
      </c>
      <c r="B47" s="1">
        <v>45639</v>
      </c>
      <c r="C47" t="s">
        <v>12</v>
      </c>
      <c r="D47" t="s">
        <v>27</v>
      </c>
      <c r="E47">
        <v>16200</v>
      </c>
      <c r="F47" t="s">
        <v>21</v>
      </c>
      <c r="G47" t="s">
        <v>28</v>
      </c>
      <c r="H47" t="s">
        <v>16</v>
      </c>
      <c r="I47" t="s">
        <v>17</v>
      </c>
      <c r="J47" t="s">
        <v>29</v>
      </c>
      <c r="K47">
        <v>0.1</v>
      </c>
    </row>
    <row r="48" spans="1:11" x14ac:dyDescent="0.25">
      <c r="A48" t="s">
        <v>86</v>
      </c>
      <c r="B48" s="1">
        <v>45375</v>
      </c>
      <c r="C48" t="s">
        <v>20</v>
      </c>
      <c r="D48" t="s">
        <v>13</v>
      </c>
      <c r="E48">
        <v>500</v>
      </c>
      <c r="F48" t="s">
        <v>14</v>
      </c>
      <c r="G48" t="s">
        <v>24</v>
      </c>
      <c r="H48" t="s">
        <v>16</v>
      </c>
      <c r="I48" t="s">
        <v>17</v>
      </c>
      <c r="J48" t="s">
        <v>41</v>
      </c>
      <c r="K48">
        <v>0</v>
      </c>
    </row>
    <row r="49" spans="1:11" x14ac:dyDescent="0.25">
      <c r="A49" t="s">
        <v>87</v>
      </c>
      <c r="B49" s="1">
        <v>45110</v>
      </c>
      <c r="C49" t="s">
        <v>12</v>
      </c>
      <c r="D49" t="s">
        <v>27</v>
      </c>
      <c r="E49">
        <v>16200</v>
      </c>
      <c r="F49" t="s">
        <v>14</v>
      </c>
      <c r="G49" t="s">
        <v>24</v>
      </c>
      <c r="H49" t="s">
        <v>33</v>
      </c>
      <c r="I49" t="s">
        <v>34</v>
      </c>
      <c r="J49" t="s">
        <v>18</v>
      </c>
      <c r="K49">
        <v>0.1</v>
      </c>
    </row>
    <row r="50" spans="1:11" x14ac:dyDescent="0.25">
      <c r="A50" t="s">
        <v>88</v>
      </c>
      <c r="B50" s="1">
        <v>45180</v>
      </c>
      <c r="C50" t="s">
        <v>20</v>
      </c>
      <c r="D50" t="s">
        <v>27</v>
      </c>
      <c r="E50">
        <v>5400</v>
      </c>
      <c r="F50" t="s">
        <v>49</v>
      </c>
      <c r="G50" t="s">
        <v>15</v>
      </c>
      <c r="H50" t="s">
        <v>16</v>
      </c>
      <c r="I50" t="s">
        <v>17</v>
      </c>
      <c r="J50" t="s">
        <v>18</v>
      </c>
      <c r="K50">
        <v>0.1</v>
      </c>
    </row>
    <row r="51" spans="1:11" x14ac:dyDescent="0.25">
      <c r="A51" t="s">
        <v>89</v>
      </c>
      <c r="B51" s="1">
        <v>45603</v>
      </c>
      <c r="C51" t="s">
        <v>31</v>
      </c>
      <c r="D51" t="s">
        <v>27</v>
      </c>
      <c r="E51">
        <v>10800</v>
      </c>
      <c r="F51" t="s">
        <v>21</v>
      </c>
      <c r="G51" t="s">
        <v>24</v>
      </c>
      <c r="H51" t="s">
        <v>16</v>
      </c>
      <c r="I51" t="s">
        <v>17</v>
      </c>
      <c r="J51" t="s">
        <v>25</v>
      </c>
      <c r="K51">
        <v>0.1</v>
      </c>
    </row>
    <row r="52" spans="1:11" x14ac:dyDescent="0.25">
      <c r="A52" t="s">
        <v>90</v>
      </c>
      <c r="B52" s="1">
        <v>44959</v>
      </c>
      <c r="C52" t="s">
        <v>12</v>
      </c>
      <c r="D52" t="s">
        <v>13</v>
      </c>
      <c r="E52">
        <v>1500</v>
      </c>
      <c r="F52" t="s">
        <v>49</v>
      </c>
      <c r="G52" t="s">
        <v>28</v>
      </c>
      <c r="H52" t="s">
        <v>33</v>
      </c>
      <c r="I52" t="s">
        <v>34</v>
      </c>
      <c r="J52" t="s">
        <v>50</v>
      </c>
      <c r="K52">
        <v>0</v>
      </c>
    </row>
    <row r="53" spans="1:11" x14ac:dyDescent="0.25">
      <c r="A53" t="s">
        <v>91</v>
      </c>
      <c r="B53" s="1">
        <v>45342</v>
      </c>
      <c r="C53" t="s">
        <v>20</v>
      </c>
      <c r="D53" t="s">
        <v>27</v>
      </c>
      <c r="E53">
        <v>5400</v>
      </c>
      <c r="F53" t="s">
        <v>32</v>
      </c>
      <c r="G53" t="s">
        <v>24</v>
      </c>
      <c r="H53" t="s">
        <v>33</v>
      </c>
      <c r="I53" t="s">
        <v>34</v>
      </c>
      <c r="J53" t="s">
        <v>35</v>
      </c>
      <c r="K53">
        <v>0.1</v>
      </c>
    </row>
    <row r="54" spans="1:11" x14ac:dyDescent="0.25">
      <c r="A54" t="s">
        <v>92</v>
      </c>
      <c r="B54" s="1">
        <v>44975</v>
      </c>
      <c r="C54" t="s">
        <v>20</v>
      </c>
      <c r="D54" t="s">
        <v>13</v>
      </c>
      <c r="E54">
        <v>500</v>
      </c>
      <c r="F54" t="s">
        <v>21</v>
      </c>
      <c r="G54" t="s">
        <v>24</v>
      </c>
      <c r="H54" t="s">
        <v>16</v>
      </c>
      <c r="I54" t="s">
        <v>17</v>
      </c>
      <c r="J54" t="s">
        <v>22</v>
      </c>
      <c r="K54">
        <v>0</v>
      </c>
    </row>
    <row r="55" spans="1:11" x14ac:dyDescent="0.25">
      <c r="A55" t="s">
        <v>93</v>
      </c>
      <c r="B55" s="1">
        <v>45260</v>
      </c>
      <c r="C55" t="s">
        <v>12</v>
      </c>
      <c r="D55" t="s">
        <v>27</v>
      </c>
      <c r="E55">
        <v>16200</v>
      </c>
      <c r="F55" t="s">
        <v>21</v>
      </c>
      <c r="G55" t="s">
        <v>24</v>
      </c>
      <c r="H55" t="s">
        <v>33</v>
      </c>
      <c r="I55" t="s">
        <v>34</v>
      </c>
      <c r="J55" t="s">
        <v>22</v>
      </c>
      <c r="K55">
        <v>0.1</v>
      </c>
    </row>
    <row r="56" spans="1:11" x14ac:dyDescent="0.25">
      <c r="A56" t="s">
        <v>94</v>
      </c>
      <c r="B56" s="1">
        <v>45067</v>
      </c>
      <c r="C56" t="s">
        <v>12</v>
      </c>
      <c r="D56" t="s">
        <v>27</v>
      </c>
      <c r="E56">
        <v>16200</v>
      </c>
      <c r="F56" t="s">
        <v>21</v>
      </c>
      <c r="G56" t="s">
        <v>28</v>
      </c>
      <c r="H56" t="s">
        <v>16</v>
      </c>
      <c r="I56" t="s">
        <v>17</v>
      </c>
      <c r="J56" t="s">
        <v>29</v>
      </c>
      <c r="K56">
        <v>0.1</v>
      </c>
    </row>
    <row r="57" spans="1:11" x14ac:dyDescent="0.25">
      <c r="A57" t="s">
        <v>95</v>
      </c>
      <c r="B57" s="1">
        <v>45252</v>
      </c>
      <c r="C57" t="s">
        <v>20</v>
      </c>
      <c r="D57" t="s">
        <v>27</v>
      </c>
      <c r="E57">
        <v>5400</v>
      </c>
      <c r="F57" t="s">
        <v>49</v>
      </c>
      <c r="G57" t="s">
        <v>28</v>
      </c>
      <c r="H57" t="s">
        <v>33</v>
      </c>
      <c r="I57" t="s">
        <v>34</v>
      </c>
      <c r="J57" t="s">
        <v>25</v>
      </c>
      <c r="K57">
        <v>0.1</v>
      </c>
    </row>
    <row r="58" spans="1:11" x14ac:dyDescent="0.25">
      <c r="A58" t="s">
        <v>96</v>
      </c>
      <c r="B58" s="1">
        <v>45314</v>
      </c>
      <c r="C58" t="s">
        <v>20</v>
      </c>
      <c r="D58" t="s">
        <v>27</v>
      </c>
      <c r="E58">
        <v>5400</v>
      </c>
      <c r="F58" t="s">
        <v>32</v>
      </c>
      <c r="G58" t="s">
        <v>24</v>
      </c>
      <c r="H58" t="s">
        <v>16</v>
      </c>
      <c r="I58" t="s">
        <v>17</v>
      </c>
      <c r="J58" t="s">
        <v>25</v>
      </c>
      <c r="K58">
        <v>0.1</v>
      </c>
    </row>
    <row r="59" spans="1:11" x14ac:dyDescent="0.25">
      <c r="A59" t="s">
        <v>97</v>
      </c>
      <c r="B59" s="1">
        <v>45216</v>
      </c>
      <c r="C59" t="s">
        <v>12</v>
      </c>
      <c r="D59" t="s">
        <v>27</v>
      </c>
      <c r="E59">
        <v>16200</v>
      </c>
      <c r="F59" t="s">
        <v>14</v>
      </c>
      <c r="G59" t="s">
        <v>24</v>
      </c>
      <c r="H59" t="s">
        <v>33</v>
      </c>
      <c r="I59" t="s">
        <v>34</v>
      </c>
      <c r="J59" t="s">
        <v>55</v>
      </c>
      <c r="K59">
        <v>0.1</v>
      </c>
    </row>
    <row r="60" spans="1:11" x14ac:dyDescent="0.25">
      <c r="A60" t="s">
        <v>98</v>
      </c>
      <c r="B60" s="1">
        <v>45219</v>
      </c>
      <c r="C60" t="s">
        <v>12</v>
      </c>
      <c r="D60" t="s">
        <v>13</v>
      </c>
      <c r="E60">
        <v>1500</v>
      </c>
      <c r="F60" t="s">
        <v>14</v>
      </c>
      <c r="G60" t="s">
        <v>28</v>
      </c>
      <c r="H60" t="s">
        <v>16</v>
      </c>
      <c r="I60" t="s">
        <v>17</v>
      </c>
      <c r="J60" t="s">
        <v>41</v>
      </c>
      <c r="K60">
        <v>0</v>
      </c>
    </row>
    <row r="61" spans="1:11" x14ac:dyDescent="0.25">
      <c r="A61" t="s">
        <v>99</v>
      </c>
      <c r="B61" s="1">
        <v>45605</v>
      </c>
      <c r="C61" t="s">
        <v>20</v>
      </c>
      <c r="D61" t="s">
        <v>13</v>
      </c>
      <c r="E61">
        <v>500</v>
      </c>
      <c r="F61" t="s">
        <v>21</v>
      </c>
      <c r="G61" t="s">
        <v>24</v>
      </c>
      <c r="H61" t="s">
        <v>33</v>
      </c>
      <c r="I61" t="s">
        <v>34</v>
      </c>
      <c r="J61" t="s">
        <v>25</v>
      </c>
      <c r="K61">
        <v>0</v>
      </c>
    </row>
    <row r="62" spans="1:11" x14ac:dyDescent="0.25">
      <c r="A62" t="s">
        <v>100</v>
      </c>
      <c r="B62" s="1">
        <v>45125</v>
      </c>
      <c r="C62" t="s">
        <v>12</v>
      </c>
      <c r="D62" t="s">
        <v>27</v>
      </c>
      <c r="E62">
        <v>16200</v>
      </c>
      <c r="F62" t="s">
        <v>21</v>
      </c>
      <c r="G62" t="s">
        <v>24</v>
      </c>
      <c r="H62" t="s">
        <v>16</v>
      </c>
      <c r="I62" t="s">
        <v>17</v>
      </c>
      <c r="J62" t="s">
        <v>29</v>
      </c>
      <c r="K62">
        <v>0.1</v>
      </c>
    </row>
    <row r="63" spans="1:11" x14ac:dyDescent="0.25">
      <c r="A63" t="s">
        <v>101</v>
      </c>
      <c r="B63" s="1">
        <v>45094</v>
      </c>
      <c r="C63" t="s">
        <v>12</v>
      </c>
      <c r="D63" t="s">
        <v>13</v>
      </c>
      <c r="E63">
        <v>1500</v>
      </c>
      <c r="F63" t="s">
        <v>21</v>
      </c>
      <c r="G63" t="s">
        <v>28</v>
      </c>
      <c r="H63" t="s">
        <v>33</v>
      </c>
      <c r="I63" t="s">
        <v>34</v>
      </c>
      <c r="J63" t="s">
        <v>18</v>
      </c>
      <c r="K63">
        <v>0</v>
      </c>
    </row>
    <row r="64" spans="1:11" x14ac:dyDescent="0.25">
      <c r="A64" t="s">
        <v>102</v>
      </c>
      <c r="B64" s="1">
        <v>45417</v>
      </c>
      <c r="C64" t="s">
        <v>31</v>
      </c>
      <c r="D64" t="s">
        <v>27</v>
      </c>
      <c r="E64">
        <v>10800</v>
      </c>
      <c r="F64" t="s">
        <v>21</v>
      </c>
      <c r="G64" t="s">
        <v>24</v>
      </c>
      <c r="H64" t="s">
        <v>33</v>
      </c>
      <c r="I64" t="s">
        <v>34</v>
      </c>
      <c r="J64" t="s">
        <v>18</v>
      </c>
      <c r="K64">
        <v>0.1</v>
      </c>
    </row>
    <row r="65" spans="1:11" x14ac:dyDescent="0.25">
      <c r="A65" t="s">
        <v>103</v>
      </c>
      <c r="B65" s="1">
        <v>45017</v>
      </c>
      <c r="C65" t="s">
        <v>12</v>
      </c>
      <c r="D65" t="s">
        <v>27</v>
      </c>
      <c r="E65">
        <v>16200</v>
      </c>
      <c r="F65" t="s">
        <v>21</v>
      </c>
      <c r="G65" t="s">
        <v>24</v>
      </c>
      <c r="H65" t="s">
        <v>16</v>
      </c>
      <c r="I65" t="s">
        <v>17</v>
      </c>
      <c r="J65" t="s">
        <v>22</v>
      </c>
      <c r="K65">
        <v>0.1</v>
      </c>
    </row>
    <row r="66" spans="1:11" x14ac:dyDescent="0.25">
      <c r="A66" t="s">
        <v>104</v>
      </c>
      <c r="B66" s="1">
        <v>45272</v>
      </c>
      <c r="C66" t="s">
        <v>12</v>
      </c>
      <c r="D66" t="s">
        <v>27</v>
      </c>
      <c r="E66">
        <v>16200</v>
      </c>
      <c r="F66" t="s">
        <v>14</v>
      </c>
      <c r="G66" t="s">
        <v>24</v>
      </c>
      <c r="H66" t="s">
        <v>33</v>
      </c>
      <c r="I66" t="s">
        <v>34</v>
      </c>
      <c r="J66" t="s">
        <v>22</v>
      </c>
      <c r="K66">
        <v>0.1</v>
      </c>
    </row>
    <row r="67" spans="1:11" x14ac:dyDescent="0.25">
      <c r="A67" t="s">
        <v>105</v>
      </c>
      <c r="B67" s="1">
        <v>45438</v>
      </c>
      <c r="C67" t="s">
        <v>20</v>
      </c>
      <c r="D67" t="s">
        <v>27</v>
      </c>
      <c r="E67">
        <v>5400</v>
      </c>
      <c r="F67" t="s">
        <v>49</v>
      </c>
      <c r="G67" t="s">
        <v>24</v>
      </c>
      <c r="H67" t="s">
        <v>33</v>
      </c>
      <c r="I67" t="s">
        <v>34</v>
      </c>
      <c r="J67" t="s">
        <v>18</v>
      </c>
      <c r="K67">
        <v>0.1</v>
      </c>
    </row>
    <row r="68" spans="1:11" x14ac:dyDescent="0.25">
      <c r="A68" t="s">
        <v>106</v>
      </c>
      <c r="B68" s="1">
        <v>45290</v>
      </c>
      <c r="C68" t="s">
        <v>12</v>
      </c>
      <c r="D68" t="s">
        <v>27</v>
      </c>
      <c r="E68">
        <v>16200</v>
      </c>
      <c r="F68" t="s">
        <v>21</v>
      </c>
      <c r="G68" t="s">
        <v>28</v>
      </c>
      <c r="H68" t="s">
        <v>33</v>
      </c>
      <c r="I68" t="s">
        <v>34</v>
      </c>
      <c r="J68" t="s">
        <v>29</v>
      </c>
      <c r="K68">
        <v>0.1</v>
      </c>
    </row>
    <row r="69" spans="1:11" x14ac:dyDescent="0.25">
      <c r="A69" t="s">
        <v>107</v>
      </c>
      <c r="B69" s="1">
        <v>45376</v>
      </c>
      <c r="C69" t="s">
        <v>12</v>
      </c>
      <c r="D69" t="s">
        <v>27</v>
      </c>
      <c r="E69">
        <v>16200</v>
      </c>
      <c r="F69" t="s">
        <v>14</v>
      </c>
      <c r="G69" t="s">
        <v>15</v>
      </c>
      <c r="H69" t="s">
        <v>16</v>
      </c>
      <c r="I69" t="s">
        <v>17</v>
      </c>
      <c r="J69" t="s">
        <v>18</v>
      </c>
      <c r="K69">
        <v>0.1</v>
      </c>
    </row>
    <row r="70" spans="1:11" x14ac:dyDescent="0.25">
      <c r="A70" t="s">
        <v>108</v>
      </c>
      <c r="B70" s="1">
        <v>45240</v>
      </c>
      <c r="C70" t="s">
        <v>12</v>
      </c>
      <c r="D70" t="s">
        <v>27</v>
      </c>
      <c r="E70">
        <v>16200</v>
      </c>
      <c r="F70" t="s">
        <v>21</v>
      </c>
      <c r="G70" t="s">
        <v>28</v>
      </c>
      <c r="H70" t="s">
        <v>33</v>
      </c>
      <c r="I70" t="s">
        <v>34</v>
      </c>
      <c r="J70" t="s">
        <v>25</v>
      </c>
      <c r="K70">
        <v>0.1</v>
      </c>
    </row>
    <row r="71" spans="1:11" x14ac:dyDescent="0.25">
      <c r="A71" t="s">
        <v>109</v>
      </c>
      <c r="B71" s="1">
        <v>45140</v>
      </c>
      <c r="C71" t="s">
        <v>20</v>
      </c>
      <c r="D71" t="s">
        <v>27</v>
      </c>
      <c r="E71">
        <v>5400</v>
      </c>
      <c r="F71" t="s">
        <v>21</v>
      </c>
      <c r="G71" t="s">
        <v>24</v>
      </c>
      <c r="H71" t="s">
        <v>16</v>
      </c>
      <c r="I71" t="s">
        <v>17</v>
      </c>
      <c r="J71" t="s">
        <v>29</v>
      </c>
      <c r="K71">
        <v>0.1</v>
      </c>
    </row>
    <row r="72" spans="1:11" x14ac:dyDescent="0.25">
      <c r="A72" t="s">
        <v>110</v>
      </c>
      <c r="B72" s="1">
        <v>45460</v>
      </c>
      <c r="C72" t="s">
        <v>31</v>
      </c>
      <c r="D72" t="s">
        <v>13</v>
      </c>
      <c r="E72">
        <v>1000</v>
      </c>
      <c r="F72" t="s">
        <v>49</v>
      </c>
      <c r="G72" t="s">
        <v>24</v>
      </c>
      <c r="H72" t="s">
        <v>16</v>
      </c>
      <c r="I72" t="s">
        <v>17</v>
      </c>
      <c r="J72" t="s">
        <v>58</v>
      </c>
      <c r="K72">
        <v>0</v>
      </c>
    </row>
    <row r="73" spans="1:11" x14ac:dyDescent="0.25">
      <c r="A73" t="s">
        <v>111</v>
      </c>
      <c r="B73" s="1">
        <v>45380</v>
      </c>
      <c r="C73" t="s">
        <v>12</v>
      </c>
      <c r="D73" t="s">
        <v>27</v>
      </c>
      <c r="E73">
        <v>16200</v>
      </c>
      <c r="F73" t="s">
        <v>32</v>
      </c>
      <c r="G73" t="s">
        <v>15</v>
      </c>
      <c r="H73" t="s">
        <v>16</v>
      </c>
      <c r="I73" t="s">
        <v>17</v>
      </c>
      <c r="J73" t="s">
        <v>39</v>
      </c>
      <c r="K73">
        <v>0.1</v>
      </c>
    </row>
    <row r="74" spans="1:11" x14ac:dyDescent="0.25">
      <c r="A74" t="s">
        <v>112</v>
      </c>
      <c r="B74" s="1">
        <v>45302</v>
      </c>
      <c r="C74" t="s">
        <v>12</v>
      </c>
      <c r="D74" t="s">
        <v>13</v>
      </c>
      <c r="E74">
        <v>1500</v>
      </c>
      <c r="F74" t="s">
        <v>32</v>
      </c>
      <c r="G74" t="s">
        <v>28</v>
      </c>
      <c r="H74" t="s">
        <v>16</v>
      </c>
      <c r="I74" t="s">
        <v>17</v>
      </c>
      <c r="J74" t="s">
        <v>44</v>
      </c>
      <c r="K74">
        <v>0</v>
      </c>
    </row>
    <row r="75" spans="1:11" x14ac:dyDescent="0.25">
      <c r="A75" t="s">
        <v>113</v>
      </c>
      <c r="B75" s="1">
        <v>45381</v>
      </c>
      <c r="C75" t="s">
        <v>12</v>
      </c>
      <c r="D75" t="s">
        <v>27</v>
      </c>
      <c r="E75">
        <v>16200</v>
      </c>
      <c r="F75" t="s">
        <v>49</v>
      </c>
      <c r="G75" t="s">
        <v>28</v>
      </c>
      <c r="H75" t="s">
        <v>16</v>
      </c>
      <c r="I75" t="s">
        <v>17</v>
      </c>
      <c r="J75" t="s">
        <v>35</v>
      </c>
      <c r="K75">
        <v>0.1</v>
      </c>
    </row>
    <row r="76" spans="1:11" x14ac:dyDescent="0.25">
      <c r="A76" t="s">
        <v>114</v>
      </c>
      <c r="B76" s="1">
        <v>45535</v>
      </c>
      <c r="C76" t="s">
        <v>31</v>
      </c>
      <c r="D76" t="s">
        <v>13</v>
      </c>
      <c r="E76">
        <v>1000</v>
      </c>
      <c r="F76" t="s">
        <v>14</v>
      </c>
      <c r="G76" t="s">
        <v>28</v>
      </c>
      <c r="H76" t="s">
        <v>33</v>
      </c>
      <c r="I76" t="s">
        <v>34</v>
      </c>
      <c r="J76" t="s">
        <v>18</v>
      </c>
      <c r="K76">
        <v>0</v>
      </c>
    </row>
    <row r="77" spans="1:11" x14ac:dyDescent="0.25">
      <c r="A77" t="s">
        <v>115</v>
      </c>
      <c r="B77" s="1">
        <v>45381</v>
      </c>
      <c r="C77" t="s">
        <v>20</v>
      </c>
      <c r="D77" t="s">
        <v>13</v>
      </c>
      <c r="E77">
        <v>500</v>
      </c>
      <c r="F77" t="s">
        <v>32</v>
      </c>
      <c r="G77" t="s">
        <v>24</v>
      </c>
      <c r="H77" t="s">
        <v>33</v>
      </c>
      <c r="I77" t="s">
        <v>34</v>
      </c>
      <c r="J77" t="s">
        <v>25</v>
      </c>
      <c r="K77">
        <v>0</v>
      </c>
    </row>
    <row r="78" spans="1:11" x14ac:dyDescent="0.25">
      <c r="A78" t="s">
        <v>116</v>
      </c>
      <c r="B78" s="1">
        <v>45330</v>
      </c>
      <c r="C78" t="s">
        <v>20</v>
      </c>
      <c r="D78" t="s">
        <v>13</v>
      </c>
      <c r="E78">
        <v>500</v>
      </c>
      <c r="F78" t="s">
        <v>14</v>
      </c>
      <c r="G78" t="s">
        <v>28</v>
      </c>
      <c r="H78" t="s">
        <v>16</v>
      </c>
      <c r="I78" t="s">
        <v>17</v>
      </c>
      <c r="J78" t="s">
        <v>55</v>
      </c>
      <c r="K78">
        <v>0</v>
      </c>
    </row>
    <row r="79" spans="1:11" x14ac:dyDescent="0.25">
      <c r="A79" t="s">
        <v>117</v>
      </c>
      <c r="B79" s="1">
        <v>45619</v>
      </c>
      <c r="C79" t="s">
        <v>12</v>
      </c>
      <c r="D79" t="s">
        <v>27</v>
      </c>
      <c r="E79">
        <v>16200</v>
      </c>
      <c r="F79" t="s">
        <v>21</v>
      </c>
      <c r="G79" t="s">
        <v>28</v>
      </c>
      <c r="H79" t="s">
        <v>33</v>
      </c>
      <c r="I79" t="s">
        <v>34</v>
      </c>
      <c r="J79" t="s">
        <v>22</v>
      </c>
      <c r="K79">
        <v>0.1</v>
      </c>
    </row>
    <row r="80" spans="1:11" x14ac:dyDescent="0.25">
      <c r="A80" t="s">
        <v>118</v>
      </c>
      <c r="B80" s="1">
        <v>45068</v>
      </c>
      <c r="C80" t="s">
        <v>31</v>
      </c>
      <c r="D80" t="s">
        <v>27</v>
      </c>
      <c r="E80">
        <v>10800</v>
      </c>
      <c r="F80" t="s">
        <v>49</v>
      </c>
      <c r="G80" t="s">
        <v>28</v>
      </c>
      <c r="H80" t="s">
        <v>16</v>
      </c>
      <c r="I80" t="s">
        <v>17</v>
      </c>
      <c r="J80" t="s">
        <v>25</v>
      </c>
      <c r="K80">
        <v>0.1</v>
      </c>
    </row>
    <row r="81" spans="1:11" x14ac:dyDescent="0.25">
      <c r="A81" t="s">
        <v>119</v>
      </c>
      <c r="B81" s="1">
        <v>45617</v>
      </c>
      <c r="C81" t="s">
        <v>31</v>
      </c>
      <c r="D81" t="s">
        <v>27</v>
      </c>
      <c r="E81">
        <v>10800</v>
      </c>
      <c r="F81" t="s">
        <v>14</v>
      </c>
      <c r="G81" t="s">
        <v>24</v>
      </c>
      <c r="H81" t="s">
        <v>33</v>
      </c>
      <c r="I81" t="s">
        <v>34</v>
      </c>
      <c r="J81" t="s">
        <v>37</v>
      </c>
      <c r="K81">
        <v>0.1</v>
      </c>
    </row>
    <row r="82" spans="1:11" x14ac:dyDescent="0.25">
      <c r="A82" t="s">
        <v>120</v>
      </c>
      <c r="B82" s="1">
        <v>45249</v>
      </c>
      <c r="C82" t="s">
        <v>31</v>
      </c>
      <c r="D82" t="s">
        <v>27</v>
      </c>
      <c r="E82">
        <v>10800</v>
      </c>
      <c r="F82" t="s">
        <v>21</v>
      </c>
      <c r="G82" t="s">
        <v>28</v>
      </c>
      <c r="H82" t="s">
        <v>16</v>
      </c>
      <c r="I82" t="s">
        <v>17</v>
      </c>
      <c r="J82" t="s">
        <v>18</v>
      </c>
      <c r="K82">
        <v>0.1</v>
      </c>
    </row>
    <row r="83" spans="1:11" x14ac:dyDescent="0.25">
      <c r="A83" t="s">
        <v>121</v>
      </c>
      <c r="B83" s="1">
        <v>45231</v>
      </c>
      <c r="C83" t="s">
        <v>20</v>
      </c>
      <c r="D83" t="s">
        <v>13</v>
      </c>
      <c r="E83">
        <v>500</v>
      </c>
      <c r="F83" t="s">
        <v>14</v>
      </c>
      <c r="G83" t="s">
        <v>24</v>
      </c>
      <c r="H83" t="s">
        <v>33</v>
      </c>
      <c r="I83" t="s">
        <v>34</v>
      </c>
      <c r="J83" t="s">
        <v>37</v>
      </c>
      <c r="K83">
        <v>0</v>
      </c>
    </row>
    <row r="84" spans="1:11" x14ac:dyDescent="0.25">
      <c r="A84" t="s">
        <v>122</v>
      </c>
      <c r="B84" s="1">
        <v>45035</v>
      </c>
      <c r="C84" t="s">
        <v>12</v>
      </c>
      <c r="D84" t="s">
        <v>27</v>
      </c>
      <c r="E84">
        <v>16200</v>
      </c>
      <c r="F84" t="s">
        <v>21</v>
      </c>
      <c r="G84" t="s">
        <v>24</v>
      </c>
      <c r="H84" t="s">
        <v>33</v>
      </c>
      <c r="I84" t="s">
        <v>34</v>
      </c>
      <c r="J84" t="s">
        <v>29</v>
      </c>
      <c r="K84">
        <v>0.1</v>
      </c>
    </row>
    <row r="85" spans="1:11" x14ac:dyDescent="0.25">
      <c r="A85" t="s">
        <v>123</v>
      </c>
      <c r="B85" s="1">
        <v>45330</v>
      </c>
      <c r="C85" t="s">
        <v>12</v>
      </c>
      <c r="D85" t="s">
        <v>13</v>
      </c>
      <c r="E85">
        <v>1500</v>
      </c>
      <c r="F85" t="s">
        <v>14</v>
      </c>
      <c r="G85" t="s">
        <v>24</v>
      </c>
      <c r="H85" t="s">
        <v>33</v>
      </c>
      <c r="I85" t="s">
        <v>34</v>
      </c>
      <c r="J85" t="s">
        <v>55</v>
      </c>
      <c r="K85">
        <v>0</v>
      </c>
    </row>
    <row r="86" spans="1:11" x14ac:dyDescent="0.25">
      <c r="A86" t="s">
        <v>124</v>
      </c>
      <c r="B86" s="1">
        <v>45211</v>
      </c>
      <c r="C86" t="s">
        <v>31</v>
      </c>
      <c r="D86" t="s">
        <v>27</v>
      </c>
      <c r="E86">
        <v>10800</v>
      </c>
      <c r="F86" t="s">
        <v>49</v>
      </c>
      <c r="G86" t="s">
        <v>28</v>
      </c>
      <c r="H86" t="s">
        <v>16</v>
      </c>
      <c r="I86" t="s">
        <v>17</v>
      </c>
      <c r="J86" t="s">
        <v>25</v>
      </c>
      <c r="K86">
        <v>0.1</v>
      </c>
    </row>
    <row r="87" spans="1:11" x14ac:dyDescent="0.25">
      <c r="A87" t="s">
        <v>125</v>
      </c>
      <c r="B87" s="1">
        <v>45385</v>
      </c>
      <c r="C87" t="s">
        <v>31</v>
      </c>
      <c r="D87" t="s">
        <v>13</v>
      </c>
      <c r="E87">
        <v>1000</v>
      </c>
      <c r="F87" t="s">
        <v>49</v>
      </c>
      <c r="G87" t="s">
        <v>15</v>
      </c>
      <c r="H87" t="s">
        <v>16</v>
      </c>
      <c r="I87" t="s">
        <v>17</v>
      </c>
      <c r="J87" t="s">
        <v>35</v>
      </c>
      <c r="K87">
        <v>0</v>
      </c>
    </row>
    <row r="88" spans="1:11" x14ac:dyDescent="0.25">
      <c r="A88" t="s">
        <v>126</v>
      </c>
      <c r="B88" s="1">
        <v>45648</v>
      </c>
      <c r="C88" t="s">
        <v>20</v>
      </c>
      <c r="D88" t="s">
        <v>13</v>
      </c>
      <c r="E88">
        <v>500</v>
      </c>
      <c r="F88" t="s">
        <v>14</v>
      </c>
      <c r="G88" t="s">
        <v>28</v>
      </c>
      <c r="H88" t="s">
        <v>16</v>
      </c>
      <c r="I88" t="s">
        <v>17</v>
      </c>
      <c r="J88" t="s">
        <v>55</v>
      </c>
      <c r="K88">
        <v>0</v>
      </c>
    </row>
    <row r="89" spans="1:11" x14ac:dyDescent="0.25">
      <c r="A89" t="s">
        <v>127</v>
      </c>
      <c r="B89" s="1">
        <v>45104</v>
      </c>
      <c r="C89" t="s">
        <v>12</v>
      </c>
      <c r="D89" t="s">
        <v>13</v>
      </c>
      <c r="E89">
        <v>1500</v>
      </c>
      <c r="F89" t="s">
        <v>49</v>
      </c>
      <c r="G89" t="s">
        <v>15</v>
      </c>
      <c r="H89" t="s">
        <v>16</v>
      </c>
      <c r="I89" t="s">
        <v>17</v>
      </c>
      <c r="J89" t="s">
        <v>35</v>
      </c>
      <c r="K89">
        <v>0</v>
      </c>
    </row>
    <row r="90" spans="1:11" x14ac:dyDescent="0.25">
      <c r="A90" t="s">
        <v>128</v>
      </c>
      <c r="B90" s="1">
        <v>45370</v>
      </c>
      <c r="C90" t="s">
        <v>12</v>
      </c>
      <c r="D90" t="s">
        <v>27</v>
      </c>
      <c r="E90">
        <v>16200</v>
      </c>
      <c r="F90" t="s">
        <v>21</v>
      </c>
      <c r="G90" t="s">
        <v>24</v>
      </c>
      <c r="H90" t="s">
        <v>33</v>
      </c>
      <c r="I90" t="s">
        <v>34</v>
      </c>
      <c r="J90" t="s">
        <v>22</v>
      </c>
      <c r="K90">
        <v>0.1</v>
      </c>
    </row>
    <row r="91" spans="1:11" x14ac:dyDescent="0.25">
      <c r="A91" t="s">
        <v>129</v>
      </c>
      <c r="B91" s="1">
        <v>45518</v>
      </c>
      <c r="C91" t="s">
        <v>12</v>
      </c>
      <c r="D91" t="s">
        <v>27</v>
      </c>
      <c r="E91">
        <v>16200</v>
      </c>
      <c r="F91" t="s">
        <v>21</v>
      </c>
      <c r="G91" t="s">
        <v>15</v>
      </c>
      <c r="H91" t="s">
        <v>16</v>
      </c>
      <c r="I91" t="s">
        <v>17</v>
      </c>
      <c r="J91" t="s">
        <v>25</v>
      </c>
      <c r="K91">
        <v>0.1</v>
      </c>
    </row>
    <row r="92" spans="1:11" x14ac:dyDescent="0.25">
      <c r="A92" t="s">
        <v>130</v>
      </c>
      <c r="B92" s="1">
        <v>45324</v>
      </c>
      <c r="C92" t="s">
        <v>12</v>
      </c>
      <c r="D92" t="s">
        <v>13</v>
      </c>
      <c r="E92">
        <v>1500</v>
      </c>
      <c r="F92" t="s">
        <v>32</v>
      </c>
      <c r="G92" t="s">
        <v>24</v>
      </c>
      <c r="H92" t="s">
        <v>33</v>
      </c>
      <c r="I92" t="s">
        <v>34</v>
      </c>
      <c r="J92" t="s">
        <v>25</v>
      </c>
      <c r="K92">
        <v>0</v>
      </c>
    </row>
    <row r="93" spans="1:11" x14ac:dyDescent="0.25">
      <c r="A93" t="s">
        <v>131</v>
      </c>
      <c r="B93" s="1">
        <v>45553</v>
      </c>
      <c r="C93" t="s">
        <v>20</v>
      </c>
      <c r="D93" t="s">
        <v>13</v>
      </c>
      <c r="E93">
        <v>500</v>
      </c>
      <c r="F93" t="s">
        <v>14</v>
      </c>
      <c r="G93" t="s">
        <v>24</v>
      </c>
      <c r="H93" t="s">
        <v>33</v>
      </c>
      <c r="I93" t="s">
        <v>34</v>
      </c>
      <c r="J93" t="s">
        <v>37</v>
      </c>
      <c r="K93">
        <v>0</v>
      </c>
    </row>
    <row r="94" spans="1:11" x14ac:dyDescent="0.25">
      <c r="A94" t="s">
        <v>132</v>
      </c>
      <c r="B94" s="1">
        <v>45188</v>
      </c>
      <c r="C94" t="s">
        <v>12</v>
      </c>
      <c r="D94" t="s">
        <v>27</v>
      </c>
      <c r="E94">
        <v>16200</v>
      </c>
      <c r="F94" t="s">
        <v>14</v>
      </c>
      <c r="G94" t="s">
        <v>28</v>
      </c>
      <c r="H94" t="s">
        <v>33</v>
      </c>
      <c r="I94" t="s">
        <v>34</v>
      </c>
      <c r="J94" t="s">
        <v>22</v>
      </c>
      <c r="K94">
        <v>0.1</v>
      </c>
    </row>
    <row r="95" spans="1:11" x14ac:dyDescent="0.25">
      <c r="A95" t="s">
        <v>133</v>
      </c>
      <c r="B95" s="1">
        <v>45486</v>
      </c>
      <c r="C95" t="s">
        <v>20</v>
      </c>
      <c r="D95" t="s">
        <v>13</v>
      </c>
      <c r="E95">
        <v>500</v>
      </c>
      <c r="F95" t="s">
        <v>32</v>
      </c>
      <c r="G95" t="s">
        <v>28</v>
      </c>
      <c r="H95" t="s">
        <v>33</v>
      </c>
      <c r="I95" t="s">
        <v>34</v>
      </c>
      <c r="J95" t="s">
        <v>44</v>
      </c>
      <c r="K95">
        <v>0</v>
      </c>
    </row>
    <row r="96" spans="1:11" x14ac:dyDescent="0.25">
      <c r="A96" t="s">
        <v>134</v>
      </c>
      <c r="B96" s="1">
        <v>45189</v>
      </c>
      <c r="C96" t="s">
        <v>31</v>
      </c>
      <c r="D96" t="s">
        <v>27</v>
      </c>
      <c r="E96">
        <v>10800</v>
      </c>
      <c r="F96" t="s">
        <v>49</v>
      </c>
      <c r="G96" t="s">
        <v>28</v>
      </c>
      <c r="H96" t="s">
        <v>16</v>
      </c>
      <c r="I96" t="s">
        <v>17</v>
      </c>
      <c r="J96" t="s">
        <v>22</v>
      </c>
      <c r="K96">
        <v>0.1</v>
      </c>
    </row>
    <row r="97" spans="1:11" x14ac:dyDescent="0.25">
      <c r="A97" t="s">
        <v>135</v>
      </c>
      <c r="B97" s="1">
        <v>45020</v>
      </c>
      <c r="C97" t="s">
        <v>20</v>
      </c>
      <c r="D97" t="s">
        <v>13</v>
      </c>
      <c r="E97">
        <v>500</v>
      </c>
      <c r="F97" t="s">
        <v>14</v>
      </c>
      <c r="G97" t="s">
        <v>28</v>
      </c>
      <c r="H97" t="s">
        <v>33</v>
      </c>
      <c r="I97" t="s">
        <v>34</v>
      </c>
      <c r="J97" t="s">
        <v>55</v>
      </c>
      <c r="K97">
        <v>0</v>
      </c>
    </row>
    <row r="98" spans="1:11" x14ac:dyDescent="0.25">
      <c r="A98" t="s">
        <v>136</v>
      </c>
      <c r="B98" s="1">
        <v>45228</v>
      </c>
      <c r="C98" t="s">
        <v>31</v>
      </c>
      <c r="D98" t="s">
        <v>13</v>
      </c>
      <c r="E98">
        <v>1000</v>
      </c>
      <c r="F98" t="s">
        <v>49</v>
      </c>
      <c r="G98" t="s">
        <v>24</v>
      </c>
      <c r="H98" t="s">
        <v>33</v>
      </c>
      <c r="I98" t="s">
        <v>34</v>
      </c>
      <c r="J98" t="s">
        <v>50</v>
      </c>
      <c r="K98">
        <v>0</v>
      </c>
    </row>
    <row r="99" spans="1:11" x14ac:dyDescent="0.25">
      <c r="A99" t="s">
        <v>137</v>
      </c>
      <c r="B99" s="1">
        <v>45532</v>
      </c>
      <c r="C99" t="s">
        <v>31</v>
      </c>
      <c r="D99" t="s">
        <v>27</v>
      </c>
      <c r="E99">
        <v>10800</v>
      </c>
      <c r="F99" t="s">
        <v>14</v>
      </c>
      <c r="G99" t="s">
        <v>28</v>
      </c>
      <c r="H99" t="s">
        <v>33</v>
      </c>
      <c r="I99" t="s">
        <v>34</v>
      </c>
      <c r="J99" t="s">
        <v>55</v>
      </c>
      <c r="K99">
        <v>0.1</v>
      </c>
    </row>
    <row r="100" spans="1:11" x14ac:dyDescent="0.25">
      <c r="A100" t="s">
        <v>138</v>
      </c>
      <c r="B100" s="1">
        <v>45227</v>
      </c>
      <c r="C100" t="s">
        <v>12</v>
      </c>
      <c r="D100" t="s">
        <v>13</v>
      </c>
      <c r="E100">
        <v>1500</v>
      </c>
      <c r="F100" t="s">
        <v>21</v>
      </c>
      <c r="G100" t="s">
        <v>28</v>
      </c>
      <c r="H100" t="s">
        <v>16</v>
      </c>
      <c r="I100" t="s">
        <v>17</v>
      </c>
      <c r="J100" t="s">
        <v>18</v>
      </c>
      <c r="K100">
        <v>0</v>
      </c>
    </row>
    <row r="101" spans="1:11" x14ac:dyDescent="0.25">
      <c r="A101" t="s">
        <v>139</v>
      </c>
      <c r="B101" s="1">
        <v>45094</v>
      </c>
      <c r="C101" t="s">
        <v>20</v>
      </c>
      <c r="D101" t="s">
        <v>27</v>
      </c>
      <c r="E101">
        <v>5400</v>
      </c>
      <c r="F101" t="s">
        <v>32</v>
      </c>
      <c r="G101" t="s">
        <v>28</v>
      </c>
      <c r="H101" t="s">
        <v>16</v>
      </c>
      <c r="I101" t="s">
        <v>17</v>
      </c>
      <c r="J101" t="s">
        <v>25</v>
      </c>
      <c r="K101">
        <v>0.1</v>
      </c>
    </row>
    <row r="102" spans="1:11" x14ac:dyDescent="0.25">
      <c r="A102" t="s">
        <v>140</v>
      </c>
      <c r="B102" s="1">
        <v>45022</v>
      </c>
      <c r="C102" t="s">
        <v>31</v>
      </c>
      <c r="D102" t="s">
        <v>27</v>
      </c>
      <c r="E102">
        <v>10800</v>
      </c>
      <c r="F102" t="s">
        <v>32</v>
      </c>
      <c r="G102" t="s">
        <v>28</v>
      </c>
      <c r="H102" t="s">
        <v>16</v>
      </c>
      <c r="I102" t="s">
        <v>17</v>
      </c>
      <c r="J102" t="s">
        <v>25</v>
      </c>
      <c r="K102">
        <v>0.1</v>
      </c>
    </row>
    <row r="103" spans="1:11" x14ac:dyDescent="0.25">
      <c r="A103" t="s">
        <v>141</v>
      </c>
      <c r="B103" s="1">
        <v>44999</v>
      </c>
      <c r="C103" t="s">
        <v>12</v>
      </c>
      <c r="D103" t="s">
        <v>27</v>
      </c>
      <c r="E103">
        <v>16200</v>
      </c>
      <c r="F103" t="s">
        <v>32</v>
      </c>
      <c r="G103" t="s">
        <v>28</v>
      </c>
      <c r="H103" t="s">
        <v>16</v>
      </c>
      <c r="I103" t="s">
        <v>17</v>
      </c>
      <c r="J103" t="s">
        <v>66</v>
      </c>
      <c r="K103">
        <v>0.1</v>
      </c>
    </row>
    <row r="104" spans="1:11" x14ac:dyDescent="0.25">
      <c r="A104" t="s">
        <v>142</v>
      </c>
      <c r="B104" s="1">
        <v>45496</v>
      </c>
      <c r="C104" t="s">
        <v>12</v>
      </c>
      <c r="D104" t="s">
        <v>13</v>
      </c>
      <c r="E104">
        <v>1500</v>
      </c>
      <c r="F104" t="s">
        <v>21</v>
      </c>
      <c r="G104" t="s">
        <v>24</v>
      </c>
      <c r="H104" t="s">
        <v>33</v>
      </c>
      <c r="I104" t="s">
        <v>34</v>
      </c>
      <c r="J104" t="s">
        <v>22</v>
      </c>
      <c r="K104">
        <v>0</v>
      </c>
    </row>
    <row r="105" spans="1:11" x14ac:dyDescent="0.25">
      <c r="A105" t="s">
        <v>143</v>
      </c>
      <c r="B105" s="1">
        <v>44954</v>
      </c>
      <c r="C105" t="s">
        <v>31</v>
      </c>
      <c r="D105" t="s">
        <v>27</v>
      </c>
      <c r="E105">
        <v>10800</v>
      </c>
      <c r="F105" t="s">
        <v>21</v>
      </c>
      <c r="G105" t="s">
        <v>28</v>
      </c>
      <c r="H105" t="s">
        <v>16</v>
      </c>
      <c r="I105" t="s">
        <v>17</v>
      </c>
      <c r="J105" t="s">
        <v>18</v>
      </c>
      <c r="K105">
        <v>0.1</v>
      </c>
    </row>
    <row r="106" spans="1:11" x14ac:dyDescent="0.25">
      <c r="A106" t="s">
        <v>144</v>
      </c>
      <c r="B106" s="1">
        <v>45162</v>
      </c>
      <c r="C106" t="s">
        <v>12</v>
      </c>
      <c r="D106" t="s">
        <v>13</v>
      </c>
      <c r="E106">
        <v>1500</v>
      </c>
      <c r="F106" t="s">
        <v>49</v>
      </c>
      <c r="G106" t="s">
        <v>28</v>
      </c>
      <c r="H106" t="s">
        <v>16</v>
      </c>
      <c r="I106" t="s">
        <v>17</v>
      </c>
      <c r="J106" t="s">
        <v>18</v>
      </c>
      <c r="K106">
        <v>0</v>
      </c>
    </row>
    <row r="107" spans="1:11" x14ac:dyDescent="0.25">
      <c r="A107" t="s">
        <v>145</v>
      </c>
      <c r="B107" s="1">
        <v>45536</v>
      </c>
      <c r="C107" t="s">
        <v>20</v>
      </c>
      <c r="D107" t="s">
        <v>13</v>
      </c>
      <c r="E107">
        <v>500</v>
      </c>
      <c r="F107" t="s">
        <v>32</v>
      </c>
      <c r="G107" t="s">
        <v>24</v>
      </c>
      <c r="H107" t="s">
        <v>33</v>
      </c>
      <c r="I107" t="s">
        <v>34</v>
      </c>
      <c r="J107" t="s">
        <v>39</v>
      </c>
      <c r="K107">
        <v>0</v>
      </c>
    </row>
    <row r="108" spans="1:11" x14ac:dyDescent="0.25">
      <c r="A108" t="s">
        <v>146</v>
      </c>
      <c r="B108" s="1">
        <v>45473</v>
      </c>
      <c r="C108" t="s">
        <v>31</v>
      </c>
      <c r="D108" t="s">
        <v>13</v>
      </c>
      <c r="E108">
        <v>1000</v>
      </c>
      <c r="F108" t="s">
        <v>14</v>
      </c>
      <c r="G108" t="s">
        <v>24</v>
      </c>
      <c r="H108" t="s">
        <v>33</v>
      </c>
      <c r="I108" t="s">
        <v>34</v>
      </c>
      <c r="J108" t="s">
        <v>37</v>
      </c>
      <c r="K108">
        <v>0</v>
      </c>
    </row>
    <row r="109" spans="1:11" x14ac:dyDescent="0.25">
      <c r="A109" t="s">
        <v>147</v>
      </c>
      <c r="B109" s="1">
        <v>45011</v>
      </c>
      <c r="C109" t="s">
        <v>20</v>
      </c>
      <c r="D109" t="s">
        <v>13</v>
      </c>
      <c r="E109">
        <v>500</v>
      </c>
      <c r="F109" t="s">
        <v>32</v>
      </c>
      <c r="G109" t="s">
        <v>24</v>
      </c>
      <c r="H109" t="s">
        <v>33</v>
      </c>
      <c r="I109" t="s">
        <v>34</v>
      </c>
      <c r="J109" t="s">
        <v>25</v>
      </c>
      <c r="K109">
        <v>0</v>
      </c>
    </row>
    <row r="110" spans="1:11" x14ac:dyDescent="0.25">
      <c r="A110" t="s">
        <v>148</v>
      </c>
      <c r="B110" s="1">
        <v>44992</v>
      </c>
      <c r="C110" t="s">
        <v>31</v>
      </c>
      <c r="D110" t="s">
        <v>13</v>
      </c>
      <c r="E110">
        <v>1000</v>
      </c>
      <c r="F110" t="s">
        <v>49</v>
      </c>
      <c r="G110" t="s">
        <v>28</v>
      </c>
      <c r="H110" t="s">
        <v>33</v>
      </c>
      <c r="I110" t="s">
        <v>34</v>
      </c>
      <c r="J110" t="s">
        <v>22</v>
      </c>
      <c r="K110">
        <v>0</v>
      </c>
    </row>
    <row r="111" spans="1:11" x14ac:dyDescent="0.25">
      <c r="A111" t="s">
        <v>149</v>
      </c>
      <c r="B111" s="1">
        <v>45605</v>
      </c>
      <c r="C111" t="s">
        <v>20</v>
      </c>
      <c r="D111" t="s">
        <v>13</v>
      </c>
      <c r="E111">
        <v>500</v>
      </c>
      <c r="F111" t="s">
        <v>21</v>
      </c>
      <c r="G111" t="s">
        <v>24</v>
      </c>
      <c r="H111" t="s">
        <v>33</v>
      </c>
      <c r="I111" t="s">
        <v>34</v>
      </c>
      <c r="J111" t="s">
        <v>18</v>
      </c>
      <c r="K111">
        <v>0</v>
      </c>
    </row>
    <row r="112" spans="1:11" x14ac:dyDescent="0.25">
      <c r="A112" t="s">
        <v>150</v>
      </c>
      <c r="B112" s="1">
        <v>44969</v>
      </c>
      <c r="C112" t="s">
        <v>12</v>
      </c>
      <c r="D112" t="s">
        <v>13</v>
      </c>
      <c r="E112">
        <v>1500</v>
      </c>
      <c r="F112" t="s">
        <v>21</v>
      </c>
      <c r="G112" t="s">
        <v>24</v>
      </c>
      <c r="H112" t="s">
        <v>16</v>
      </c>
      <c r="I112" t="s">
        <v>17</v>
      </c>
      <c r="J112" t="s">
        <v>22</v>
      </c>
      <c r="K112">
        <v>0</v>
      </c>
    </row>
    <row r="113" spans="1:11" x14ac:dyDescent="0.25">
      <c r="A113" t="s">
        <v>151</v>
      </c>
      <c r="B113" s="1">
        <v>45369</v>
      </c>
      <c r="C113" t="s">
        <v>12</v>
      </c>
      <c r="D113" t="s">
        <v>27</v>
      </c>
      <c r="E113">
        <v>16200</v>
      </c>
      <c r="F113" t="s">
        <v>32</v>
      </c>
      <c r="G113" t="s">
        <v>15</v>
      </c>
      <c r="H113" t="s">
        <v>16</v>
      </c>
      <c r="I113" t="s">
        <v>17</v>
      </c>
      <c r="J113" t="s">
        <v>25</v>
      </c>
      <c r="K113">
        <v>0.1</v>
      </c>
    </row>
    <row r="114" spans="1:11" x14ac:dyDescent="0.25">
      <c r="A114" t="s">
        <v>152</v>
      </c>
      <c r="B114" s="1">
        <v>45199</v>
      </c>
      <c r="C114" t="s">
        <v>12</v>
      </c>
      <c r="D114" t="s">
        <v>13</v>
      </c>
      <c r="E114">
        <v>1500</v>
      </c>
      <c r="F114" t="s">
        <v>49</v>
      </c>
      <c r="G114" t="s">
        <v>15</v>
      </c>
      <c r="H114" t="s">
        <v>16</v>
      </c>
      <c r="I114" t="s">
        <v>17</v>
      </c>
      <c r="J114" t="s">
        <v>35</v>
      </c>
      <c r="K114">
        <v>0</v>
      </c>
    </row>
    <row r="115" spans="1:11" x14ac:dyDescent="0.25">
      <c r="A115" t="s">
        <v>153</v>
      </c>
      <c r="B115" s="1">
        <v>45406</v>
      </c>
      <c r="C115" t="s">
        <v>20</v>
      </c>
      <c r="D115" t="s">
        <v>27</v>
      </c>
      <c r="E115">
        <v>5400</v>
      </c>
      <c r="F115" t="s">
        <v>32</v>
      </c>
      <c r="G115" t="s">
        <v>24</v>
      </c>
      <c r="H115" t="s">
        <v>33</v>
      </c>
      <c r="I115" t="s">
        <v>34</v>
      </c>
      <c r="J115" t="s">
        <v>44</v>
      </c>
      <c r="K115">
        <v>0.1</v>
      </c>
    </row>
    <row r="116" spans="1:11" x14ac:dyDescent="0.25">
      <c r="A116" t="s">
        <v>154</v>
      </c>
      <c r="B116" s="1">
        <v>45059</v>
      </c>
      <c r="C116" t="s">
        <v>20</v>
      </c>
      <c r="D116" t="s">
        <v>27</v>
      </c>
      <c r="E116">
        <v>5400</v>
      </c>
      <c r="F116" t="s">
        <v>21</v>
      </c>
      <c r="G116" t="s">
        <v>28</v>
      </c>
      <c r="H116" t="s">
        <v>33</v>
      </c>
      <c r="I116" t="s">
        <v>34</v>
      </c>
      <c r="J116" t="s">
        <v>29</v>
      </c>
      <c r="K116">
        <v>0.1</v>
      </c>
    </row>
    <row r="117" spans="1:11" x14ac:dyDescent="0.25">
      <c r="A117" t="s">
        <v>155</v>
      </c>
      <c r="B117" s="1">
        <v>45325</v>
      </c>
      <c r="C117" t="s">
        <v>31</v>
      </c>
      <c r="D117" t="s">
        <v>13</v>
      </c>
      <c r="E117">
        <v>1000</v>
      </c>
      <c r="F117" t="s">
        <v>32</v>
      </c>
      <c r="G117" t="s">
        <v>24</v>
      </c>
      <c r="H117" t="s">
        <v>33</v>
      </c>
      <c r="I117" t="s">
        <v>34</v>
      </c>
      <c r="J117" t="s">
        <v>35</v>
      </c>
      <c r="K117">
        <v>0</v>
      </c>
    </row>
    <row r="118" spans="1:11" x14ac:dyDescent="0.25">
      <c r="A118" t="s">
        <v>156</v>
      </c>
      <c r="B118" s="1">
        <v>44957</v>
      </c>
      <c r="C118" t="s">
        <v>20</v>
      </c>
      <c r="D118" t="s">
        <v>27</v>
      </c>
      <c r="E118">
        <v>5400</v>
      </c>
      <c r="F118" t="s">
        <v>21</v>
      </c>
      <c r="G118" t="s">
        <v>24</v>
      </c>
      <c r="H118" t="s">
        <v>33</v>
      </c>
      <c r="I118" t="s">
        <v>34</v>
      </c>
      <c r="J118" t="s">
        <v>18</v>
      </c>
      <c r="K118">
        <v>0.1</v>
      </c>
    </row>
    <row r="119" spans="1:11" x14ac:dyDescent="0.25">
      <c r="A119" t="s">
        <v>157</v>
      </c>
      <c r="B119" s="1">
        <v>45376</v>
      </c>
      <c r="C119" t="s">
        <v>12</v>
      </c>
      <c r="D119" t="s">
        <v>27</v>
      </c>
      <c r="E119">
        <v>16200</v>
      </c>
      <c r="F119" t="s">
        <v>49</v>
      </c>
      <c r="G119" t="s">
        <v>15</v>
      </c>
      <c r="H119" t="s">
        <v>16</v>
      </c>
      <c r="I119" t="s">
        <v>17</v>
      </c>
      <c r="J119" t="s">
        <v>22</v>
      </c>
      <c r="K119">
        <v>0.1</v>
      </c>
    </row>
    <row r="120" spans="1:11" x14ac:dyDescent="0.25">
      <c r="A120" t="s">
        <v>158</v>
      </c>
      <c r="B120" s="1">
        <v>45018</v>
      </c>
      <c r="C120" t="s">
        <v>20</v>
      </c>
      <c r="D120" t="s">
        <v>27</v>
      </c>
      <c r="E120">
        <v>5400</v>
      </c>
      <c r="F120" t="s">
        <v>21</v>
      </c>
      <c r="G120" t="s">
        <v>24</v>
      </c>
      <c r="H120" t="s">
        <v>16</v>
      </c>
      <c r="I120" t="s">
        <v>17</v>
      </c>
      <c r="J120" t="s">
        <v>18</v>
      </c>
      <c r="K120">
        <v>0.1</v>
      </c>
    </row>
    <row r="121" spans="1:11" x14ac:dyDescent="0.25">
      <c r="A121" t="s">
        <v>159</v>
      </c>
      <c r="B121" s="1">
        <v>44953</v>
      </c>
      <c r="C121" t="s">
        <v>20</v>
      </c>
      <c r="D121" t="s">
        <v>27</v>
      </c>
      <c r="E121">
        <v>5400</v>
      </c>
      <c r="F121" t="s">
        <v>14</v>
      </c>
      <c r="G121" t="s">
        <v>28</v>
      </c>
      <c r="H121" t="s">
        <v>33</v>
      </c>
      <c r="I121" t="s">
        <v>34</v>
      </c>
      <c r="J121" t="s">
        <v>41</v>
      </c>
      <c r="K121">
        <v>0.1</v>
      </c>
    </row>
    <row r="122" spans="1:11" x14ac:dyDescent="0.25">
      <c r="A122" t="s">
        <v>160</v>
      </c>
      <c r="B122" s="1">
        <v>45152</v>
      </c>
      <c r="C122" t="s">
        <v>20</v>
      </c>
      <c r="D122" t="s">
        <v>13</v>
      </c>
      <c r="E122">
        <v>500</v>
      </c>
      <c r="F122" t="s">
        <v>49</v>
      </c>
      <c r="G122" t="s">
        <v>24</v>
      </c>
      <c r="H122" t="s">
        <v>33</v>
      </c>
      <c r="I122" t="s">
        <v>34</v>
      </c>
      <c r="J122" t="s">
        <v>50</v>
      </c>
      <c r="K122">
        <v>0</v>
      </c>
    </row>
    <row r="123" spans="1:11" x14ac:dyDescent="0.25">
      <c r="A123" t="s">
        <v>161</v>
      </c>
      <c r="B123" s="1">
        <v>45150</v>
      </c>
      <c r="C123" t="s">
        <v>12</v>
      </c>
      <c r="D123" t="s">
        <v>27</v>
      </c>
      <c r="E123">
        <v>16200</v>
      </c>
      <c r="F123" t="s">
        <v>32</v>
      </c>
      <c r="G123" t="s">
        <v>28</v>
      </c>
      <c r="H123" t="s">
        <v>33</v>
      </c>
      <c r="I123" t="s">
        <v>34</v>
      </c>
      <c r="J123" t="s">
        <v>66</v>
      </c>
      <c r="K123">
        <v>0.1</v>
      </c>
    </row>
    <row r="124" spans="1:11" x14ac:dyDescent="0.25">
      <c r="A124" t="s">
        <v>162</v>
      </c>
      <c r="B124" s="1">
        <v>45099</v>
      </c>
      <c r="C124" t="s">
        <v>20</v>
      </c>
      <c r="D124" t="s">
        <v>13</v>
      </c>
      <c r="E124">
        <v>500</v>
      </c>
      <c r="F124" t="s">
        <v>32</v>
      </c>
      <c r="G124" t="s">
        <v>28</v>
      </c>
      <c r="H124" t="s">
        <v>16</v>
      </c>
      <c r="I124" t="s">
        <v>17</v>
      </c>
      <c r="J124" t="s">
        <v>44</v>
      </c>
      <c r="K124">
        <v>0</v>
      </c>
    </row>
    <row r="125" spans="1:11" x14ac:dyDescent="0.25">
      <c r="A125" t="s">
        <v>163</v>
      </c>
      <c r="B125" s="1">
        <v>45242</v>
      </c>
      <c r="C125" t="s">
        <v>12</v>
      </c>
      <c r="D125" t="s">
        <v>27</v>
      </c>
      <c r="E125">
        <v>16200</v>
      </c>
      <c r="F125" t="s">
        <v>32</v>
      </c>
      <c r="G125" t="s">
        <v>28</v>
      </c>
      <c r="H125" t="s">
        <v>33</v>
      </c>
      <c r="I125" t="s">
        <v>34</v>
      </c>
      <c r="J125" t="s">
        <v>35</v>
      </c>
      <c r="K125">
        <v>0.1</v>
      </c>
    </row>
    <row r="126" spans="1:11" x14ac:dyDescent="0.25">
      <c r="A126" t="s">
        <v>164</v>
      </c>
      <c r="B126" s="1">
        <v>45463</v>
      </c>
      <c r="C126" t="s">
        <v>31</v>
      </c>
      <c r="D126" t="s">
        <v>27</v>
      </c>
      <c r="E126">
        <v>10800</v>
      </c>
      <c r="F126" t="s">
        <v>21</v>
      </c>
      <c r="G126" t="s">
        <v>24</v>
      </c>
      <c r="H126" t="s">
        <v>16</v>
      </c>
      <c r="I126" t="s">
        <v>17</v>
      </c>
      <c r="J126" t="s">
        <v>18</v>
      </c>
      <c r="K126">
        <v>0.1</v>
      </c>
    </row>
    <row r="127" spans="1:11" x14ac:dyDescent="0.25">
      <c r="A127" t="s">
        <v>165</v>
      </c>
      <c r="B127" s="1">
        <v>45356</v>
      </c>
      <c r="C127" t="s">
        <v>12</v>
      </c>
      <c r="D127" t="s">
        <v>13</v>
      </c>
      <c r="E127">
        <v>1500</v>
      </c>
      <c r="F127" t="s">
        <v>49</v>
      </c>
      <c r="G127" t="s">
        <v>24</v>
      </c>
      <c r="H127" t="s">
        <v>33</v>
      </c>
      <c r="I127" t="s">
        <v>34</v>
      </c>
      <c r="J127" t="s">
        <v>18</v>
      </c>
      <c r="K127">
        <v>0</v>
      </c>
    </row>
    <row r="128" spans="1:11" x14ac:dyDescent="0.25">
      <c r="A128" t="s">
        <v>166</v>
      </c>
      <c r="B128" s="1">
        <v>45566</v>
      </c>
      <c r="C128" t="s">
        <v>12</v>
      </c>
      <c r="D128" t="s">
        <v>13</v>
      </c>
      <c r="E128">
        <v>1500</v>
      </c>
      <c r="F128" t="s">
        <v>49</v>
      </c>
      <c r="G128" t="s">
        <v>28</v>
      </c>
      <c r="H128" t="s">
        <v>33</v>
      </c>
      <c r="I128" t="s">
        <v>34</v>
      </c>
      <c r="J128" t="s">
        <v>18</v>
      </c>
      <c r="K128">
        <v>0</v>
      </c>
    </row>
    <row r="129" spans="1:11" x14ac:dyDescent="0.25">
      <c r="A129" t="s">
        <v>167</v>
      </c>
      <c r="B129" s="1">
        <v>45470</v>
      </c>
      <c r="C129" t="s">
        <v>31</v>
      </c>
      <c r="D129" t="s">
        <v>13</v>
      </c>
      <c r="E129">
        <v>1000</v>
      </c>
      <c r="F129" t="s">
        <v>32</v>
      </c>
      <c r="G129" t="s">
        <v>28</v>
      </c>
      <c r="H129" t="s">
        <v>33</v>
      </c>
      <c r="I129" t="s">
        <v>34</v>
      </c>
      <c r="J129" t="s">
        <v>25</v>
      </c>
      <c r="K129">
        <v>0</v>
      </c>
    </row>
    <row r="130" spans="1:11" x14ac:dyDescent="0.25">
      <c r="A130" t="s">
        <v>168</v>
      </c>
      <c r="B130" s="1">
        <v>45029</v>
      </c>
      <c r="C130" t="s">
        <v>20</v>
      </c>
      <c r="D130" t="s">
        <v>27</v>
      </c>
      <c r="E130">
        <v>5400</v>
      </c>
      <c r="F130" t="s">
        <v>14</v>
      </c>
      <c r="G130" t="s">
        <v>15</v>
      </c>
      <c r="H130" t="s">
        <v>16</v>
      </c>
      <c r="I130" t="s">
        <v>17</v>
      </c>
      <c r="J130" t="s">
        <v>37</v>
      </c>
      <c r="K130">
        <v>0.1</v>
      </c>
    </row>
    <row r="131" spans="1:11" x14ac:dyDescent="0.25">
      <c r="A131" t="s">
        <v>169</v>
      </c>
      <c r="B131" s="1">
        <v>45424</v>
      </c>
      <c r="C131" t="s">
        <v>20</v>
      </c>
      <c r="D131" t="s">
        <v>27</v>
      </c>
      <c r="E131">
        <v>5400</v>
      </c>
      <c r="F131" t="s">
        <v>14</v>
      </c>
      <c r="G131" t="s">
        <v>24</v>
      </c>
      <c r="H131" t="s">
        <v>33</v>
      </c>
      <c r="I131" t="s">
        <v>34</v>
      </c>
      <c r="J131" t="s">
        <v>18</v>
      </c>
      <c r="K131">
        <v>0.1</v>
      </c>
    </row>
    <row r="132" spans="1:11" x14ac:dyDescent="0.25">
      <c r="A132" t="s">
        <v>170</v>
      </c>
      <c r="B132" s="1">
        <v>45653</v>
      </c>
      <c r="C132" t="s">
        <v>31</v>
      </c>
      <c r="D132" t="s">
        <v>27</v>
      </c>
      <c r="E132">
        <v>10800</v>
      </c>
      <c r="F132" t="s">
        <v>14</v>
      </c>
      <c r="G132" t="s">
        <v>28</v>
      </c>
      <c r="H132" t="s">
        <v>16</v>
      </c>
      <c r="I132" t="s">
        <v>17</v>
      </c>
      <c r="J132" t="s">
        <v>18</v>
      </c>
      <c r="K132">
        <v>0.1</v>
      </c>
    </row>
    <row r="133" spans="1:11" x14ac:dyDescent="0.25">
      <c r="A133" t="s">
        <v>171</v>
      </c>
      <c r="B133" s="1">
        <v>45519</v>
      </c>
      <c r="C133" t="s">
        <v>20</v>
      </c>
      <c r="D133" t="s">
        <v>13</v>
      </c>
      <c r="E133">
        <v>500</v>
      </c>
      <c r="F133" t="s">
        <v>21</v>
      </c>
      <c r="G133" t="s">
        <v>28</v>
      </c>
      <c r="H133" t="s">
        <v>16</v>
      </c>
      <c r="I133" t="s">
        <v>17</v>
      </c>
      <c r="J133" t="s">
        <v>22</v>
      </c>
      <c r="K133">
        <v>0</v>
      </c>
    </row>
    <row r="134" spans="1:11" x14ac:dyDescent="0.25">
      <c r="A134" t="s">
        <v>172</v>
      </c>
      <c r="B134" s="1">
        <v>45258</v>
      </c>
      <c r="C134" t="s">
        <v>12</v>
      </c>
      <c r="D134" t="s">
        <v>27</v>
      </c>
      <c r="E134">
        <v>16200</v>
      </c>
      <c r="F134" t="s">
        <v>14</v>
      </c>
      <c r="G134" t="s">
        <v>28</v>
      </c>
      <c r="H134" t="s">
        <v>33</v>
      </c>
      <c r="I134" t="s">
        <v>34</v>
      </c>
      <c r="J134" t="s">
        <v>22</v>
      </c>
      <c r="K134">
        <v>0.1</v>
      </c>
    </row>
    <row r="135" spans="1:11" x14ac:dyDescent="0.25">
      <c r="A135" t="s">
        <v>173</v>
      </c>
      <c r="B135" s="1">
        <v>44995</v>
      </c>
      <c r="C135" t="s">
        <v>12</v>
      </c>
      <c r="D135" t="s">
        <v>27</v>
      </c>
      <c r="E135">
        <v>16200</v>
      </c>
      <c r="F135" t="s">
        <v>32</v>
      </c>
      <c r="G135" t="s">
        <v>24</v>
      </c>
      <c r="H135" t="s">
        <v>33</v>
      </c>
      <c r="I135" t="s">
        <v>34</v>
      </c>
      <c r="J135" t="s">
        <v>25</v>
      </c>
      <c r="K135">
        <v>0.1</v>
      </c>
    </row>
    <row r="136" spans="1:11" x14ac:dyDescent="0.25">
      <c r="A136" t="s">
        <v>174</v>
      </c>
      <c r="B136" s="1">
        <v>45320</v>
      </c>
      <c r="C136" t="s">
        <v>12</v>
      </c>
      <c r="D136" t="s">
        <v>27</v>
      </c>
      <c r="E136">
        <v>16200</v>
      </c>
      <c r="F136" t="s">
        <v>49</v>
      </c>
      <c r="G136" t="s">
        <v>24</v>
      </c>
      <c r="H136" t="s">
        <v>16</v>
      </c>
      <c r="I136" t="s">
        <v>17</v>
      </c>
      <c r="J136" t="s">
        <v>35</v>
      </c>
      <c r="K136">
        <v>0.1</v>
      </c>
    </row>
    <row r="137" spans="1:11" x14ac:dyDescent="0.25">
      <c r="A137" t="s">
        <v>175</v>
      </c>
      <c r="B137" s="1">
        <v>45174</v>
      </c>
      <c r="C137" t="s">
        <v>31</v>
      </c>
      <c r="D137" t="s">
        <v>13</v>
      </c>
      <c r="E137">
        <v>1000</v>
      </c>
      <c r="F137" t="s">
        <v>32</v>
      </c>
      <c r="G137" t="s">
        <v>28</v>
      </c>
      <c r="H137" t="s">
        <v>33</v>
      </c>
      <c r="I137" t="s">
        <v>34</v>
      </c>
      <c r="J137" t="s">
        <v>66</v>
      </c>
      <c r="K137">
        <v>0</v>
      </c>
    </row>
    <row r="138" spans="1:11" x14ac:dyDescent="0.25">
      <c r="A138" t="s">
        <v>176</v>
      </c>
      <c r="B138" s="1">
        <v>45018</v>
      </c>
      <c r="C138" t="s">
        <v>12</v>
      </c>
      <c r="D138" t="s">
        <v>27</v>
      </c>
      <c r="E138">
        <v>16200</v>
      </c>
      <c r="F138" t="s">
        <v>49</v>
      </c>
      <c r="G138" t="s">
        <v>24</v>
      </c>
      <c r="H138" t="s">
        <v>16</v>
      </c>
      <c r="I138" t="s">
        <v>17</v>
      </c>
      <c r="J138" t="s">
        <v>50</v>
      </c>
      <c r="K138">
        <v>0.1</v>
      </c>
    </row>
    <row r="139" spans="1:11" x14ac:dyDescent="0.25">
      <c r="A139" t="s">
        <v>177</v>
      </c>
      <c r="B139" s="1">
        <v>45339</v>
      </c>
      <c r="C139" t="s">
        <v>31</v>
      </c>
      <c r="D139" t="s">
        <v>13</v>
      </c>
      <c r="E139">
        <v>1000</v>
      </c>
      <c r="F139" t="s">
        <v>32</v>
      </c>
      <c r="G139" t="s">
        <v>24</v>
      </c>
      <c r="H139" t="s">
        <v>33</v>
      </c>
      <c r="I139" t="s">
        <v>34</v>
      </c>
      <c r="J139" t="s">
        <v>66</v>
      </c>
      <c r="K139">
        <v>0</v>
      </c>
    </row>
    <row r="140" spans="1:11" x14ac:dyDescent="0.25">
      <c r="A140" t="s">
        <v>178</v>
      </c>
      <c r="B140" s="1">
        <v>45545</v>
      </c>
      <c r="C140" t="s">
        <v>31</v>
      </c>
      <c r="D140" t="s">
        <v>13</v>
      </c>
      <c r="E140">
        <v>1000</v>
      </c>
      <c r="F140" t="s">
        <v>32</v>
      </c>
      <c r="G140" t="s">
        <v>15</v>
      </c>
      <c r="H140" t="s">
        <v>16</v>
      </c>
      <c r="I140" t="s">
        <v>17</v>
      </c>
      <c r="J140" t="s">
        <v>39</v>
      </c>
      <c r="K140">
        <v>0</v>
      </c>
    </row>
    <row r="141" spans="1:11" x14ac:dyDescent="0.25">
      <c r="A141" t="s">
        <v>179</v>
      </c>
      <c r="B141" s="1">
        <v>45509</v>
      </c>
      <c r="C141" t="s">
        <v>20</v>
      </c>
      <c r="D141" t="s">
        <v>13</v>
      </c>
      <c r="E141">
        <v>500</v>
      </c>
      <c r="F141" t="s">
        <v>14</v>
      </c>
      <c r="G141" t="s">
        <v>24</v>
      </c>
      <c r="H141" t="s">
        <v>33</v>
      </c>
      <c r="I141" t="s">
        <v>34</v>
      </c>
      <c r="J141" t="s">
        <v>37</v>
      </c>
      <c r="K141">
        <v>0</v>
      </c>
    </row>
    <row r="142" spans="1:11" x14ac:dyDescent="0.25">
      <c r="A142" t="s">
        <v>180</v>
      </c>
      <c r="B142" s="1">
        <v>45283</v>
      </c>
      <c r="C142" t="s">
        <v>20</v>
      </c>
      <c r="D142" t="s">
        <v>13</v>
      </c>
      <c r="E142">
        <v>500</v>
      </c>
      <c r="F142" t="s">
        <v>14</v>
      </c>
      <c r="G142" t="s">
        <v>24</v>
      </c>
      <c r="H142" t="s">
        <v>16</v>
      </c>
      <c r="I142" t="s">
        <v>17</v>
      </c>
      <c r="J142" t="s">
        <v>37</v>
      </c>
      <c r="K142">
        <v>0</v>
      </c>
    </row>
    <row r="143" spans="1:11" x14ac:dyDescent="0.25">
      <c r="A143" t="s">
        <v>181</v>
      </c>
      <c r="B143" s="1">
        <v>45645</v>
      </c>
      <c r="C143" t="s">
        <v>12</v>
      </c>
      <c r="D143" t="s">
        <v>27</v>
      </c>
      <c r="E143">
        <v>16200</v>
      </c>
      <c r="F143" t="s">
        <v>21</v>
      </c>
      <c r="G143" t="s">
        <v>24</v>
      </c>
      <c r="H143" t="s">
        <v>16</v>
      </c>
      <c r="I143" t="s">
        <v>17</v>
      </c>
      <c r="J143" t="s">
        <v>29</v>
      </c>
      <c r="K143">
        <v>0.1</v>
      </c>
    </row>
    <row r="144" spans="1:11" x14ac:dyDescent="0.25">
      <c r="A144" t="s">
        <v>182</v>
      </c>
      <c r="B144" s="1">
        <v>45544</v>
      </c>
      <c r="C144" t="s">
        <v>12</v>
      </c>
      <c r="D144" t="s">
        <v>13</v>
      </c>
      <c r="E144">
        <v>1500</v>
      </c>
      <c r="F144" t="s">
        <v>21</v>
      </c>
      <c r="G144" t="s">
        <v>24</v>
      </c>
      <c r="H144" t="s">
        <v>33</v>
      </c>
      <c r="I144" t="s">
        <v>34</v>
      </c>
      <c r="J144" t="s">
        <v>29</v>
      </c>
      <c r="K144">
        <v>0</v>
      </c>
    </row>
    <row r="145" spans="1:11" x14ac:dyDescent="0.25">
      <c r="A145" t="s">
        <v>183</v>
      </c>
      <c r="B145" s="1">
        <v>45401</v>
      </c>
      <c r="C145" t="s">
        <v>20</v>
      </c>
      <c r="D145" t="s">
        <v>13</v>
      </c>
      <c r="E145">
        <v>500</v>
      </c>
      <c r="F145" t="s">
        <v>21</v>
      </c>
      <c r="G145" t="s">
        <v>28</v>
      </c>
      <c r="H145" t="s">
        <v>33</v>
      </c>
      <c r="I145" t="s">
        <v>34</v>
      </c>
      <c r="J145" t="s">
        <v>18</v>
      </c>
      <c r="K145">
        <v>0</v>
      </c>
    </row>
    <row r="146" spans="1:11" x14ac:dyDescent="0.25">
      <c r="A146" t="s">
        <v>184</v>
      </c>
      <c r="B146" s="1">
        <v>45348</v>
      </c>
      <c r="C146" t="s">
        <v>31</v>
      </c>
      <c r="D146" t="s">
        <v>13</v>
      </c>
      <c r="E146">
        <v>1000</v>
      </c>
      <c r="F146" t="s">
        <v>49</v>
      </c>
      <c r="G146" t="s">
        <v>24</v>
      </c>
      <c r="H146" t="s">
        <v>33</v>
      </c>
      <c r="I146" t="s">
        <v>34</v>
      </c>
      <c r="J146" t="s">
        <v>25</v>
      </c>
      <c r="K146">
        <v>0</v>
      </c>
    </row>
    <row r="147" spans="1:11" x14ac:dyDescent="0.25">
      <c r="A147" t="s">
        <v>185</v>
      </c>
      <c r="B147" s="1">
        <v>45605</v>
      </c>
      <c r="C147" t="s">
        <v>20</v>
      </c>
      <c r="D147" t="s">
        <v>13</v>
      </c>
      <c r="E147">
        <v>500</v>
      </c>
      <c r="F147" t="s">
        <v>14</v>
      </c>
      <c r="G147" t="s">
        <v>24</v>
      </c>
      <c r="H147" t="s">
        <v>33</v>
      </c>
      <c r="I147" t="s">
        <v>34</v>
      </c>
      <c r="J147" t="s">
        <v>55</v>
      </c>
      <c r="K147">
        <v>0</v>
      </c>
    </row>
    <row r="148" spans="1:11" x14ac:dyDescent="0.25">
      <c r="A148" t="s">
        <v>186</v>
      </c>
      <c r="B148" s="1">
        <v>45177</v>
      </c>
      <c r="C148" t="s">
        <v>31</v>
      </c>
      <c r="D148" t="s">
        <v>13</v>
      </c>
      <c r="E148">
        <v>1000</v>
      </c>
      <c r="F148" t="s">
        <v>21</v>
      </c>
      <c r="G148" t="s">
        <v>24</v>
      </c>
      <c r="H148" t="s">
        <v>33</v>
      </c>
      <c r="I148" t="s">
        <v>34</v>
      </c>
      <c r="J148" t="s">
        <v>18</v>
      </c>
      <c r="K148">
        <v>0</v>
      </c>
    </row>
    <row r="149" spans="1:11" x14ac:dyDescent="0.25">
      <c r="A149" t="s">
        <v>187</v>
      </c>
      <c r="B149" s="1">
        <v>45132</v>
      </c>
      <c r="C149" t="s">
        <v>12</v>
      </c>
      <c r="D149" t="s">
        <v>27</v>
      </c>
      <c r="E149">
        <v>16200</v>
      </c>
      <c r="F149" t="s">
        <v>49</v>
      </c>
      <c r="G149" t="s">
        <v>24</v>
      </c>
      <c r="H149" t="s">
        <v>16</v>
      </c>
      <c r="I149" t="s">
        <v>17</v>
      </c>
      <c r="J149" t="s">
        <v>58</v>
      </c>
      <c r="K149">
        <v>0.1</v>
      </c>
    </row>
    <row r="150" spans="1:11" x14ac:dyDescent="0.25">
      <c r="A150" t="s">
        <v>188</v>
      </c>
      <c r="B150" s="1">
        <v>45380</v>
      </c>
      <c r="C150" t="s">
        <v>12</v>
      </c>
      <c r="D150" t="s">
        <v>13</v>
      </c>
      <c r="E150">
        <v>1500</v>
      </c>
      <c r="F150" t="s">
        <v>49</v>
      </c>
      <c r="G150" t="s">
        <v>24</v>
      </c>
      <c r="H150" t="s">
        <v>33</v>
      </c>
      <c r="I150" t="s">
        <v>34</v>
      </c>
      <c r="J150" t="s">
        <v>18</v>
      </c>
      <c r="K150">
        <v>0</v>
      </c>
    </row>
    <row r="151" spans="1:11" x14ac:dyDescent="0.25">
      <c r="A151" t="s">
        <v>189</v>
      </c>
      <c r="B151" s="1">
        <v>45383</v>
      </c>
      <c r="C151" t="s">
        <v>12</v>
      </c>
      <c r="D151" t="s">
        <v>13</v>
      </c>
      <c r="E151">
        <v>1500</v>
      </c>
      <c r="F151" t="s">
        <v>21</v>
      </c>
      <c r="G151" t="s">
        <v>24</v>
      </c>
      <c r="H151" t="s">
        <v>33</v>
      </c>
      <c r="I151" t="s">
        <v>34</v>
      </c>
      <c r="J151" t="s">
        <v>25</v>
      </c>
      <c r="K151">
        <v>0</v>
      </c>
    </row>
    <row r="152" spans="1:11" x14ac:dyDescent="0.25">
      <c r="A152" t="s">
        <v>190</v>
      </c>
      <c r="B152" s="1">
        <v>44988</v>
      </c>
      <c r="C152" t="s">
        <v>31</v>
      </c>
      <c r="D152" t="s">
        <v>27</v>
      </c>
      <c r="E152">
        <v>10800</v>
      </c>
      <c r="F152" t="s">
        <v>32</v>
      </c>
      <c r="G152" t="s">
        <v>24</v>
      </c>
      <c r="H152" t="s">
        <v>16</v>
      </c>
      <c r="I152" t="s">
        <v>17</v>
      </c>
      <c r="J152" t="s">
        <v>25</v>
      </c>
      <c r="K152">
        <v>0.1</v>
      </c>
    </row>
    <row r="153" spans="1:11" x14ac:dyDescent="0.25">
      <c r="A153" t="s">
        <v>191</v>
      </c>
      <c r="B153" s="1">
        <v>45367</v>
      </c>
      <c r="C153" t="s">
        <v>31</v>
      </c>
      <c r="D153" t="s">
        <v>27</v>
      </c>
      <c r="E153">
        <v>10800</v>
      </c>
      <c r="F153" t="s">
        <v>32</v>
      </c>
      <c r="G153" t="s">
        <v>15</v>
      </c>
      <c r="H153" t="s">
        <v>16</v>
      </c>
      <c r="I153" t="s">
        <v>17</v>
      </c>
      <c r="J153" t="s">
        <v>25</v>
      </c>
      <c r="K153">
        <v>0.1</v>
      </c>
    </row>
    <row r="154" spans="1:11" x14ac:dyDescent="0.25">
      <c r="A154" t="s">
        <v>192</v>
      </c>
      <c r="B154" s="1">
        <v>45300</v>
      </c>
      <c r="C154" t="s">
        <v>12</v>
      </c>
      <c r="D154" t="s">
        <v>27</v>
      </c>
      <c r="E154">
        <v>16200</v>
      </c>
      <c r="F154" t="s">
        <v>14</v>
      </c>
      <c r="G154" t="s">
        <v>24</v>
      </c>
      <c r="H154" t="s">
        <v>33</v>
      </c>
      <c r="I154" t="s">
        <v>34</v>
      </c>
      <c r="J154" t="s">
        <v>55</v>
      </c>
      <c r="K154">
        <v>0.1</v>
      </c>
    </row>
    <row r="155" spans="1:11" x14ac:dyDescent="0.25">
      <c r="A155" t="s">
        <v>193</v>
      </c>
      <c r="B155" s="1">
        <v>45187</v>
      </c>
      <c r="C155" t="s">
        <v>31</v>
      </c>
      <c r="D155" t="s">
        <v>27</v>
      </c>
      <c r="E155">
        <v>10800</v>
      </c>
      <c r="F155" t="s">
        <v>14</v>
      </c>
      <c r="G155" t="s">
        <v>24</v>
      </c>
      <c r="H155" t="s">
        <v>33</v>
      </c>
      <c r="I155" t="s">
        <v>34</v>
      </c>
      <c r="J155" t="s">
        <v>22</v>
      </c>
      <c r="K155">
        <v>0.1</v>
      </c>
    </row>
    <row r="156" spans="1:11" x14ac:dyDescent="0.25">
      <c r="A156" t="s">
        <v>194</v>
      </c>
      <c r="B156" s="1">
        <v>45189</v>
      </c>
      <c r="C156" t="s">
        <v>12</v>
      </c>
      <c r="D156" t="s">
        <v>27</v>
      </c>
      <c r="E156">
        <v>16200</v>
      </c>
      <c r="F156" t="s">
        <v>49</v>
      </c>
      <c r="G156" t="s">
        <v>28</v>
      </c>
      <c r="H156" t="s">
        <v>16</v>
      </c>
      <c r="I156" t="s">
        <v>17</v>
      </c>
      <c r="J156" t="s">
        <v>50</v>
      </c>
      <c r="K156">
        <v>0.1</v>
      </c>
    </row>
    <row r="157" spans="1:11" x14ac:dyDescent="0.25">
      <c r="A157" t="s">
        <v>195</v>
      </c>
      <c r="B157" s="1">
        <v>45377</v>
      </c>
      <c r="C157" t="s">
        <v>20</v>
      </c>
      <c r="D157" t="s">
        <v>27</v>
      </c>
      <c r="E157">
        <v>5400</v>
      </c>
      <c r="F157" t="s">
        <v>32</v>
      </c>
      <c r="G157" t="s">
        <v>24</v>
      </c>
      <c r="H157" t="s">
        <v>16</v>
      </c>
      <c r="I157" t="s">
        <v>17</v>
      </c>
      <c r="J157" t="s">
        <v>35</v>
      </c>
      <c r="K157">
        <v>0.1</v>
      </c>
    </row>
    <row r="158" spans="1:11" x14ac:dyDescent="0.25">
      <c r="A158" t="s">
        <v>196</v>
      </c>
      <c r="B158" s="1">
        <v>45235</v>
      </c>
      <c r="C158" t="s">
        <v>12</v>
      </c>
      <c r="D158" t="s">
        <v>27</v>
      </c>
      <c r="E158">
        <v>16200</v>
      </c>
      <c r="F158" t="s">
        <v>32</v>
      </c>
      <c r="G158" t="s">
        <v>15</v>
      </c>
      <c r="H158" t="s">
        <v>16</v>
      </c>
      <c r="I158" t="s">
        <v>17</v>
      </c>
      <c r="J158" t="s">
        <v>44</v>
      </c>
      <c r="K158">
        <v>0.1</v>
      </c>
    </row>
    <row r="159" spans="1:11" x14ac:dyDescent="0.25">
      <c r="A159" t="s">
        <v>197</v>
      </c>
      <c r="B159" s="1">
        <v>45657</v>
      </c>
      <c r="C159" t="s">
        <v>31</v>
      </c>
      <c r="D159" t="s">
        <v>13</v>
      </c>
      <c r="E159">
        <v>1000</v>
      </c>
      <c r="F159" t="s">
        <v>32</v>
      </c>
      <c r="G159" t="s">
        <v>24</v>
      </c>
      <c r="H159" t="s">
        <v>33</v>
      </c>
      <c r="I159" t="s">
        <v>34</v>
      </c>
      <c r="J159" t="s">
        <v>39</v>
      </c>
      <c r="K159">
        <v>0</v>
      </c>
    </row>
    <row r="160" spans="1:11" x14ac:dyDescent="0.25">
      <c r="A160" t="s">
        <v>198</v>
      </c>
      <c r="B160" s="1">
        <v>45498</v>
      </c>
      <c r="C160" t="s">
        <v>12</v>
      </c>
      <c r="D160" t="s">
        <v>13</v>
      </c>
      <c r="E160">
        <v>1500</v>
      </c>
      <c r="F160" t="s">
        <v>14</v>
      </c>
      <c r="G160" t="s">
        <v>28</v>
      </c>
      <c r="H160" t="s">
        <v>16</v>
      </c>
      <c r="I160" t="s">
        <v>17</v>
      </c>
      <c r="J160" t="s">
        <v>55</v>
      </c>
      <c r="K160">
        <v>0</v>
      </c>
    </row>
    <row r="161" spans="1:11" x14ac:dyDescent="0.25">
      <c r="A161" t="s">
        <v>199</v>
      </c>
      <c r="B161" s="1">
        <v>44928</v>
      </c>
      <c r="C161" t="s">
        <v>20</v>
      </c>
      <c r="D161" t="s">
        <v>13</v>
      </c>
      <c r="E161">
        <v>500</v>
      </c>
      <c r="F161" t="s">
        <v>49</v>
      </c>
      <c r="G161" t="s">
        <v>24</v>
      </c>
      <c r="H161" t="s">
        <v>33</v>
      </c>
      <c r="I161" t="s">
        <v>34</v>
      </c>
      <c r="J161" t="s">
        <v>50</v>
      </c>
      <c r="K161">
        <v>0</v>
      </c>
    </row>
    <row r="162" spans="1:11" x14ac:dyDescent="0.25">
      <c r="A162" t="s">
        <v>200</v>
      </c>
      <c r="B162" s="1">
        <v>45046</v>
      </c>
      <c r="C162" t="s">
        <v>31</v>
      </c>
      <c r="D162" t="s">
        <v>27</v>
      </c>
      <c r="E162">
        <v>10800</v>
      </c>
      <c r="F162" t="s">
        <v>32</v>
      </c>
      <c r="G162" t="s">
        <v>28</v>
      </c>
      <c r="H162" t="s">
        <v>33</v>
      </c>
      <c r="I162" t="s">
        <v>34</v>
      </c>
      <c r="J162" t="s">
        <v>39</v>
      </c>
      <c r="K162">
        <v>0.1</v>
      </c>
    </row>
    <row r="163" spans="1:11" x14ac:dyDescent="0.25">
      <c r="A163" t="s">
        <v>201</v>
      </c>
      <c r="B163" s="1">
        <v>45590</v>
      </c>
      <c r="C163" t="s">
        <v>12</v>
      </c>
      <c r="D163" t="s">
        <v>13</v>
      </c>
      <c r="E163">
        <v>1500</v>
      </c>
      <c r="F163" t="s">
        <v>32</v>
      </c>
      <c r="G163" t="s">
        <v>24</v>
      </c>
      <c r="H163" t="s">
        <v>16</v>
      </c>
      <c r="I163" t="s">
        <v>17</v>
      </c>
      <c r="J163" t="s">
        <v>44</v>
      </c>
      <c r="K163">
        <v>0</v>
      </c>
    </row>
    <row r="164" spans="1:11" x14ac:dyDescent="0.25">
      <c r="A164" t="s">
        <v>202</v>
      </c>
      <c r="B164" s="1">
        <v>45191</v>
      </c>
      <c r="C164" t="s">
        <v>31</v>
      </c>
      <c r="D164" t="s">
        <v>27</v>
      </c>
      <c r="E164">
        <v>10800</v>
      </c>
      <c r="F164" t="s">
        <v>49</v>
      </c>
      <c r="G164" t="s">
        <v>24</v>
      </c>
      <c r="H164" t="s">
        <v>16</v>
      </c>
      <c r="I164" t="s">
        <v>17</v>
      </c>
      <c r="J164" t="s">
        <v>25</v>
      </c>
      <c r="K164">
        <v>0.1</v>
      </c>
    </row>
    <row r="165" spans="1:11" x14ac:dyDescent="0.25">
      <c r="A165" t="s">
        <v>203</v>
      </c>
      <c r="B165" s="1">
        <v>45500</v>
      </c>
      <c r="C165" t="s">
        <v>31</v>
      </c>
      <c r="D165" t="s">
        <v>13</v>
      </c>
      <c r="E165">
        <v>1000</v>
      </c>
      <c r="F165" t="s">
        <v>14</v>
      </c>
      <c r="G165" t="s">
        <v>24</v>
      </c>
      <c r="H165" t="s">
        <v>33</v>
      </c>
      <c r="I165" t="s">
        <v>34</v>
      </c>
      <c r="J165" t="s">
        <v>41</v>
      </c>
      <c r="K165">
        <v>0</v>
      </c>
    </row>
    <row r="166" spans="1:11" x14ac:dyDescent="0.25">
      <c r="A166" t="s">
        <v>204</v>
      </c>
      <c r="B166" s="1">
        <v>45550</v>
      </c>
      <c r="C166" t="s">
        <v>12</v>
      </c>
      <c r="D166" t="s">
        <v>27</v>
      </c>
      <c r="E166">
        <v>16200</v>
      </c>
      <c r="F166" t="s">
        <v>14</v>
      </c>
      <c r="G166" t="s">
        <v>28</v>
      </c>
      <c r="H166" t="s">
        <v>16</v>
      </c>
      <c r="I166" t="s">
        <v>17</v>
      </c>
      <c r="J166" t="s">
        <v>55</v>
      </c>
      <c r="K166">
        <v>0.1</v>
      </c>
    </row>
    <row r="167" spans="1:11" x14ac:dyDescent="0.25">
      <c r="A167" t="s">
        <v>205</v>
      </c>
      <c r="B167" s="1">
        <v>45156</v>
      </c>
      <c r="C167" t="s">
        <v>31</v>
      </c>
      <c r="D167" t="s">
        <v>27</v>
      </c>
      <c r="E167">
        <v>10800</v>
      </c>
      <c r="F167" t="s">
        <v>49</v>
      </c>
      <c r="G167" t="s">
        <v>24</v>
      </c>
      <c r="H167" t="s">
        <v>16</v>
      </c>
      <c r="I167" t="s">
        <v>17</v>
      </c>
      <c r="J167" t="s">
        <v>58</v>
      </c>
      <c r="K167">
        <v>0.1</v>
      </c>
    </row>
    <row r="168" spans="1:11" x14ac:dyDescent="0.25">
      <c r="A168" t="s">
        <v>206</v>
      </c>
      <c r="B168" s="1">
        <v>45220</v>
      </c>
      <c r="C168" t="s">
        <v>12</v>
      </c>
      <c r="D168" t="s">
        <v>27</v>
      </c>
      <c r="E168">
        <v>16200</v>
      </c>
      <c r="F168" t="s">
        <v>49</v>
      </c>
      <c r="G168" t="s">
        <v>28</v>
      </c>
      <c r="H168" t="s">
        <v>33</v>
      </c>
      <c r="I168" t="s">
        <v>34</v>
      </c>
      <c r="J168" t="s">
        <v>35</v>
      </c>
      <c r="K168">
        <v>0.1</v>
      </c>
    </row>
    <row r="169" spans="1:11" x14ac:dyDescent="0.25">
      <c r="A169" t="s">
        <v>207</v>
      </c>
      <c r="B169" s="1">
        <v>45136</v>
      </c>
      <c r="C169" t="s">
        <v>31</v>
      </c>
      <c r="D169" t="s">
        <v>13</v>
      </c>
      <c r="E169">
        <v>1000</v>
      </c>
      <c r="F169" t="s">
        <v>14</v>
      </c>
      <c r="G169" t="s">
        <v>28</v>
      </c>
      <c r="H169" t="s">
        <v>33</v>
      </c>
      <c r="I169" t="s">
        <v>34</v>
      </c>
      <c r="J169" t="s">
        <v>37</v>
      </c>
      <c r="K169">
        <v>0</v>
      </c>
    </row>
    <row r="170" spans="1:11" x14ac:dyDescent="0.25">
      <c r="A170" t="s">
        <v>208</v>
      </c>
      <c r="B170" s="1">
        <v>45032</v>
      </c>
      <c r="C170" t="s">
        <v>31</v>
      </c>
      <c r="D170" t="s">
        <v>13</v>
      </c>
      <c r="E170">
        <v>1000</v>
      </c>
      <c r="F170" t="s">
        <v>32</v>
      </c>
      <c r="G170" t="s">
        <v>24</v>
      </c>
      <c r="H170" t="s">
        <v>33</v>
      </c>
      <c r="I170" t="s">
        <v>34</v>
      </c>
      <c r="J170" t="s">
        <v>25</v>
      </c>
      <c r="K170">
        <v>0</v>
      </c>
    </row>
    <row r="171" spans="1:11" x14ac:dyDescent="0.25">
      <c r="A171" t="s">
        <v>209</v>
      </c>
      <c r="B171" s="1">
        <v>45242</v>
      </c>
      <c r="C171" t="s">
        <v>12</v>
      </c>
      <c r="D171" t="s">
        <v>13</v>
      </c>
      <c r="E171">
        <v>1500</v>
      </c>
      <c r="F171" t="s">
        <v>32</v>
      </c>
      <c r="G171" t="s">
        <v>28</v>
      </c>
      <c r="H171" t="s">
        <v>16</v>
      </c>
      <c r="I171" t="s">
        <v>17</v>
      </c>
      <c r="J171" t="s">
        <v>25</v>
      </c>
      <c r="K171">
        <v>0</v>
      </c>
    </row>
    <row r="172" spans="1:11" x14ac:dyDescent="0.25">
      <c r="A172" t="s">
        <v>210</v>
      </c>
      <c r="B172" s="1">
        <v>45028</v>
      </c>
      <c r="C172" t="s">
        <v>20</v>
      </c>
      <c r="D172" t="s">
        <v>13</v>
      </c>
      <c r="E172">
        <v>500</v>
      </c>
      <c r="F172" t="s">
        <v>32</v>
      </c>
      <c r="G172" t="s">
        <v>15</v>
      </c>
      <c r="H172" t="s">
        <v>16</v>
      </c>
      <c r="I172" t="s">
        <v>17</v>
      </c>
      <c r="J172" t="s">
        <v>39</v>
      </c>
      <c r="K172">
        <v>0</v>
      </c>
    </row>
    <row r="173" spans="1:11" x14ac:dyDescent="0.25">
      <c r="A173" t="s">
        <v>211</v>
      </c>
      <c r="B173" s="1">
        <v>45536</v>
      </c>
      <c r="C173" t="s">
        <v>12</v>
      </c>
      <c r="D173" t="s">
        <v>27</v>
      </c>
      <c r="E173">
        <v>16200</v>
      </c>
      <c r="F173" t="s">
        <v>49</v>
      </c>
      <c r="G173" t="s">
        <v>28</v>
      </c>
      <c r="H173" t="s">
        <v>16</v>
      </c>
      <c r="I173" t="s">
        <v>17</v>
      </c>
      <c r="J173" t="s">
        <v>35</v>
      </c>
      <c r="K173">
        <v>0.1</v>
      </c>
    </row>
    <row r="174" spans="1:11" x14ac:dyDescent="0.25">
      <c r="A174" t="s">
        <v>212</v>
      </c>
      <c r="B174" s="1">
        <v>45350</v>
      </c>
      <c r="C174" t="s">
        <v>12</v>
      </c>
      <c r="D174" t="s">
        <v>13</v>
      </c>
      <c r="E174">
        <v>1500</v>
      </c>
      <c r="F174" t="s">
        <v>21</v>
      </c>
      <c r="G174" t="s">
        <v>24</v>
      </c>
      <c r="H174" t="s">
        <v>33</v>
      </c>
      <c r="I174" t="s">
        <v>34</v>
      </c>
      <c r="J174" t="s">
        <v>25</v>
      </c>
      <c r="K174">
        <v>0</v>
      </c>
    </row>
    <row r="175" spans="1:11" x14ac:dyDescent="0.25">
      <c r="A175" t="s">
        <v>213</v>
      </c>
      <c r="B175" s="1">
        <v>44955</v>
      </c>
      <c r="C175" t="s">
        <v>20</v>
      </c>
      <c r="D175" t="s">
        <v>27</v>
      </c>
      <c r="E175">
        <v>5400</v>
      </c>
      <c r="F175" t="s">
        <v>21</v>
      </c>
      <c r="G175" t="s">
        <v>24</v>
      </c>
      <c r="H175" t="s">
        <v>33</v>
      </c>
      <c r="I175" t="s">
        <v>34</v>
      </c>
      <c r="J175" t="s">
        <v>22</v>
      </c>
      <c r="K175">
        <v>0.1</v>
      </c>
    </row>
    <row r="176" spans="1:11" x14ac:dyDescent="0.25">
      <c r="A176" t="s">
        <v>214</v>
      </c>
      <c r="B176" s="1">
        <v>45546</v>
      </c>
      <c r="C176" t="s">
        <v>31</v>
      </c>
      <c r="D176" t="s">
        <v>13</v>
      </c>
      <c r="E176">
        <v>1000</v>
      </c>
      <c r="F176" t="s">
        <v>49</v>
      </c>
      <c r="G176" t="s">
        <v>28</v>
      </c>
      <c r="H176" t="s">
        <v>16</v>
      </c>
      <c r="I176" t="s">
        <v>17</v>
      </c>
      <c r="J176" t="s">
        <v>25</v>
      </c>
      <c r="K176">
        <v>0</v>
      </c>
    </row>
    <row r="177" spans="1:11" x14ac:dyDescent="0.25">
      <c r="A177" t="s">
        <v>215</v>
      </c>
      <c r="B177" s="1">
        <v>45259</v>
      </c>
      <c r="C177" t="s">
        <v>12</v>
      </c>
      <c r="D177" t="s">
        <v>13</v>
      </c>
      <c r="E177">
        <v>1500</v>
      </c>
      <c r="F177" t="s">
        <v>14</v>
      </c>
      <c r="G177" t="s">
        <v>28</v>
      </c>
      <c r="H177" t="s">
        <v>33</v>
      </c>
      <c r="I177" t="s">
        <v>34</v>
      </c>
      <c r="J177" t="s">
        <v>55</v>
      </c>
      <c r="K177">
        <v>0</v>
      </c>
    </row>
    <row r="178" spans="1:11" x14ac:dyDescent="0.25">
      <c r="A178" t="s">
        <v>216</v>
      </c>
      <c r="B178" s="1">
        <v>45031</v>
      </c>
      <c r="C178" t="s">
        <v>31</v>
      </c>
      <c r="D178" t="s">
        <v>27</v>
      </c>
      <c r="E178">
        <v>10800</v>
      </c>
      <c r="F178" t="s">
        <v>32</v>
      </c>
      <c r="G178" t="s">
        <v>24</v>
      </c>
      <c r="H178" t="s">
        <v>16</v>
      </c>
      <c r="I178" t="s">
        <v>17</v>
      </c>
      <c r="J178" t="s">
        <v>25</v>
      </c>
      <c r="K178">
        <v>0.1</v>
      </c>
    </row>
    <row r="179" spans="1:11" x14ac:dyDescent="0.25">
      <c r="A179" t="s">
        <v>217</v>
      </c>
      <c r="B179" s="1">
        <v>45009</v>
      </c>
      <c r="C179" t="s">
        <v>31</v>
      </c>
      <c r="D179" t="s">
        <v>27</v>
      </c>
      <c r="E179">
        <v>10800</v>
      </c>
      <c r="F179" t="s">
        <v>49</v>
      </c>
      <c r="G179" t="s">
        <v>24</v>
      </c>
      <c r="H179" t="s">
        <v>33</v>
      </c>
      <c r="I179" t="s">
        <v>34</v>
      </c>
      <c r="J179" t="s">
        <v>35</v>
      </c>
      <c r="K179">
        <v>0.1</v>
      </c>
    </row>
    <row r="180" spans="1:11" x14ac:dyDescent="0.25">
      <c r="A180" t="s">
        <v>218</v>
      </c>
      <c r="B180" s="1">
        <v>45180</v>
      </c>
      <c r="C180" t="s">
        <v>20</v>
      </c>
      <c r="D180" t="s">
        <v>27</v>
      </c>
      <c r="E180">
        <v>5400</v>
      </c>
      <c r="F180" t="s">
        <v>32</v>
      </c>
      <c r="G180" t="s">
        <v>24</v>
      </c>
      <c r="H180" t="s">
        <v>33</v>
      </c>
      <c r="I180" t="s">
        <v>34</v>
      </c>
      <c r="J180" t="s">
        <v>39</v>
      </c>
      <c r="K180">
        <v>0.1</v>
      </c>
    </row>
    <row r="181" spans="1:11" x14ac:dyDescent="0.25">
      <c r="A181" t="s">
        <v>219</v>
      </c>
      <c r="B181" s="1">
        <v>45427</v>
      </c>
      <c r="C181" t="s">
        <v>31</v>
      </c>
      <c r="D181" t="s">
        <v>27</v>
      </c>
      <c r="E181">
        <v>10800</v>
      </c>
      <c r="F181" t="s">
        <v>49</v>
      </c>
      <c r="G181" t="s">
        <v>28</v>
      </c>
      <c r="H181" t="s">
        <v>16</v>
      </c>
      <c r="I181" t="s">
        <v>17</v>
      </c>
      <c r="J181" t="s">
        <v>25</v>
      </c>
      <c r="K181">
        <v>0.1</v>
      </c>
    </row>
    <row r="182" spans="1:11" x14ac:dyDescent="0.25">
      <c r="A182" t="s">
        <v>220</v>
      </c>
      <c r="B182" s="1">
        <v>45338</v>
      </c>
      <c r="C182" t="s">
        <v>20</v>
      </c>
      <c r="D182" t="s">
        <v>13</v>
      </c>
      <c r="E182">
        <v>500</v>
      </c>
      <c r="F182" t="s">
        <v>21</v>
      </c>
      <c r="G182" t="s">
        <v>28</v>
      </c>
      <c r="H182" t="s">
        <v>33</v>
      </c>
      <c r="I182" t="s">
        <v>34</v>
      </c>
      <c r="J182" t="s">
        <v>18</v>
      </c>
      <c r="K182">
        <v>0</v>
      </c>
    </row>
    <row r="183" spans="1:11" x14ac:dyDescent="0.25">
      <c r="A183" t="s">
        <v>221</v>
      </c>
      <c r="B183" s="1">
        <v>44963</v>
      </c>
      <c r="C183" t="s">
        <v>12</v>
      </c>
      <c r="D183" t="s">
        <v>13</v>
      </c>
      <c r="E183">
        <v>1500</v>
      </c>
      <c r="F183" t="s">
        <v>32</v>
      </c>
      <c r="G183" t="s">
        <v>24</v>
      </c>
      <c r="H183" t="s">
        <v>33</v>
      </c>
      <c r="I183" t="s">
        <v>34</v>
      </c>
      <c r="J183" t="s">
        <v>66</v>
      </c>
      <c r="K183">
        <v>0</v>
      </c>
    </row>
    <row r="184" spans="1:11" x14ac:dyDescent="0.25">
      <c r="A184" t="s">
        <v>222</v>
      </c>
      <c r="B184" s="1">
        <v>45621</v>
      </c>
      <c r="C184" t="s">
        <v>12</v>
      </c>
      <c r="D184" t="s">
        <v>27</v>
      </c>
      <c r="E184">
        <v>16200</v>
      </c>
      <c r="F184" t="s">
        <v>32</v>
      </c>
      <c r="G184" t="s">
        <v>28</v>
      </c>
      <c r="H184" t="s">
        <v>33</v>
      </c>
      <c r="I184" t="s">
        <v>34</v>
      </c>
      <c r="J184" t="s">
        <v>35</v>
      </c>
      <c r="K184">
        <v>0.1</v>
      </c>
    </row>
    <row r="185" spans="1:11" x14ac:dyDescent="0.25">
      <c r="A185" t="s">
        <v>223</v>
      </c>
      <c r="B185" s="1">
        <v>44999</v>
      </c>
      <c r="C185" t="s">
        <v>31</v>
      </c>
      <c r="D185" t="s">
        <v>13</v>
      </c>
      <c r="E185">
        <v>1000</v>
      </c>
      <c r="F185" t="s">
        <v>14</v>
      </c>
      <c r="G185" t="s">
        <v>24</v>
      </c>
      <c r="H185" t="s">
        <v>16</v>
      </c>
      <c r="I185" t="s">
        <v>17</v>
      </c>
      <c r="J185" t="s">
        <v>18</v>
      </c>
      <c r="K185">
        <v>0</v>
      </c>
    </row>
    <row r="186" spans="1:11" x14ac:dyDescent="0.25">
      <c r="A186" t="s">
        <v>224</v>
      </c>
      <c r="B186" s="1">
        <v>45655</v>
      </c>
      <c r="C186" t="s">
        <v>12</v>
      </c>
      <c r="D186" t="s">
        <v>27</v>
      </c>
      <c r="E186">
        <v>16200</v>
      </c>
      <c r="F186" t="s">
        <v>21</v>
      </c>
      <c r="G186" t="s">
        <v>15</v>
      </c>
      <c r="H186" t="s">
        <v>16</v>
      </c>
      <c r="I186" t="s">
        <v>17</v>
      </c>
      <c r="J186" t="s">
        <v>18</v>
      </c>
      <c r="K186">
        <v>0.1</v>
      </c>
    </row>
    <row r="187" spans="1:11" x14ac:dyDescent="0.25">
      <c r="A187" t="s">
        <v>225</v>
      </c>
      <c r="B187" s="1">
        <v>45226</v>
      </c>
      <c r="C187" t="s">
        <v>12</v>
      </c>
      <c r="D187" t="s">
        <v>27</v>
      </c>
      <c r="E187">
        <v>16200</v>
      </c>
      <c r="F187" t="s">
        <v>21</v>
      </c>
      <c r="G187" t="s">
        <v>15</v>
      </c>
      <c r="H187" t="s">
        <v>16</v>
      </c>
      <c r="I187" t="s">
        <v>17</v>
      </c>
      <c r="J187" t="s">
        <v>18</v>
      </c>
      <c r="K187">
        <v>0.1</v>
      </c>
    </row>
    <row r="188" spans="1:11" x14ac:dyDescent="0.25">
      <c r="A188" t="s">
        <v>226</v>
      </c>
      <c r="B188" s="1">
        <v>45181</v>
      </c>
      <c r="C188" t="s">
        <v>31</v>
      </c>
      <c r="D188" t="s">
        <v>27</v>
      </c>
      <c r="E188">
        <v>10800</v>
      </c>
      <c r="F188" t="s">
        <v>21</v>
      </c>
      <c r="G188" t="s">
        <v>28</v>
      </c>
      <c r="H188" t="s">
        <v>16</v>
      </c>
      <c r="I188" t="s">
        <v>17</v>
      </c>
      <c r="J188" t="s">
        <v>18</v>
      </c>
      <c r="K188">
        <v>0.1</v>
      </c>
    </row>
    <row r="189" spans="1:11" x14ac:dyDescent="0.25">
      <c r="A189" t="s">
        <v>227</v>
      </c>
      <c r="B189" s="1">
        <v>45066</v>
      </c>
      <c r="C189" t="s">
        <v>12</v>
      </c>
      <c r="D189" t="s">
        <v>27</v>
      </c>
      <c r="E189">
        <v>16200</v>
      </c>
      <c r="F189" t="s">
        <v>14</v>
      </c>
      <c r="G189" t="s">
        <v>28</v>
      </c>
      <c r="H189" t="s">
        <v>16</v>
      </c>
      <c r="I189" t="s">
        <v>17</v>
      </c>
      <c r="J189" t="s">
        <v>37</v>
      </c>
      <c r="K189">
        <v>0.1</v>
      </c>
    </row>
    <row r="190" spans="1:11" x14ac:dyDescent="0.25">
      <c r="A190" t="s">
        <v>228</v>
      </c>
      <c r="B190" s="1">
        <v>45297</v>
      </c>
      <c r="C190" t="s">
        <v>12</v>
      </c>
      <c r="D190" t="s">
        <v>13</v>
      </c>
      <c r="E190">
        <v>1500</v>
      </c>
      <c r="F190" t="s">
        <v>21</v>
      </c>
      <c r="G190" t="s">
        <v>28</v>
      </c>
      <c r="H190" t="s">
        <v>16</v>
      </c>
      <c r="I190" t="s">
        <v>17</v>
      </c>
      <c r="J190" t="s">
        <v>25</v>
      </c>
      <c r="K190">
        <v>0</v>
      </c>
    </row>
    <row r="191" spans="1:11" x14ac:dyDescent="0.25">
      <c r="A191" t="s">
        <v>229</v>
      </c>
      <c r="B191" s="1">
        <v>45389</v>
      </c>
      <c r="C191" t="s">
        <v>31</v>
      </c>
      <c r="D191" t="s">
        <v>27</v>
      </c>
      <c r="E191">
        <v>10800</v>
      </c>
      <c r="F191" t="s">
        <v>32</v>
      </c>
      <c r="G191" t="s">
        <v>15</v>
      </c>
      <c r="H191" t="s">
        <v>16</v>
      </c>
      <c r="I191" t="s">
        <v>17</v>
      </c>
      <c r="J191" t="s">
        <v>35</v>
      </c>
      <c r="K191">
        <v>0.1</v>
      </c>
    </row>
    <row r="192" spans="1:11" x14ac:dyDescent="0.25">
      <c r="A192" t="s">
        <v>230</v>
      </c>
      <c r="B192" s="1">
        <v>45096</v>
      </c>
      <c r="C192" t="s">
        <v>12</v>
      </c>
      <c r="D192" t="s">
        <v>13</v>
      </c>
      <c r="E192">
        <v>1500</v>
      </c>
      <c r="F192" t="s">
        <v>32</v>
      </c>
      <c r="G192" t="s">
        <v>15</v>
      </c>
      <c r="H192" t="s">
        <v>16</v>
      </c>
      <c r="I192" t="s">
        <v>17</v>
      </c>
      <c r="J192" t="s">
        <v>35</v>
      </c>
      <c r="K192">
        <v>0</v>
      </c>
    </row>
    <row r="193" spans="1:11" x14ac:dyDescent="0.25">
      <c r="A193" t="s">
        <v>231</v>
      </c>
      <c r="B193" s="1">
        <v>45553</v>
      </c>
      <c r="C193" t="s">
        <v>12</v>
      </c>
      <c r="D193" t="s">
        <v>27</v>
      </c>
      <c r="E193">
        <v>16200</v>
      </c>
      <c r="F193" t="s">
        <v>14</v>
      </c>
      <c r="G193" t="s">
        <v>24</v>
      </c>
      <c r="H193" t="s">
        <v>16</v>
      </c>
      <c r="I193" t="s">
        <v>17</v>
      </c>
      <c r="J193" t="s">
        <v>22</v>
      </c>
      <c r="K193">
        <v>0.1</v>
      </c>
    </row>
    <row r="194" spans="1:11" x14ac:dyDescent="0.25">
      <c r="A194" t="s">
        <v>232</v>
      </c>
      <c r="B194" s="1">
        <v>45062</v>
      </c>
      <c r="C194" t="s">
        <v>20</v>
      </c>
      <c r="D194" t="s">
        <v>13</v>
      </c>
      <c r="E194">
        <v>500</v>
      </c>
      <c r="F194" t="s">
        <v>14</v>
      </c>
      <c r="G194" t="s">
        <v>24</v>
      </c>
      <c r="H194" t="s">
        <v>33</v>
      </c>
      <c r="I194" t="s">
        <v>34</v>
      </c>
      <c r="J194" t="s">
        <v>22</v>
      </c>
      <c r="K194">
        <v>0</v>
      </c>
    </row>
    <row r="195" spans="1:11" x14ac:dyDescent="0.25">
      <c r="A195" t="s">
        <v>233</v>
      </c>
      <c r="B195" s="1">
        <v>44991</v>
      </c>
      <c r="C195" t="s">
        <v>12</v>
      </c>
      <c r="D195" t="s">
        <v>27</v>
      </c>
      <c r="E195">
        <v>16200</v>
      </c>
      <c r="F195" t="s">
        <v>49</v>
      </c>
      <c r="G195" t="s">
        <v>24</v>
      </c>
      <c r="H195" t="s">
        <v>33</v>
      </c>
      <c r="I195" t="s">
        <v>34</v>
      </c>
      <c r="J195" t="s">
        <v>22</v>
      </c>
      <c r="K195">
        <v>0.1</v>
      </c>
    </row>
    <row r="196" spans="1:11" x14ac:dyDescent="0.25">
      <c r="A196" t="s">
        <v>234</v>
      </c>
      <c r="B196" s="1">
        <v>45633</v>
      </c>
      <c r="C196" t="s">
        <v>20</v>
      </c>
      <c r="D196" t="s">
        <v>27</v>
      </c>
      <c r="E196">
        <v>5400</v>
      </c>
      <c r="F196" t="s">
        <v>21</v>
      </c>
      <c r="G196" t="s">
        <v>28</v>
      </c>
      <c r="H196" t="s">
        <v>33</v>
      </c>
      <c r="I196" t="s">
        <v>34</v>
      </c>
      <c r="J196" t="s">
        <v>29</v>
      </c>
      <c r="K196">
        <v>0.1</v>
      </c>
    </row>
    <row r="197" spans="1:11" x14ac:dyDescent="0.25">
      <c r="A197" t="s">
        <v>235</v>
      </c>
      <c r="B197" s="1">
        <v>45262</v>
      </c>
      <c r="C197" t="s">
        <v>31</v>
      </c>
      <c r="D197" t="s">
        <v>27</v>
      </c>
      <c r="E197">
        <v>10800</v>
      </c>
      <c r="F197" t="s">
        <v>49</v>
      </c>
      <c r="G197" t="s">
        <v>24</v>
      </c>
      <c r="H197" t="s">
        <v>33</v>
      </c>
      <c r="I197" t="s">
        <v>34</v>
      </c>
      <c r="J197" t="s">
        <v>35</v>
      </c>
      <c r="K197">
        <v>0.1</v>
      </c>
    </row>
    <row r="198" spans="1:11" x14ac:dyDescent="0.25">
      <c r="A198" t="s">
        <v>236</v>
      </c>
      <c r="B198" s="1">
        <v>45584</v>
      </c>
      <c r="C198" t="s">
        <v>12</v>
      </c>
      <c r="D198" t="s">
        <v>13</v>
      </c>
      <c r="E198">
        <v>1500</v>
      </c>
      <c r="F198" t="s">
        <v>21</v>
      </c>
      <c r="G198" t="s">
        <v>15</v>
      </c>
      <c r="H198" t="s">
        <v>16</v>
      </c>
      <c r="I198" t="s">
        <v>17</v>
      </c>
      <c r="J198" t="s">
        <v>22</v>
      </c>
      <c r="K198">
        <v>0</v>
      </c>
    </row>
    <row r="199" spans="1:11" x14ac:dyDescent="0.25">
      <c r="A199" t="s">
        <v>237</v>
      </c>
      <c r="B199" s="1">
        <v>45180</v>
      </c>
      <c r="C199" t="s">
        <v>12</v>
      </c>
      <c r="D199" t="s">
        <v>13</v>
      </c>
      <c r="E199">
        <v>1500</v>
      </c>
      <c r="F199" t="s">
        <v>32</v>
      </c>
      <c r="G199" t="s">
        <v>24</v>
      </c>
      <c r="H199" t="s">
        <v>16</v>
      </c>
      <c r="I199" t="s">
        <v>17</v>
      </c>
      <c r="J199" t="s">
        <v>25</v>
      </c>
      <c r="K199">
        <v>0</v>
      </c>
    </row>
    <row r="200" spans="1:11" x14ac:dyDescent="0.25">
      <c r="A200" t="s">
        <v>238</v>
      </c>
      <c r="B200" s="1">
        <v>45192</v>
      </c>
      <c r="C200" t="s">
        <v>20</v>
      </c>
      <c r="D200" t="s">
        <v>27</v>
      </c>
      <c r="E200">
        <v>5400</v>
      </c>
      <c r="F200" t="s">
        <v>14</v>
      </c>
      <c r="G200" t="s">
        <v>24</v>
      </c>
      <c r="H200" t="s">
        <v>16</v>
      </c>
      <c r="I200" t="s">
        <v>17</v>
      </c>
      <c r="J200" t="s">
        <v>37</v>
      </c>
      <c r="K200">
        <v>0.1</v>
      </c>
    </row>
    <row r="201" spans="1:11" x14ac:dyDescent="0.25">
      <c r="A201" t="s">
        <v>239</v>
      </c>
      <c r="B201" s="1">
        <v>45205</v>
      </c>
      <c r="C201" t="s">
        <v>20</v>
      </c>
      <c r="D201" t="s">
        <v>27</v>
      </c>
      <c r="E201">
        <v>5400</v>
      </c>
      <c r="F201" t="s">
        <v>21</v>
      </c>
      <c r="G201" t="s">
        <v>15</v>
      </c>
      <c r="H201" t="s">
        <v>16</v>
      </c>
      <c r="I201" t="s">
        <v>17</v>
      </c>
      <c r="J201" t="s">
        <v>18</v>
      </c>
      <c r="K201">
        <v>0.1</v>
      </c>
    </row>
    <row r="202" spans="1:11" x14ac:dyDescent="0.25">
      <c r="A202" t="s">
        <v>240</v>
      </c>
      <c r="B202" s="1">
        <v>45397</v>
      </c>
      <c r="C202" t="s">
        <v>12</v>
      </c>
      <c r="D202" t="s">
        <v>13</v>
      </c>
      <c r="E202">
        <v>1500</v>
      </c>
      <c r="F202" t="s">
        <v>14</v>
      </c>
      <c r="G202" t="s">
        <v>28</v>
      </c>
      <c r="H202" t="s">
        <v>16</v>
      </c>
      <c r="I202" t="s">
        <v>17</v>
      </c>
      <c r="J202" t="s">
        <v>41</v>
      </c>
      <c r="K202">
        <v>0</v>
      </c>
    </row>
    <row r="203" spans="1:11" x14ac:dyDescent="0.25">
      <c r="A203" t="s">
        <v>241</v>
      </c>
      <c r="B203" s="1">
        <v>45284</v>
      </c>
      <c r="C203" t="s">
        <v>20</v>
      </c>
      <c r="D203" t="s">
        <v>27</v>
      </c>
      <c r="E203">
        <v>5400</v>
      </c>
      <c r="F203" t="s">
        <v>49</v>
      </c>
      <c r="G203" t="s">
        <v>24</v>
      </c>
      <c r="H203" t="s">
        <v>16</v>
      </c>
      <c r="I203" t="s">
        <v>17</v>
      </c>
      <c r="J203" t="s">
        <v>18</v>
      </c>
      <c r="K203">
        <v>0.1</v>
      </c>
    </row>
    <row r="204" spans="1:11" x14ac:dyDescent="0.25">
      <c r="A204" t="s">
        <v>242</v>
      </c>
      <c r="B204" s="1">
        <v>45611</v>
      </c>
      <c r="C204" t="s">
        <v>20</v>
      </c>
      <c r="D204" t="s">
        <v>13</v>
      </c>
      <c r="E204">
        <v>500</v>
      </c>
      <c r="F204" t="s">
        <v>49</v>
      </c>
      <c r="G204" t="s">
        <v>24</v>
      </c>
      <c r="H204" t="s">
        <v>33</v>
      </c>
      <c r="I204" t="s">
        <v>34</v>
      </c>
      <c r="J204" t="s">
        <v>25</v>
      </c>
      <c r="K204">
        <v>0</v>
      </c>
    </row>
    <row r="205" spans="1:11" x14ac:dyDescent="0.25">
      <c r="A205" t="s">
        <v>243</v>
      </c>
      <c r="B205" s="1">
        <v>45552</v>
      </c>
      <c r="C205" t="s">
        <v>31</v>
      </c>
      <c r="D205" t="s">
        <v>27</v>
      </c>
      <c r="E205">
        <v>10800</v>
      </c>
      <c r="F205" t="s">
        <v>49</v>
      </c>
      <c r="G205" t="s">
        <v>24</v>
      </c>
      <c r="H205" t="s">
        <v>33</v>
      </c>
      <c r="I205" t="s">
        <v>34</v>
      </c>
      <c r="J205" t="s">
        <v>22</v>
      </c>
      <c r="K205">
        <v>0.1</v>
      </c>
    </row>
    <row r="206" spans="1:11" x14ac:dyDescent="0.25">
      <c r="A206" t="s">
        <v>244</v>
      </c>
      <c r="B206" s="1">
        <v>44931</v>
      </c>
      <c r="C206" t="s">
        <v>12</v>
      </c>
      <c r="D206" t="s">
        <v>27</v>
      </c>
      <c r="E206">
        <v>16200</v>
      </c>
      <c r="F206" t="s">
        <v>49</v>
      </c>
      <c r="G206" t="s">
        <v>28</v>
      </c>
      <c r="H206" t="s">
        <v>16</v>
      </c>
      <c r="I206" t="s">
        <v>17</v>
      </c>
      <c r="J206" t="s">
        <v>50</v>
      </c>
      <c r="K206">
        <v>0.1</v>
      </c>
    </row>
    <row r="207" spans="1:11" x14ac:dyDescent="0.25">
      <c r="A207" t="s">
        <v>245</v>
      </c>
      <c r="B207" s="1">
        <v>44977</v>
      </c>
      <c r="C207" t="s">
        <v>31</v>
      </c>
      <c r="D207" t="s">
        <v>27</v>
      </c>
      <c r="E207">
        <v>10800</v>
      </c>
      <c r="F207" t="s">
        <v>14</v>
      </c>
      <c r="G207" t="s">
        <v>28</v>
      </c>
      <c r="H207" t="s">
        <v>33</v>
      </c>
      <c r="I207" t="s">
        <v>34</v>
      </c>
      <c r="J207" t="s">
        <v>37</v>
      </c>
      <c r="K207">
        <v>0.1</v>
      </c>
    </row>
    <row r="208" spans="1:11" x14ac:dyDescent="0.25">
      <c r="A208" t="s">
        <v>246</v>
      </c>
      <c r="B208" s="1">
        <v>45444</v>
      </c>
      <c r="C208" t="s">
        <v>31</v>
      </c>
      <c r="D208" t="s">
        <v>27</v>
      </c>
      <c r="E208">
        <v>10800</v>
      </c>
      <c r="F208" t="s">
        <v>49</v>
      </c>
      <c r="G208" t="s">
        <v>24</v>
      </c>
      <c r="H208" t="s">
        <v>33</v>
      </c>
      <c r="I208" t="s">
        <v>34</v>
      </c>
      <c r="J208" t="s">
        <v>58</v>
      </c>
      <c r="K208">
        <v>0.1</v>
      </c>
    </row>
    <row r="209" spans="1:11" x14ac:dyDescent="0.25">
      <c r="A209" t="s">
        <v>247</v>
      </c>
      <c r="B209" s="1">
        <v>45406</v>
      </c>
      <c r="C209" t="s">
        <v>20</v>
      </c>
      <c r="D209" t="s">
        <v>13</v>
      </c>
      <c r="E209">
        <v>500</v>
      </c>
      <c r="F209" t="s">
        <v>32</v>
      </c>
      <c r="G209" t="s">
        <v>24</v>
      </c>
      <c r="H209" t="s">
        <v>33</v>
      </c>
      <c r="I209" t="s">
        <v>34</v>
      </c>
      <c r="J209" t="s">
        <v>35</v>
      </c>
      <c r="K209">
        <v>0</v>
      </c>
    </row>
    <row r="210" spans="1:11" x14ac:dyDescent="0.25">
      <c r="A210" t="s">
        <v>248</v>
      </c>
      <c r="B210" s="1">
        <v>45187</v>
      </c>
      <c r="C210" t="s">
        <v>20</v>
      </c>
      <c r="D210" t="s">
        <v>13</v>
      </c>
      <c r="E210">
        <v>500</v>
      </c>
      <c r="F210" t="s">
        <v>21</v>
      </c>
      <c r="G210" t="s">
        <v>28</v>
      </c>
      <c r="H210" t="s">
        <v>33</v>
      </c>
      <c r="I210" t="s">
        <v>34</v>
      </c>
      <c r="J210" t="s">
        <v>29</v>
      </c>
      <c r="K210">
        <v>0</v>
      </c>
    </row>
    <row r="211" spans="1:11" x14ac:dyDescent="0.25">
      <c r="A211" t="s">
        <v>249</v>
      </c>
      <c r="B211" s="1">
        <v>45170</v>
      </c>
      <c r="C211" t="s">
        <v>20</v>
      </c>
      <c r="D211" t="s">
        <v>27</v>
      </c>
      <c r="E211">
        <v>5400</v>
      </c>
      <c r="F211" t="s">
        <v>21</v>
      </c>
      <c r="G211" t="s">
        <v>15</v>
      </c>
      <c r="H211" t="s">
        <v>16</v>
      </c>
      <c r="I211" t="s">
        <v>17</v>
      </c>
      <c r="J211" t="s">
        <v>22</v>
      </c>
      <c r="K211">
        <v>0.1</v>
      </c>
    </row>
    <row r="212" spans="1:11" x14ac:dyDescent="0.25">
      <c r="A212" t="s">
        <v>250</v>
      </c>
      <c r="B212" s="1">
        <v>45339</v>
      </c>
      <c r="C212" t="s">
        <v>12</v>
      </c>
      <c r="D212" t="s">
        <v>27</v>
      </c>
      <c r="E212">
        <v>16200</v>
      </c>
      <c r="F212" t="s">
        <v>32</v>
      </c>
      <c r="G212" t="s">
        <v>28</v>
      </c>
      <c r="H212" t="s">
        <v>16</v>
      </c>
      <c r="I212" t="s">
        <v>17</v>
      </c>
      <c r="J212" t="s">
        <v>35</v>
      </c>
      <c r="K212">
        <v>0.1</v>
      </c>
    </row>
    <row r="213" spans="1:11" x14ac:dyDescent="0.25">
      <c r="A213" t="s">
        <v>251</v>
      </c>
      <c r="B213" s="1">
        <v>45465</v>
      </c>
      <c r="C213" t="s">
        <v>20</v>
      </c>
      <c r="D213" t="s">
        <v>13</v>
      </c>
      <c r="E213">
        <v>500</v>
      </c>
      <c r="F213" t="s">
        <v>32</v>
      </c>
      <c r="G213" t="s">
        <v>28</v>
      </c>
      <c r="H213" t="s">
        <v>33</v>
      </c>
      <c r="I213" t="s">
        <v>34</v>
      </c>
      <c r="J213" t="s">
        <v>35</v>
      </c>
      <c r="K213">
        <v>0</v>
      </c>
    </row>
    <row r="214" spans="1:11" x14ac:dyDescent="0.25">
      <c r="A214" t="s">
        <v>252</v>
      </c>
      <c r="B214" s="1">
        <v>45616</v>
      </c>
      <c r="C214" t="s">
        <v>12</v>
      </c>
      <c r="D214" t="s">
        <v>27</v>
      </c>
      <c r="E214">
        <v>16200</v>
      </c>
      <c r="F214" t="s">
        <v>21</v>
      </c>
      <c r="G214" t="s">
        <v>24</v>
      </c>
      <c r="H214" t="s">
        <v>33</v>
      </c>
      <c r="I214" t="s">
        <v>34</v>
      </c>
      <c r="J214" t="s">
        <v>29</v>
      </c>
      <c r="K214">
        <v>0.1</v>
      </c>
    </row>
    <row r="215" spans="1:11" x14ac:dyDescent="0.25">
      <c r="A215" t="s">
        <v>253</v>
      </c>
      <c r="B215" s="1">
        <v>45603</v>
      </c>
      <c r="C215" t="s">
        <v>12</v>
      </c>
      <c r="D215" t="s">
        <v>27</v>
      </c>
      <c r="E215">
        <v>16200</v>
      </c>
      <c r="F215" t="s">
        <v>14</v>
      </c>
      <c r="G215" t="s">
        <v>28</v>
      </c>
      <c r="H215" t="s">
        <v>16</v>
      </c>
      <c r="I215" t="s">
        <v>17</v>
      </c>
      <c r="J215" t="s">
        <v>22</v>
      </c>
      <c r="K215">
        <v>0.1</v>
      </c>
    </row>
    <row r="216" spans="1:11" x14ac:dyDescent="0.25">
      <c r="A216" t="s">
        <v>254</v>
      </c>
      <c r="B216" s="1">
        <v>45338</v>
      </c>
      <c r="C216" t="s">
        <v>12</v>
      </c>
      <c r="D216" t="s">
        <v>27</v>
      </c>
      <c r="E216">
        <v>16200</v>
      </c>
      <c r="F216" t="s">
        <v>21</v>
      </c>
      <c r="G216" t="s">
        <v>15</v>
      </c>
      <c r="H216" t="s">
        <v>16</v>
      </c>
      <c r="I216" t="s">
        <v>17</v>
      </c>
      <c r="J216" t="s">
        <v>18</v>
      </c>
      <c r="K216">
        <v>0.1</v>
      </c>
    </row>
    <row r="217" spans="1:11" x14ac:dyDescent="0.25">
      <c r="A217" t="s">
        <v>255</v>
      </c>
      <c r="B217" s="1">
        <v>45566</v>
      </c>
      <c r="C217" t="s">
        <v>20</v>
      </c>
      <c r="D217" t="s">
        <v>13</v>
      </c>
      <c r="E217">
        <v>500</v>
      </c>
      <c r="F217" t="s">
        <v>14</v>
      </c>
      <c r="G217" t="s">
        <v>15</v>
      </c>
      <c r="H217" t="s">
        <v>16</v>
      </c>
      <c r="I217" t="s">
        <v>17</v>
      </c>
      <c r="J217" t="s">
        <v>22</v>
      </c>
      <c r="K217">
        <v>0</v>
      </c>
    </row>
    <row r="218" spans="1:11" x14ac:dyDescent="0.25">
      <c r="A218" t="s">
        <v>256</v>
      </c>
      <c r="B218" s="1">
        <v>45426</v>
      </c>
      <c r="C218" t="s">
        <v>20</v>
      </c>
      <c r="D218" t="s">
        <v>27</v>
      </c>
      <c r="E218">
        <v>5400</v>
      </c>
      <c r="F218" t="s">
        <v>21</v>
      </c>
      <c r="G218" t="s">
        <v>28</v>
      </c>
      <c r="H218" t="s">
        <v>16</v>
      </c>
      <c r="I218" t="s">
        <v>17</v>
      </c>
      <c r="J218" t="s">
        <v>29</v>
      </c>
      <c r="K218">
        <v>0.1</v>
      </c>
    </row>
    <row r="219" spans="1:11" x14ac:dyDescent="0.25">
      <c r="A219" t="s">
        <v>257</v>
      </c>
      <c r="B219" s="1">
        <v>44984</v>
      </c>
      <c r="C219" t="s">
        <v>20</v>
      </c>
      <c r="D219" t="s">
        <v>13</v>
      </c>
      <c r="E219">
        <v>500</v>
      </c>
      <c r="F219" t="s">
        <v>21</v>
      </c>
      <c r="G219" t="s">
        <v>28</v>
      </c>
      <c r="H219" t="s">
        <v>16</v>
      </c>
      <c r="I219" t="s">
        <v>17</v>
      </c>
      <c r="J219" t="s">
        <v>29</v>
      </c>
      <c r="K219">
        <v>0</v>
      </c>
    </row>
    <row r="220" spans="1:11" x14ac:dyDescent="0.25">
      <c r="A220" t="s">
        <v>258</v>
      </c>
      <c r="B220" s="1">
        <v>45400</v>
      </c>
      <c r="C220" t="s">
        <v>20</v>
      </c>
      <c r="D220" t="s">
        <v>13</v>
      </c>
      <c r="E220">
        <v>500</v>
      </c>
      <c r="F220" t="s">
        <v>14</v>
      </c>
      <c r="G220" t="s">
        <v>28</v>
      </c>
      <c r="H220" t="s">
        <v>16</v>
      </c>
      <c r="I220" t="s">
        <v>17</v>
      </c>
      <c r="J220" t="s">
        <v>55</v>
      </c>
      <c r="K220">
        <v>0</v>
      </c>
    </row>
    <row r="221" spans="1:11" x14ac:dyDescent="0.25">
      <c r="A221" t="s">
        <v>259</v>
      </c>
      <c r="B221" s="1">
        <v>45294</v>
      </c>
      <c r="C221" t="s">
        <v>20</v>
      </c>
      <c r="D221" t="s">
        <v>13</v>
      </c>
      <c r="E221">
        <v>500</v>
      </c>
      <c r="F221" t="s">
        <v>14</v>
      </c>
      <c r="G221" t="s">
        <v>24</v>
      </c>
      <c r="H221" t="s">
        <v>33</v>
      </c>
      <c r="I221" t="s">
        <v>34</v>
      </c>
      <c r="J221" t="s">
        <v>41</v>
      </c>
      <c r="K221">
        <v>0</v>
      </c>
    </row>
    <row r="222" spans="1:11" x14ac:dyDescent="0.25">
      <c r="A222" t="s">
        <v>260</v>
      </c>
      <c r="B222" s="1">
        <v>45368</v>
      </c>
      <c r="C222" t="s">
        <v>20</v>
      </c>
      <c r="D222" t="s">
        <v>13</v>
      </c>
      <c r="E222">
        <v>500</v>
      </c>
      <c r="F222" t="s">
        <v>14</v>
      </c>
      <c r="G222" t="s">
        <v>28</v>
      </c>
      <c r="H222" t="s">
        <v>16</v>
      </c>
      <c r="I222" t="s">
        <v>17</v>
      </c>
      <c r="J222" t="s">
        <v>18</v>
      </c>
      <c r="K222">
        <v>0</v>
      </c>
    </row>
    <row r="223" spans="1:11" x14ac:dyDescent="0.25">
      <c r="A223" t="s">
        <v>261</v>
      </c>
      <c r="B223" s="1">
        <v>45222</v>
      </c>
      <c r="C223" t="s">
        <v>31</v>
      </c>
      <c r="D223" t="s">
        <v>13</v>
      </c>
      <c r="E223">
        <v>1000</v>
      </c>
      <c r="F223" t="s">
        <v>21</v>
      </c>
      <c r="G223" t="s">
        <v>28</v>
      </c>
      <c r="H223" t="s">
        <v>33</v>
      </c>
      <c r="I223" t="s">
        <v>34</v>
      </c>
      <c r="J223" t="s">
        <v>18</v>
      </c>
      <c r="K223">
        <v>0</v>
      </c>
    </row>
    <row r="224" spans="1:11" x14ac:dyDescent="0.25">
      <c r="A224" t="s">
        <v>262</v>
      </c>
      <c r="B224" s="1">
        <v>44976</v>
      </c>
      <c r="C224" t="s">
        <v>12</v>
      </c>
      <c r="D224" t="s">
        <v>27</v>
      </c>
      <c r="E224">
        <v>16200</v>
      </c>
      <c r="F224" t="s">
        <v>49</v>
      </c>
      <c r="G224" t="s">
        <v>24</v>
      </c>
      <c r="H224" t="s">
        <v>16</v>
      </c>
      <c r="I224" t="s">
        <v>17</v>
      </c>
      <c r="J224" t="s">
        <v>25</v>
      </c>
      <c r="K224">
        <v>0.1</v>
      </c>
    </row>
    <row r="225" spans="1:11" x14ac:dyDescent="0.25">
      <c r="A225" t="s">
        <v>263</v>
      </c>
      <c r="B225" s="1">
        <v>45397</v>
      </c>
      <c r="C225" t="s">
        <v>31</v>
      </c>
      <c r="D225" t="s">
        <v>13</v>
      </c>
      <c r="E225">
        <v>1000</v>
      </c>
      <c r="F225" t="s">
        <v>32</v>
      </c>
      <c r="G225" t="s">
        <v>15</v>
      </c>
      <c r="H225" t="s">
        <v>16</v>
      </c>
      <c r="I225" t="s">
        <v>17</v>
      </c>
      <c r="J225" t="s">
        <v>25</v>
      </c>
      <c r="K225">
        <v>0</v>
      </c>
    </row>
    <row r="226" spans="1:11" x14ac:dyDescent="0.25">
      <c r="A226" t="s">
        <v>264</v>
      </c>
      <c r="B226" s="1">
        <v>45547</v>
      </c>
      <c r="C226" t="s">
        <v>12</v>
      </c>
      <c r="D226" t="s">
        <v>27</v>
      </c>
      <c r="E226">
        <v>16200</v>
      </c>
      <c r="F226" t="s">
        <v>49</v>
      </c>
      <c r="G226" t="s">
        <v>15</v>
      </c>
      <c r="H226" t="s">
        <v>16</v>
      </c>
      <c r="I226" t="s">
        <v>17</v>
      </c>
      <c r="J226" t="s">
        <v>50</v>
      </c>
      <c r="K226">
        <v>0.1</v>
      </c>
    </row>
    <row r="227" spans="1:11" x14ac:dyDescent="0.25">
      <c r="A227" t="s">
        <v>265</v>
      </c>
      <c r="B227" s="1">
        <v>45301</v>
      </c>
      <c r="C227" t="s">
        <v>20</v>
      </c>
      <c r="D227" t="s">
        <v>27</v>
      </c>
      <c r="E227">
        <v>5400</v>
      </c>
      <c r="F227" t="s">
        <v>21</v>
      </c>
      <c r="G227" t="s">
        <v>24</v>
      </c>
      <c r="H227" t="s">
        <v>16</v>
      </c>
      <c r="I227" t="s">
        <v>17</v>
      </c>
      <c r="J227" t="s">
        <v>18</v>
      </c>
      <c r="K227">
        <v>0.1</v>
      </c>
    </row>
    <row r="228" spans="1:11" x14ac:dyDescent="0.25">
      <c r="A228" t="s">
        <v>266</v>
      </c>
      <c r="B228" s="1">
        <v>45081</v>
      </c>
      <c r="C228" t="s">
        <v>20</v>
      </c>
      <c r="D228" t="s">
        <v>27</v>
      </c>
      <c r="E228">
        <v>5400</v>
      </c>
      <c r="F228" t="s">
        <v>21</v>
      </c>
      <c r="G228" t="s">
        <v>24</v>
      </c>
      <c r="H228" t="s">
        <v>33</v>
      </c>
      <c r="I228" t="s">
        <v>34</v>
      </c>
      <c r="J228" t="s">
        <v>22</v>
      </c>
      <c r="K228">
        <v>0.1</v>
      </c>
    </row>
    <row r="229" spans="1:11" x14ac:dyDescent="0.25">
      <c r="A229" t="s">
        <v>267</v>
      </c>
      <c r="B229" s="1">
        <v>45425</v>
      </c>
      <c r="C229" t="s">
        <v>20</v>
      </c>
      <c r="D229" t="s">
        <v>13</v>
      </c>
      <c r="E229">
        <v>500</v>
      </c>
      <c r="F229" t="s">
        <v>21</v>
      </c>
      <c r="G229" t="s">
        <v>24</v>
      </c>
      <c r="H229" t="s">
        <v>33</v>
      </c>
      <c r="I229" t="s">
        <v>34</v>
      </c>
      <c r="J229" t="s">
        <v>25</v>
      </c>
      <c r="K229">
        <v>0</v>
      </c>
    </row>
    <row r="230" spans="1:11" x14ac:dyDescent="0.25">
      <c r="A230" t="s">
        <v>268</v>
      </c>
      <c r="B230" s="1">
        <v>45497</v>
      </c>
      <c r="C230" t="s">
        <v>31</v>
      </c>
      <c r="D230" t="s">
        <v>27</v>
      </c>
      <c r="E230">
        <v>10800</v>
      </c>
      <c r="F230" t="s">
        <v>14</v>
      </c>
      <c r="G230" t="s">
        <v>28</v>
      </c>
      <c r="H230" t="s">
        <v>16</v>
      </c>
      <c r="I230" t="s">
        <v>17</v>
      </c>
      <c r="J230" t="s">
        <v>37</v>
      </c>
      <c r="K230">
        <v>0.1</v>
      </c>
    </row>
    <row r="231" spans="1:11" x14ac:dyDescent="0.25">
      <c r="A231" t="s">
        <v>269</v>
      </c>
      <c r="B231" s="1">
        <v>45087</v>
      </c>
      <c r="C231" t="s">
        <v>31</v>
      </c>
      <c r="D231" t="s">
        <v>13</v>
      </c>
      <c r="E231">
        <v>1000</v>
      </c>
      <c r="F231" t="s">
        <v>32</v>
      </c>
      <c r="G231" t="s">
        <v>24</v>
      </c>
      <c r="H231" t="s">
        <v>33</v>
      </c>
      <c r="I231" t="s">
        <v>34</v>
      </c>
      <c r="J231" t="s">
        <v>25</v>
      </c>
      <c r="K231">
        <v>0</v>
      </c>
    </row>
    <row r="232" spans="1:11" x14ac:dyDescent="0.25">
      <c r="A232" t="s">
        <v>270</v>
      </c>
      <c r="B232" s="1">
        <v>45357</v>
      </c>
      <c r="C232" t="s">
        <v>12</v>
      </c>
      <c r="D232" t="s">
        <v>27</v>
      </c>
      <c r="E232">
        <v>16200</v>
      </c>
      <c r="F232" t="s">
        <v>32</v>
      </c>
      <c r="G232" t="s">
        <v>24</v>
      </c>
      <c r="H232" t="s">
        <v>33</v>
      </c>
      <c r="I232" t="s">
        <v>34</v>
      </c>
      <c r="J232" t="s">
        <v>39</v>
      </c>
      <c r="K232">
        <v>0.1</v>
      </c>
    </row>
    <row r="233" spans="1:11" x14ac:dyDescent="0.25">
      <c r="A233" t="s">
        <v>271</v>
      </c>
      <c r="B233" s="1">
        <v>45179</v>
      </c>
      <c r="C233" t="s">
        <v>20</v>
      </c>
      <c r="D233" t="s">
        <v>13</v>
      </c>
      <c r="E233">
        <v>500</v>
      </c>
      <c r="F233" t="s">
        <v>21</v>
      </c>
      <c r="G233" t="s">
        <v>28</v>
      </c>
      <c r="H233" t="s">
        <v>16</v>
      </c>
      <c r="I233" t="s">
        <v>17</v>
      </c>
      <c r="J233" t="s">
        <v>22</v>
      </c>
      <c r="K233">
        <v>0</v>
      </c>
    </row>
    <row r="234" spans="1:11" x14ac:dyDescent="0.25">
      <c r="A234" t="s">
        <v>272</v>
      </c>
      <c r="B234" s="1">
        <v>44956</v>
      </c>
      <c r="C234" t="s">
        <v>12</v>
      </c>
      <c r="D234" t="s">
        <v>13</v>
      </c>
      <c r="E234">
        <v>1500</v>
      </c>
      <c r="F234" t="s">
        <v>49</v>
      </c>
      <c r="G234" t="s">
        <v>24</v>
      </c>
      <c r="H234" t="s">
        <v>33</v>
      </c>
      <c r="I234" t="s">
        <v>34</v>
      </c>
      <c r="J234" t="s">
        <v>58</v>
      </c>
      <c r="K234">
        <v>0</v>
      </c>
    </row>
    <row r="235" spans="1:11" x14ac:dyDescent="0.25">
      <c r="A235" t="s">
        <v>273</v>
      </c>
      <c r="B235" s="1">
        <v>45051</v>
      </c>
      <c r="C235" t="s">
        <v>20</v>
      </c>
      <c r="D235" t="s">
        <v>27</v>
      </c>
      <c r="E235">
        <v>5400</v>
      </c>
      <c r="F235" t="s">
        <v>21</v>
      </c>
      <c r="G235" t="s">
        <v>24</v>
      </c>
      <c r="H235" t="s">
        <v>33</v>
      </c>
      <c r="I235" t="s">
        <v>34</v>
      </c>
      <c r="J235" t="s">
        <v>25</v>
      </c>
      <c r="K235">
        <v>0.1</v>
      </c>
    </row>
    <row r="236" spans="1:11" x14ac:dyDescent="0.25">
      <c r="A236" t="s">
        <v>274</v>
      </c>
      <c r="B236" s="1">
        <v>45340</v>
      </c>
      <c r="C236" t="s">
        <v>12</v>
      </c>
      <c r="D236" t="s">
        <v>13</v>
      </c>
      <c r="E236">
        <v>1500</v>
      </c>
      <c r="F236" t="s">
        <v>14</v>
      </c>
      <c r="G236" t="s">
        <v>24</v>
      </c>
      <c r="H236" t="s">
        <v>16</v>
      </c>
      <c r="I236" t="s">
        <v>17</v>
      </c>
      <c r="J236" t="s">
        <v>41</v>
      </c>
      <c r="K236">
        <v>0</v>
      </c>
    </row>
    <row r="237" spans="1:11" x14ac:dyDescent="0.25">
      <c r="A237" t="s">
        <v>275</v>
      </c>
      <c r="B237" s="1">
        <v>45110</v>
      </c>
      <c r="C237" t="s">
        <v>20</v>
      </c>
      <c r="D237" t="s">
        <v>27</v>
      </c>
      <c r="E237">
        <v>5400</v>
      </c>
      <c r="F237" t="s">
        <v>49</v>
      </c>
      <c r="G237" t="s">
        <v>28</v>
      </c>
      <c r="H237" t="s">
        <v>16</v>
      </c>
      <c r="I237" t="s">
        <v>17</v>
      </c>
      <c r="J237" t="s">
        <v>35</v>
      </c>
      <c r="K237">
        <v>0.1</v>
      </c>
    </row>
    <row r="238" spans="1:11" x14ac:dyDescent="0.25">
      <c r="A238" t="s">
        <v>276</v>
      </c>
      <c r="B238" s="1">
        <v>45252</v>
      </c>
      <c r="C238" t="s">
        <v>12</v>
      </c>
      <c r="D238" t="s">
        <v>27</v>
      </c>
      <c r="E238">
        <v>16200</v>
      </c>
      <c r="F238" t="s">
        <v>21</v>
      </c>
      <c r="G238" t="s">
        <v>28</v>
      </c>
      <c r="H238" t="s">
        <v>16</v>
      </c>
      <c r="I238" t="s">
        <v>17</v>
      </c>
      <c r="J238" t="s">
        <v>29</v>
      </c>
      <c r="K238">
        <v>0.1</v>
      </c>
    </row>
    <row r="239" spans="1:11" x14ac:dyDescent="0.25">
      <c r="A239" t="s">
        <v>277</v>
      </c>
      <c r="B239" s="1">
        <v>45190</v>
      </c>
      <c r="C239" t="s">
        <v>20</v>
      </c>
      <c r="D239" t="s">
        <v>13</v>
      </c>
      <c r="E239">
        <v>500</v>
      </c>
      <c r="F239" t="s">
        <v>21</v>
      </c>
      <c r="G239" t="s">
        <v>24</v>
      </c>
      <c r="H239" t="s">
        <v>33</v>
      </c>
      <c r="I239" t="s">
        <v>34</v>
      </c>
      <c r="J239" t="s">
        <v>29</v>
      </c>
      <c r="K239">
        <v>0</v>
      </c>
    </row>
    <row r="240" spans="1:11" x14ac:dyDescent="0.25">
      <c r="A240" t="s">
        <v>278</v>
      </c>
      <c r="B240" s="1">
        <v>45517</v>
      </c>
      <c r="C240" t="s">
        <v>31</v>
      </c>
      <c r="D240" t="s">
        <v>27</v>
      </c>
      <c r="E240">
        <v>10800</v>
      </c>
      <c r="F240" t="s">
        <v>14</v>
      </c>
      <c r="G240" t="s">
        <v>24</v>
      </c>
      <c r="H240" t="s">
        <v>33</v>
      </c>
      <c r="I240" t="s">
        <v>34</v>
      </c>
      <c r="J240" t="s">
        <v>18</v>
      </c>
      <c r="K240">
        <v>0.1</v>
      </c>
    </row>
    <row r="241" spans="1:11" x14ac:dyDescent="0.25">
      <c r="A241" t="s">
        <v>279</v>
      </c>
      <c r="B241" s="1">
        <v>45394</v>
      </c>
      <c r="C241" t="s">
        <v>31</v>
      </c>
      <c r="D241" t="s">
        <v>27</v>
      </c>
      <c r="E241">
        <v>10800</v>
      </c>
      <c r="F241" t="s">
        <v>14</v>
      </c>
      <c r="G241" t="s">
        <v>24</v>
      </c>
      <c r="H241" t="s">
        <v>33</v>
      </c>
      <c r="I241" t="s">
        <v>34</v>
      </c>
      <c r="J241" t="s">
        <v>41</v>
      </c>
      <c r="K241">
        <v>0.1</v>
      </c>
    </row>
    <row r="242" spans="1:11" x14ac:dyDescent="0.25">
      <c r="A242" t="s">
        <v>280</v>
      </c>
      <c r="B242" s="1">
        <v>45362</v>
      </c>
      <c r="C242" t="s">
        <v>12</v>
      </c>
      <c r="D242" t="s">
        <v>13</v>
      </c>
      <c r="E242">
        <v>1500</v>
      </c>
      <c r="F242" t="s">
        <v>32</v>
      </c>
      <c r="G242" t="s">
        <v>15</v>
      </c>
      <c r="H242" t="s">
        <v>16</v>
      </c>
      <c r="I242" t="s">
        <v>17</v>
      </c>
      <c r="J242" t="s">
        <v>25</v>
      </c>
      <c r="K242">
        <v>0</v>
      </c>
    </row>
    <row r="243" spans="1:11" x14ac:dyDescent="0.25">
      <c r="A243" t="s">
        <v>281</v>
      </c>
      <c r="B243" s="1">
        <v>45420</v>
      </c>
      <c r="C243" t="s">
        <v>31</v>
      </c>
      <c r="D243" t="s">
        <v>13</v>
      </c>
      <c r="E243">
        <v>1000</v>
      </c>
      <c r="F243" t="s">
        <v>32</v>
      </c>
      <c r="G243" t="s">
        <v>28</v>
      </c>
      <c r="H243" t="s">
        <v>16</v>
      </c>
      <c r="I243" t="s">
        <v>17</v>
      </c>
      <c r="J243" t="s">
        <v>25</v>
      </c>
      <c r="K243">
        <v>0</v>
      </c>
    </row>
    <row r="244" spans="1:11" x14ac:dyDescent="0.25">
      <c r="A244" t="s">
        <v>282</v>
      </c>
      <c r="B244" s="1">
        <v>45433</v>
      </c>
      <c r="C244" t="s">
        <v>31</v>
      </c>
      <c r="D244" t="s">
        <v>13</v>
      </c>
      <c r="E244">
        <v>1000</v>
      </c>
      <c r="F244" t="s">
        <v>32</v>
      </c>
      <c r="G244" t="s">
        <v>24</v>
      </c>
      <c r="H244" t="s">
        <v>33</v>
      </c>
      <c r="I244" t="s">
        <v>34</v>
      </c>
      <c r="J244" t="s">
        <v>66</v>
      </c>
      <c r="K244">
        <v>0</v>
      </c>
    </row>
    <row r="245" spans="1:11" x14ac:dyDescent="0.25">
      <c r="A245" t="s">
        <v>283</v>
      </c>
      <c r="B245" s="1">
        <v>45131</v>
      </c>
      <c r="C245" t="s">
        <v>31</v>
      </c>
      <c r="D245" t="s">
        <v>27</v>
      </c>
      <c r="E245">
        <v>10800</v>
      </c>
      <c r="F245" t="s">
        <v>49</v>
      </c>
      <c r="G245" t="s">
        <v>15</v>
      </c>
      <c r="H245" t="s">
        <v>16</v>
      </c>
      <c r="I245" t="s">
        <v>17</v>
      </c>
      <c r="J245" t="s">
        <v>25</v>
      </c>
      <c r="K245">
        <v>0.1</v>
      </c>
    </row>
    <row r="246" spans="1:11" x14ac:dyDescent="0.25">
      <c r="A246" t="s">
        <v>284</v>
      </c>
      <c r="B246" s="1">
        <v>45598</v>
      </c>
      <c r="C246" t="s">
        <v>31</v>
      </c>
      <c r="D246" t="s">
        <v>27</v>
      </c>
      <c r="E246">
        <v>10800</v>
      </c>
      <c r="F246" t="s">
        <v>49</v>
      </c>
      <c r="G246" t="s">
        <v>24</v>
      </c>
      <c r="H246" t="s">
        <v>33</v>
      </c>
      <c r="I246" t="s">
        <v>34</v>
      </c>
      <c r="J246" t="s">
        <v>35</v>
      </c>
      <c r="K246">
        <v>0.1</v>
      </c>
    </row>
    <row r="247" spans="1:11" x14ac:dyDescent="0.25">
      <c r="A247" t="s">
        <v>285</v>
      </c>
      <c r="B247" s="1">
        <v>45397</v>
      </c>
      <c r="C247" t="s">
        <v>12</v>
      </c>
      <c r="D247" t="s">
        <v>27</v>
      </c>
      <c r="E247">
        <v>16200</v>
      </c>
      <c r="F247" t="s">
        <v>32</v>
      </c>
      <c r="G247" t="s">
        <v>28</v>
      </c>
      <c r="H247" t="s">
        <v>16</v>
      </c>
      <c r="I247" t="s">
        <v>17</v>
      </c>
      <c r="J247" t="s">
        <v>66</v>
      </c>
      <c r="K247">
        <v>0.1</v>
      </c>
    </row>
    <row r="248" spans="1:11" x14ac:dyDescent="0.25">
      <c r="A248" t="s">
        <v>286</v>
      </c>
      <c r="B248" s="1">
        <v>45213</v>
      </c>
      <c r="C248" t="s">
        <v>12</v>
      </c>
      <c r="D248" t="s">
        <v>27</v>
      </c>
      <c r="E248">
        <v>16200</v>
      </c>
      <c r="F248" t="s">
        <v>32</v>
      </c>
      <c r="G248" t="s">
        <v>24</v>
      </c>
      <c r="H248" t="s">
        <v>33</v>
      </c>
      <c r="I248" t="s">
        <v>34</v>
      </c>
      <c r="J248" t="s">
        <v>25</v>
      </c>
      <c r="K248">
        <v>0.1</v>
      </c>
    </row>
    <row r="249" spans="1:11" x14ac:dyDescent="0.25">
      <c r="A249" t="s">
        <v>287</v>
      </c>
      <c r="B249" s="1">
        <v>45023</v>
      </c>
      <c r="C249" t="s">
        <v>31</v>
      </c>
      <c r="D249" t="s">
        <v>13</v>
      </c>
      <c r="E249">
        <v>1000</v>
      </c>
      <c r="F249" t="s">
        <v>14</v>
      </c>
      <c r="G249" t="s">
        <v>15</v>
      </c>
      <c r="H249" t="s">
        <v>16</v>
      </c>
      <c r="I249" t="s">
        <v>17</v>
      </c>
      <c r="J249" t="s">
        <v>55</v>
      </c>
      <c r="K249">
        <v>0</v>
      </c>
    </row>
    <row r="250" spans="1:11" x14ac:dyDescent="0.25">
      <c r="A250" t="s">
        <v>288</v>
      </c>
      <c r="B250" s="1">
        <v>45532</v>
      </c>
      <c r="C250" t="s">
        <v>31</v>
      </c>
      <c r="D250" t="s">
        <v>27</v>
      </c>
      <c r="E250">
        <v>10800</v>
      </c>
      <c r="F250" t="s">
        <v>14</v>
      </c>
      <c r="G250" t="s">
        <v>24</v>
      </c>
      <c r="H250" t="s">
        <v>33</v>
      </c>
      <c r="I250" t="s">
        <v>34</v>
      </c>
      <c r="J250" t="s">
        <v>37</v>
      </c>
      <c r="K250">
        <v>0.1</v>
      </c>
    </row>
    <row r="251" spans="1:11" x14ac:dyDescent="0.25">
      <c r="A251" t="s">
        <v>289</v>
      </c>
      <c r="B251" s="1">
        <v>45499</v>
      </c>
      <c r="C251" t="s">
        <v>20</v>
      </c>
      <c r="D251" t="s">
        <v>27</v>
      </c>
      <c r="E251">
        <v>5400</v>
      </c>
      <c r="F251" t="s">
        <v>49</v>
      </c>
      <c r="G251" t="s">
        <v>24</v>
      </c>
      <c r="H251" t="s">
        <v>33</v>
      </c>
      <c r="I251" t="s">
        <v>34</v>
      </c>
      <c r="J251" t="s">
        <v>22</v>
      </c>
      <c r="K251">
        <v>0.1</v>
      </c>
    </row>
    <row r="252" spans="1:11" x14ac:dyDescent="0.25">
      <c r="A252" t="s">
        <v>290</v>
      </c>
      <c r="B252" s="1">
        <v>45175</v>
      </c>
      <c r="C252" t="s">
        <v>12</v>
      </c>
      <c r="D252" t="s">
        <v>27</v>
      </c>
      <c r="E252">
        <v>16200</v>
      </c>
      <c r="F252" t="s">
        <v>14</v>
      </c>
      <c r="G252" t="s">
        <v>15</v>
      </c>
      <c r="H252" t="s">
        <v>16</v>
      </c>
      <c r="I252" t="s">
        <v>17</v>
      </c>
      <c r="J252" t="s">
        <v>41</v>
      </c>
      <c r="K252">
        <v>0.1</v>
      </c>
    </row>
    <row r="253" spans="1:11" x14ac:dyDescent="0.25">
      <c r="A253" t="s">
        <v>291</v>
      </c>
      <c r="B253" s="1">
        <v>45052</v>
      </c>
      <c r="C253" t="s">
        <v>12</v>
      </c>
      <c r="D253" t="s">
        <v>13</v>
      </c>
      <c r="E253">
        <v>1500</v>
      </c>
      <c r="F253" t="s">
        <v>32</v>
      </c>
      <c r="G253" t="s">
        <v>28</v>
      </c>
      <c r="H253" t="s">
        <v>16</v>
      </c>
      <c r="I253" t="s">
        <v>17</v>
      </c>
      <c r="J253" t="s">
        <v>25</v>
      </c>
      <c r="K253">
        <v>0</v>
      </c>
    </row>
    <row r="254" spans="1:11" x14ac:dyDescent="0.25">
      <c r="A254" t="s">
        <v>292</v>
      </c>
      <c r="B254" s="1">
        <v>45177</v>
      </c>
      <c r="C254" t="s">
        <v>31</v>
      </c>
      <c r="D254" t="s">
        <v>13</v>
      </c>
      <c r="E254">
        <v>1000</v>
      </c>
      <c r="F254" t="s">
        <v>49</v>
      </c>
      <c r="G254" t="s">
        <v>24</v>
      </c>
      <c r="H254" t="s">
        <v>33</v>
      </c>
      <c r="I254" t="s">
        <v>34</v>
      </c>
      <c r="J254" t="s">
        <v>25</v>
      </c>
      <c r="K254">
        <v>0</v>
      </c>
    </row>
    <row r="255" spans="1:11" x14ac:dyDescent="0.25">
      <c r="A255" t="s">
        <v>293</v>
      </c>
      <c r="B255" s="1">
        <v>45332</v>
      </c>
      <c r="C255" t="s">
        <v>20</v>
      </c>
      <c r="D255" t="s">
        <v>13</v>
      </c>
      <c r="E255">
        <v>500</v>
      </c>
      <c r="F255" t="s">
        <v>32</v>
      </c>
      <c r="G255" t="s">
        <v>15</v>
      </c>
      <c r="H255" t="s">
        <v>16</v>
      </c>
      <c r="I255" t="s">
        <v>17</v>
      </c>
      <c r="J255" t="s">
        <v>39</v>
      </c>
      <c r="K255">
        <v>0</v>
      </c>
    </row>
    <row r="256" spans="1:11" x14ac:dyDescent="0.25">
      <c r="A256" t="s">
        <v>294</v>
      </c>
      <c r="B256" s="1">
        <v>44949</v>
      </c>
      <c r="C256" t="s">
        <v>31</v>
      </c>
      <c r="D256" t="s">
        <v>27</v>
      </c>
      <c r="E256">
        <v>10800</v>
      </c>
      <c r="F256" t="s">
        <v>32</v>
      </c>
      <c r="G256" t="s">
        <v>24</v>
      </c>
      <c r="H256" t="s">
        <v>16</v>
      </c>
      <c r="I256" t="s">
        <v>17</v>
      </c>
      <c r="J256" t="s">
        <v>44</v>
      </c>
      <c r="K256">
        <v>0.1</v>
      </c>
    </row>
    <row r="257" spans="1:11" x14ac:dyDescent="0.25">
      <c r="A257" t="s">
        <v>295</v>
      </c>
      <c r="B257" s="1">
        <v>44983</v>
      </c>
      <c r="C257" t="s">
        <v>31</v>
      </c>
      <c r="D257" t="s">
        <v>27</v>
      </c>
      <c r="E257">
        <v>10800</v>
      </c>
      <c r="F257" t="s">
        <v>49</v>
      </c>
      <c r="G257" t="s">
        <v>24</v>
      </c>
      <c r="H257" t="s">
        <v>33</v>
      </c>
      <c r="I257" t="s">
        <v>34</v>
      </c>
      <c r="J257" t="s">
        <v>18</v>
      </c>
      <c r="K257">
        <v>0.1</v>
      </c>
    </row>
    <row r="258" spans="1:11" x14ac:dyDescent="0.25">
      <c r="A258" t="s">
        <v>296</v>
      </c>
      <c r="B258" s="1">
        <v>45508</v>
      </c>
      <c r="C258" t="s">
        <v>20</v>
      </c>
      <c r="D258" t="s">
        <v>13</v>
      </c>
      <c r="E258">
        <v>500</v>
      </c>
      <c r="F258" t="s">
        <v>32</v>
      </c>
      <c r="G258" t="s">
        <v>28</v>
      </c>
      <c r="H258" t="s">
        <v>16</v>
      </c>
      <c r="I258" t="s">
        <v>17</v>
      </c>
      <c r="J258" t="s">
        <v>35</v>
      </c>
      <c r="K258">
        <v>0</v>
      </c>
    </row>
    <row r="259" spans="1:11" x14ac:dyDescent="0.25">
      <c r="A259" t="s">
        <v>297</v>
      </c>
      <c r="B259" s="1">
        <v>45264</v>
      </c>
      <c r="C259" t="s">
        <v>31</v>
      </c>
      <c r="D259" t="s">
        <v>13</v>
      </c>
      <c r="E259">
        <v>1000</v>
      </c>
      <c r="F259" t="s">
        <v>32</v>
      </c>
      <c r="G259" t="s">
        <v>24</v>
      </c>
      <c r="H259" t="s">
        <v>33</v>
      </c>
      <c r="I259" t="s">
        <v>34</v>
      </c>
      <c r="J259" t="s">
        <v>25</v>
      </c>
      <c r="K259">
        <v>0</v>
      </c>
    </row>
    <row r="260" spans="1:11" x14ac:dyDescent="0.25">
      <c r="A260" t="s">
        <v>298</v>
      </c>
      <c r="B260" s="1">
        <v>45498</v>
      </c>
      <c r="C260" t="s">
        <v>31</v>
      </c>
      <c r="D260" t="s">
        <v>13</v>
      </c>
      <c r="E260">
        <v>1000</v>
      </c>
      <c r="F260" t="s">
        <v>49</v>
      </c>
      <c r="G260" t="s">
        <v>24</v>
      </c>
      <c r="H260" t="s">
        <v>33</v>
      </c>
      <c r="I260" t="s">
        <v>34</v>
      </c>
      <c r="J260" t="s">
        <v>50</v>
      </c>
      <c r="K260">
        <v>0</v>
      </c>
    </row>
    <row r="261" spans="1:11" x14ac:dyDescent="0.25">
      <c r="A261" t="s">
        <v>299</v>
      </c>
      <c r="B261" s="1">
        <v>45403</v>
      </c>
      <c r="C261" t="s">
        <v>31</v>
      </c>
      <c r="D261" t="s">
        <v>27</v>
      </c>
      <c r="E261">
        <v>10800</v>
      </c>
      <c r="F261" t="s">
        <v>21</v>
      </c>
      <c r="G261" t="s">
        <v>28</v>
      </c>
      <c r="H261" t="s">
        <v>33</v>
      </c>
      <c r="I261" t="s">
        <v>34</v>
      </c>
      <c r="J261" t="s">
        <v>29</v>
      </c>
      <c r="K261">
        <v>0.1</v>
      </c>
    </row>
    <row r="262" spans="1:11" x14ac:dyDescent="0.25">
      <c r="A262" t="s">
        <v>300</v>
      </c>
      <c r="B262" s="1">
        <v>45311</v>
      </c>
      <c r="C262" t="s">
        <v>20</v>
      </c>
      <c r="D262" t="s">
        <v>27</v>
      </c>
      <c r="E262">
        <v>5400</v>
      </c>
      <c r="F262" t="s">
        <v>14</v>
      </c>
      <c r="G262" t="s">
        <v>24</v>
      </c>
      <c r="H262" t="s">
        <v>16</v>
      </c>
      <c r="I262" t="s">
        <v>17</v>
      </c>
      <c r="J262" t="s">
        <v>22</v>
      </c>
      <c r="K262">
        <v>0.1</v>
      </c>
    </row>
    <row r="263" spans="1:11" x14ac:dyDescent="0.25">
      <c r="A263" t="s">
        <v>301</v>
      </c>
      <c r="B263" s="1">
        <v>45315</v>
      </c>
      <c r="C263" t="s">
        <v>20</v>
      </c>
      <c r="D263" t="s">
        <v>27</v>
      </c>
      <c r="E263">
        <v>5400</v>
      </c>
      <c r="F263" t="s">
        <v>32</v>
      </c>
      <c r="G263" t="s">
        <v>24</v>
      </c>
      <c r="H263" t="s">
        <v>16</v>
      </c>
      <c r="I263" t="s">
        <v>17</v>
      </c>
      <c r="J263" t="s">
        <v>25</v>
      </c>
      <c r="K263">
        <v>0.1</v>
      </c>
    </row>
    <row r="264" spans="1:11" x14ac:dyDescent="0.25">
      <c r="A264" t="s">
        <v>302</v>
      </c>
      <c r="B264" s="1">
        <v>45592</v>
      </c>
      <c r="C264" t="s">
        <v>12</v>
      </c>
      <c r="D264" t="s">
        <v>27</v>
      </c>
      <c r="E264">
        <v>16200</v>
      </c>
      <c r="F264" t="s">
        <v>21</v>
      </c>
      <c r="G264" t="s">
        <v>24</v>
      </c>
      <c r="H264" t="s">
        <v>33</v>
      </c>
      <c r="I264" t="s">
        <v>34</v>
      </c>
      <c r="J264" t="s">
        <v>22</v>
      </c>
      <c r="K264">
        <v>0.1</v>
      </c>
    </row>
    <row r="265" spans="1:11" x14ac:dyDescent="0.25">
      <c r="A265" t="s">
        <v>303</v>
      </c>
      <c r="B265" s="1">
        <v>45314</v>
      </c>
      <c r="C265" t="s">
        <v>31</v>
      </c>
      <c r="D265" t="s">
        <v>13</v>
      </c>
      <c r="E265">
        <v>1000</v>
      </c>
      <c r="F265" t="s">
        <v>49</v>
      </c>
      <c r="G265" t="s">
        <v>15</v>
      </c>
      <c r="H265" t="s">
        <v>16</v>
      </c>
      <c r="I265" t="s">
        <v>17</v>
      </c>
      <c r="J265" t="s">
        <v>22</v>
      </c>
      <c r="K265">
        <v>0</v>
      </c>
    </row>
    <row r="266" spans="1:11" x14ac:dyDescent="0.25">
      <c r="A266" t="s">
        <v>304</v>
      </c>
      <c r="B266" s="1">
        <v>45626</v>
      </c>
      <c r="C266" t="s">
        <v>12</v>
      </c>
      <c r="D266" t="s">
        <v>13</v>
      </c>
      <c r="E266">
        <v>1500</v>
      </c>
      <c r="F266" t="s">
        <v>32</v>
      </c>
      <c r="G266" t="s">
        <v>28</v>
      </c>
      <c r="H266" t="s">
        <v>16</v>
      </c>
      <c r="I266" t="s">
        <v>17</v>
      </c>
      <c r="J266" t="s">
        <v>39</v>
      </c>
      <c r="K266">
        <v>0</v>
      </c>
    </row>
    <row r="267" spans="1:11" x14ac:dyDescent="0.25">
      <c r="A267" t="s">
        <v>305</v>
      </c>
      <c r="B267" s="1">
        <v>45209</v>
      </c>
      <c r="C267" t="s">
        <v>31</v>
      </c>
      <c r="D267" t="s">
        <v>27</v>
      </c>
      <c r="E267">
        <v>10800</v>
      </c>
      <c r="F267" t="s">
        <v>21</v>
      </c>
      <c r="G267" t="s">
        <v>28</v>
      </c>
      <c r="H267" t="s">
        <v>16</v>
      </c>
      <c r="I267" t="s">
        <v>17</v>
      </c>
      <c r="J267" t="s">
        <v>25</v>
      </c>
      <c r="K267">
        <v>0.1</v>
      </c>
    </row>
    <row r="268" spans="1:11" x14ac:dyDescent="0.25">
      <c r="A268" t="s">
        <v>306</v>
      </c>
      <c r="B268" s="1">
        <v>45418</v>
      </c>
      <c r="C268" t="s">
        <v>12</v>
      </c>
      <c r="D268" t="s">
        <v>13</v>
      </c>
      <c r="E268">
        <v>1500</v>
      </c>
      <c r="F268" t="s">
        <v>49</v>
      </c>
      <c r="G268" t="s">
        <v>15</v>
      </c>
      <c r="H268" t="s">
        <v>16</v>
      </c>
      <c r="I268" t="s">
        <v>17</v>
      </c>
      <c r="J268" t="s">
        <v>58</v>
      </c>
      <c r="K268">
        <v>0</v>
      </c>
    </row>
    <row r="269" spans="1:11" x14ac:dyDescent="0.25">
      <c r="A269" t="s">
        <v>307</v>
      </c>
      <c r="B269" s="1">
        <v>44979</v>
      </c>
      <c r="C269" t="s">
        <v>20</v>
      </c>
      <c r="D269" t="s">
        <v>13</v>
      </c>
      <c r="E269">
        <v>500</v>
      </c>
      <c r="F269" t="s">
        <v>14</v>
      </c>
      <c r="G269" t="s">
        <v>15</v>
      </c>
      <c r="H269" t="s">
        <v>16</v>
      </c>
      <c r="I269" t="s">
        <v>17</v>
      </c>
      <c r="J269" t="s">
        <v>37</v>
      </c>
      <c r="K269">
        <v>0</v>
      </c>
    </row>
    <row r="270" spans="1:11" x14ac:dyDescent="0.25">
      <c r="A270" t="s">
        <v>308</v>
      </c>
      <c r="B270" s="1">
        <v>45163</v>
      </c>
      <c r="C270" t="s">
        <v>31</v>
      </c>
      <c r="D270" t="s">
        <v>27</v>
      </c>
      <c r="E270">
        <v>10800</v>
      </c>
      <c r="F270" t="s">
        <v>49</v>
      </c>
      <c r="G270" t="s">
        <v>24</v>
      </c>
      <c r="H270" t="s">
        <v>16</v>
      </c>
      <c r="I270" t="s">
        <v>17</v>
      </c>
      <c r="J270" t="s">
        <v>58</v>
      </c>
      <c r="K270">
        <v>0.1</v>
      </c>
    </row>
    <row r="271" spans="1:11" x14ac:dyDescent="0.25">
      <c r="A271" t="s">
        <v>309</v>
      </c>
      <c r="B271" s="1">
        <v>45323</v>
      </c>
      <c r="C271" t="s">
        <v>20</v>
      </c>
      <c r="D271" t="s">
        <v>13</v>
      </c>
      <c r="E271">
        <v>500</v>
      </c>
      <c r="F271" t="s">
        <v>21</v>
      </c>
      <c r="G271" t="s">
        <v>24</v>
      </c>
      <c r="H271" t="s">
        <v>16</v>
      </c>
      <c r="I271" t="s">
        <v>17</v>
      </c>
      <c r="J271" t="s">
        <v>22</v>
      </c>
      <c r="K271">
        <v>0</v>
      </c>
    </row>
    <row r="272" spans="1:11" x14ac:dyDescent="0.25">
      <c r="A272" t="s">
        <v>310</v>
      </c>
      <c r="B272" s="1">
        <v>45037</v>
      </c>
      <c r="C272" t="s">
        <v>12</v>
      </c>
      <c r="D272" t="s">
        <v>27</v>
      </c>
      <c r="E272">
        <v>16200</v>
      </c>
      <c r="F272" t="s">
        <v>21</v>
      </c>
      <c r="G272" t="s">
        <v>24</v>
      </c>
      <c r="H272" t="s">
        <v>33</v>
      </c>
      <c r="I272" t="s">
        <v>34</v>
      </c>
      <c r="J272" t="s">
        <v>29</v>
      </c>
      <c r="K272">
        <v>0.1</v>
      </c>
    </row>
    <row r="273" spans="1:11" x14ac:dyDescent="0.25">
      <c r="A273" t="s">
        <v>311</v>
      </c>
      <c r="B273" s="1">
        <v>45488</v>
      </c>
      <c r="C273" t="s">
        <v>20</v>
      </c>
      <c r="D273" t="s">
        <v>13</v>
      </c>
      <c r="E273">
        <v>500</v>
      </c>
      <c r="F273" t="s">
        <v>32</v>
      </c>
      <c r="G273" t="s">
        <v>24</v>
      </c>
      <c r="H273" t="s">
        <v>33</v>
      </c>
      <c r="I273" t="s">
        <v>34</v>
      </c>
      <c r="J273" t="s">
        <v>25</v>
      </c>
      <c r="K273">
        <v>0</v>
      </c>
    </row>
    <row r="274" spans="1:11" x14ac:dyDescent="0.25">
      <c r="A274" t="s">
        <v>312</v>
      </c>
      <c r="B274" s="1">
        <v>45064</v>
      </c>
      <c r="C274" t="s">
        <v>20</v>
      </c>
      <c r="D274" t="s">
        <v>13</v>
      </c>
      <c r="E274">
        <v>500</v>
      </c>
      <c r="F274" t="s">
        <v>32</v>
      </c>
      <c r="G274" t="s">
        <v>15</v>
      </c>
      <c r="H274" t="s">
        <v>16</v>
      </c>
      <c r="I274" t="s">
        <v>17</v>
      </c>
      <c r="J274" t="s">
        <v>25</v>
      </c>
      <c r="K274">
        <v>0</v>
      </c>
    </row>
    <row r="275" spans="1:11" x14ac:dyDescent="0.25">
      <c r="A275" t="s">
        <v>313</v>
      </c>
      <c r="B275" s="1">
        <v>44944</v>
      </c>
      <c r="C275" t="s">
        <v>20</v>
      </c>
      <c r="D275" t="s">
        <v>13</v>
      </c>
      <c r="E275">
        <v>500</v>
      </c>
      <c r="F275" t="s">
        <v>14</v>
      </c>
      <c r="G275" t="s">
        <v>28</v>
      </c>
      <c r="H275" t="s">
        <v>16</v>
      </c>
      <c r="I275" t="s">
        <v>17</v>
      </c>
      <c r="J275" t="s">
        <v>22</v>
      </c>
      <c r="K275">
        <v>0</v>
      </c>
    </row>
    <row r="276" spans="1:11" x14ac:dyDescent="0.25">
      <c r="A276" t="s">
        <v>314</v>
      </c>
      <c r="B276" s="1">
        <v>45028</v>
      </c>
      <c r="C276" t="s">
        <v>31</v>
      </c>
      <c r="D276" t="s">
        <v>27</v>
      </c>
      <c r="E276">
        <v>10800</v>
      </c>
      <c r="F276" t="s">
        <v>21</v>
      </c>
      <c r="G276" t="s">
        <v>15</v>
      </c>
      <c r="H276" t="s">
        <v>16</v>
      </c>
      <c r="I276" t="s">
        <v>17</v>
      </c>
      <c r="J276" t="s">
        <v>29</v>
      </c>
      <c r="K276">
        <v>0.1</v>
      </c>
    </row>
    <row r="277" spans="1:11" x14ac:dyDescent="0.25">
      <c r="A277" t="s">
        <v>315</v>
      </c>
      <c r="B277" s="1">
        <v>45541</v>
      </c>
      <c r="C277" t="s">
        <v>12</v>
      </c>
      <c r="D277" t="s">
        <v>13</v>
      </c>
      <c r="E277">
        <v>1500</v>
      </c>
      <c r="F277" t="s">
        <v>14</v>
      </c>
      <c r="G277" t="s">
        <v>15</v>
      </c>
      <c r="H277" t="s">
        <v>16</v>
      </c>
      <c r="I277" t="s">
        <v>17</v>
      </c>
      <c r="J277" t="s">
        <v>37</v>
      </c>
      <c r="K277">
        <v>0</v>
      </c>
    </row>
    <row r="278" spans="1:11" x14ac:dyDescent="0.25">
      <c r="A278" t="s">
        <v>316</v>
      </c>
      <c r="B278" s="1">
        <v>45314</v>
      </c>
      <c r="C278" t="s">
        <v>20</v>
      </c>
      <c r="D278" t="s">
        <v>13</v>
      </c>
      <c r="E278">
        <v>500</v>
      </c>
      <c r="F278" t="s">
        <v>21</v>
      </c>
      <c r="G278" t="s">
        <v>24</v>
      </c>
      <c r="H278" t="s">
        <v>16</v>
      </c>
      <c r="I278" t="s">
        <v>17</v>
      </c>
      <c r="J278" t="s">
        <v>29</v>
      </c>
      <c r="K278">
        <v>0</v>
      </c>
    </row>
    <row r="279" spans="1:11" x14ac:dyDescent="0.25">
      <c r="A279" t="s">
        <v>317</v>
      </c>
      <c r="B279" s="1">
        <v>44940</v>
      </c>
      <c r="C279" t="s">
        <v>20</v>
      </c>
      <c r="D279" t="s">
        <v>27</v>
      </c>
      <c r="E279">
        <v>5400</v>
      </c>
      <c r="F279" t="s">
        <v>14</v>
      </c>
      <c r="G279" t="s">
        <v>24</v>
      </c>
      <c r="H279" t="s">
        <v>33</v>
      </c>
      <c r="I279" t="s">
        <v>34</v>
      </c>
      <c r="J279" t="s">
        <v>55</v>
      </c>
      <c r="K279">
        <v>0.1</v>
      </c>
    </row>
    <row r="280" spans="1:11" x14ac:dyDescent="0.25">
      <c r="A280" t="s">
        <v>318</v>
      </c>
      <c r="B280" s="1">
        <v>45655</v>
      </c>
      <c r="C280" t="s">
        <v>31</v>
      </c>
      <c r="D280" t="s">
        <v>27</v>
      </c>
      <c r="E280">
        <v>10800</v>
      </c>
      <c r="F280" t="s">
        <v>21</v>
      </c>
      <c r="G280" t="s">
        <v>24</v>
      </c>
      <c r="H280" t="s">
        <v>16</v>
      </c>
      <c r="I280" t="s">
        <v>17</v>
      </c>
      <c r="J280" t="s">
        <v>29</v>
      </c>
      <c r="K280">
        <v>0.1</v>
      </c>
    </row>
    <row r="281" spans="1:11" x14ac:dyDescent="0.25">
      <c r="A281" t="s">
        <v>319</v>
      </c>
      <c r="B281" s="1">
        <v>45553</v>
      </c>
      <c r="C281" t="s">
        <v>20</v>
      </c>
      <c r="D281" t="s">
        <v>13</v>
      </c>
      <c r="E281">
        <v>500</v>
      </c>
      <c r="F281" t="s">
        <v>32</v>
      </c>
      <c r="G281" t="s">
        <v>28</v>
      </c>
      <c r="H281" t="s">
        <v>33</v>
      </c>
      <c r="I281" t="s">
        <v>34</v>
      </c>
      <c r="J281" t="s">
        <v>25</v>
      </c>
      <c r="K281">
        <v>0</v>
      </c>
    </row>
    <row r="282" spans="1:11" x14ac:dyDescent="0.25">
      <c r="A282" t="s">
        <v>320</v>
      </c>
      <c r="B282" s="1">
        <v>45135</v>
      </c>
      <c r="C282" t="s">
        <v>12</v>
      </c>
      <c r="D282" t="s">
        <v>13</v>
      </c>
      <c r="E282">
        <v>1500</v>
      </c>
      <c r="F282" t="s">
        <v>32</v>
      </c>
      <c r="G282" t="s">
        <v>15</v>
      </c>
      <c r="H282" t="s">
        <v>16</v>
      </c>
      <c r="I282" t="s">
        <v>17</v>
      </c>
      <c r="J282" t="s">
        <v>35</v>
      </c>
      <c r="K282">
        <v>0</v>
      </c>
    </row>
    <row r="283" spans="1:11" x14ac:dyDescent="0.25">
      <c r="A283" t="s">
        <v>321</v>
      </c>
      <c r="B283" s="1">
        <v>45156</v>
      </c>
      <c r="C283" t="s">
        <v>12</v>
      </c>
      <c r="D283" t="s">
        <v>13</v>
      </c>
      <c r="E283">
        <v>1500</v>
      </c>
      <c r="F283" t="s">
        <v>49</v>
      </c>
      <c r="G283" t="s">
        <v>15</v>
      </c>
      <c r="H283" t="s">
        <v>16</v>
      </c>
      <c r="I283" t="s">
        <v>17</v>
      </c>
      <c r="J283" t="s">
        <v>22</v>
      </c>
      <c r="K283">
        <v>0</v>
      </c>
    </row>
    <row r="284" spans="1:11" x14ac:dyDescent="0.25">
      <c r="A284" t="s">
        <v>322</v>
      </c>
      <c r="B284" s="1">
        <v>45072</v>
      </c>
      <c r="C284" t="s">
        <v>20</v>
      </c>
      <c r="D284" t="s">
        <v>13</v>
      </c>
      <c r="E284">
        <v>500</v>
      </c>
      <c r="F284" t="s">
        <v>32</v>
      </c>
      <c r="G284" t="s">
        <v>24</v>
      </c>
      <c r="H284" t="s">
        <v>33</v>
      </c>
      <c r="I284" t="s">
        <v>34</v>
      </c>
      <c r="J284" t="s">
        <v>25</v>
      </c>
      <c r="K284">
        <v>0</v>
      </c>
    </row>
    <row r="285" spans="1:11" x14ac:dyDescent="0.25">
      <c r="A285" t="s">
        <v>323</v>
      </c>
      <c r="B285" s="1">
        <v>45542</v>
      </c>
      <c r="C285" t="s">
        <v>31</v>
      </c>
      <c r="D285" t="s">
        <v>13</v>
      </c>
      <c r="E285">
        <v>1000</v>
      </c>
      <c r="F285" t="s">
        <v>21</v>
      </c>
      <c r="G285" t="s">
        <v>24</v>
      </c>
      <c r="H285" t="s">
        <v>16</v>
      </c>
      <c r="I285" t="s">
        <v>17</v>
      </c>
      <c r="J285" t="s">
        <v>29</v>
      </c>
      <c r="K285">
        <v>0</v>
      </c>
    </row>
    <row r="286" spans="1:11" x14ac:dyDescent="0.25">
      <c r="A286" t="s">
        <v>324</v>
      </c>
      <c r="B286" s="1">
        <v>45083</v>
      </c>
      <c r="C286" t="s">
        <v>20</v>
      </c>
      <c r="D286" t="s">
        <v>27</v>
      </c>
      <c r="E286">
        <v>5400</v>
      </c>
      <c r="F286" t="s">
        <v>32</v>
      </c>
      <c r="G286" t="s">
        <v>28</v>
      </c>
      <c r="H286" t="s">
        <v>33</v>
      </c>
      <c r="I286" t="s">
        <v>34</v>
      </c>
      <c r="J286" t="s">
        <v>25</v>
      </c>
      <c r="K286">
        <v>0.1</v>
      </c>
    </row>
    <row r="287" spans="1:11" x14ac:dyDescent="0.25">
      <c r="A287" t="s">
        <v>325</v>
      </c>
      <c r="B287" s="1">
        <v>44988</v>
      </c>
      <c r="C287" t="s">
        <v>12</v>
      </c>
      <c r="D287" t="s">
        <v>27</v>
      </c>
      <c r="E287">
        <v>16200</v>
      </c>
      <c r="F287" t="s">
        <v>14</v>
      </c>
      <c r="G287" t="s">
        <v>24</v>
      </c>
      <c r="H287" t="s">
        <v>33</v>
      </c>
      <c r="I287" t="s">
        <v>34</v>
      </c>
      <c r="J287" t="s">
        <v>41</v>
      </c>
      <c r="K287">
        <v>0.1</v>
      </c>
    </row>
    <row r="288" spans="1:11" x14ac:dyDescent="0.25">
      <c r="A288" t="s">
        <v>326</v>
      </c>
      <c r="B288" s="1">
        <v>45212</v>
      </c>
      <c r="C288" t="s">
        <v>20</v>
      </c>
      <c r="D288" t="s">
        <v>13</v>
      </c>
      <c r="E288">
        <v>500</v>
      </c>
      <c r="F288" t="s">
        <v>21</v>
      </c>
      <c r="G288" t="s">
        <v>15</v>
      </c>
      <c r="H288" t="s">
        <v>16</v>
      </c>
      <c r="I288" t="s">
        <v>17</v>
      </c>
      <c r="J288" t="s">
        <v>25</v>
      </c>
      <c r="K288">
        <v>0</v>
      </c>
    </row>
    <row r="289" spans="1:11" x14ac:dyDescent="0.25">
      <c r="A289" t="s">
        <v>327</v>
      </c>
      <c r="B289" s="1">
        <v>45510</v>
      </c>
      <c r="C289" t="s">
        <v>20</v>
      </c>
      <c r="D289" t="s">
        <v>27</v>
      </c>
      <c r="E289">
        <v>5400</v>
      </c>
      <c r="F289" t="s">
        <v>49</v>
      </c>
      <c r="G289" t="s">
        <v>24</v>
      </c>
      <c r="H289" t="s">
        <v>33</v>
      </c>
      <c r="I289" t="s">
        <v>34</v>
      </c>
      <c r="J289" t="s">
        <v>50</v>
      </c>
      <c r="K289">
        <v>0.1</v>
      </c>
    </row>
    <row r="290" spans="1:11" x14ac:dyDescent="0.25">
      <c r="A290" t="s">
        <v>328</v>
      </c>
      <c r="B290" s="1">
        <v>45602</v>
      </c>
      <c r="C290" t="s">
        <v>20</v>
      </c>
      <c r="D290" t="s">
        <v>13</v>
      </c>
      <c r="E290">
        <v>500</v>
      </c>
      <c r="F290" t="s">
        <v>49</v>
      </c>
      <c r="G290" t="s">
        <v>28</v>
      </c>
      <c r="H290" t="s">
        <v>33</v>
      </c>
      <c r="I290" t="s">
        <v>34</v>
      </c>
      <c r="J290" t="s">
        <v>18</v>
      </c>
      <c r="K290">
        <v>0</v>
      </c>
    </row>
    <row r="291" spans="1:11" x14ac:dyDescent="0.25">
      <c r="A291" t="s">
        <v>329</v>
      </c>
      <c r="B291" s="1">
        <v>45234</v>
      </c>
      <c r="C291" t="s">
        <v>12</v>
      </c>
      <c r="D291" t="s">
        <v>27</v>
      </c>
      <c r="E291">
        <v>16200</v>
      </c>
      <c r="F291" t="s">
        <v>21</v>
      </c>
      <c r="G291" t="s">
        <v>24</v>
      </c>
      <c r="H291" t="s">
        <v>33</v>
      </c>
      <c r="I291" t="s">
        <v>34</v>
      </c>
      <c r="J291" t="s">
        <v>29</v>
      </c>
      <c r="K291">
        <v>0.1</v>
      </c>
    </row>
    <row r="292" spans="1:11" x14ac:dyDescent="0.25">
      <c r="A292" t="s">
        <v>330</v>
      </c>
      <c r="B292" s="1">
        <v>45241</v>
      </c>
      <c r="C292" t="s">
        <v>20</v>
      </c>
      <c r="D292" t="s">
        <v>13</v>
      </c>
      <c r="E292">
        <v>500</v>
      </c>
      <c r="F292" t="s">
        <v>14</v>
      </c>
      <c r="G292" t="s">
        <v>28</v>
      </c>
      <c r="H292" t="s">
        <v>33</v>
      </c>
      <c r="I292" t="s">
        <v>34</v>
      </c>
      <c r="J292" t="s">
        <v>37</v>
      </c>
      <c r="K292">
        <v>0</v>
      </c>
    </row>
    <row r="293" spans="1:11" x14ac:dyDescent="0.25">
      <c r="A293" t="s">
        <v>331</v>
      </c>
      <c r="B293" s="1">
        <v>45109</v>
      </c>
      <c r="C293" t="s">
        <v>20</v>
      </c>
      <c r="D293" t="s">
        <v>13</v>
      </c>
      <c r="E293">
        <v>500</v>
      </c>
      <c r="F293" t="s">
        <v>49</v>
      </c>
      <c r="G293" t="s">
        <v>28</v>
      </c>
      <c r="H293" t="s">
        <v>33</v>
      </c>
      <c r="I293" t="s">
        <v>34</v>
      </c>
      <c r="J293" t="s">
        <v>18</v>
      </c>
      <c r="K293">
        <v>0</v>
      </c>
    </row>
    <row r="294" spans="1:11" x14ac:dyDescent="0.25">
      <c r="A294" t="s">
        <v>332</v>
      </c>
      <c r="B294" s="1">
        <v>45514</v>
      </c>
      <c r="C294" t="s">
        <v>20</v>
      </c>
      <c r="D294" t="s">
        <v>27</v>
      </c>
      <c r="E294">
        <v>5400</v>
      </c>
      <c r="F294" t="s">
        <v>49</v>
      </c>
      <c r="G294" t="s">
        <v>24</v>
      </c>
      <c r="H294" t="s">
        <v>33</v>
      </c>
      <c r="I294" t="s">
        <v>34</v>
      </c>
      <c r="J294" t="s">
        <v>22</v>
      </c>
      <c r="K294">
        <v>0.1</v>
      </c>
    </row>
    <row r="295" spans="1:11" x14ac:dyDescent="0.25">
      <c r="A295" t="s">
        <v>333</v>
      </c>
      <c r="B295" s="1">
        <v>45340</v>
      </c>
      <c r="C295" t="s">
        <v>31</v>
      </c>
      <c r="D295" t="s">
        <v>27</v>
      </c>
      <c r="E295">
        <v>10800</v>
      </c>
      <c r="F295" t="s">
        <v>32</v>
      </c>
      <c r="G295" t="s">
        <v>28</v>
      </c>
      <c r="H295" t="s">
        <v>33</v>
      </c>
      <c r="I295" t="s">
        <v>34</v>
      </c>
      <c r="J295" t="s">
        <v>66</v>
      </c>
      <c r="K295">
        <v>0.1</v>
      </c>
    </row>
    <row r="296" spans="1:11" x14ac:dyDescent="0.25">
      <c r="A296" t="s">
        <v>334</v>
      </c>
      <c r="B296" s="1">
        <v>45338</v>
      </c>
      <c r="C296" t="s">
        <v>31</v>
      </c>
      <c r="D296" t="s">
        <v>27</v>
      </c>
      <c r="E296">
        <v>10800</v>
      </c>
      <c r="F296" t="s">
        <v>32</v>
      </c>
      <c r="G296" t="s">
        <v>24</v>
      </c>
      <c r="H296" t="s">
        <v>33</v>
      </c>
      <c r="I296" t="s">
        <v>34</v>
      </c>
      <c r="J296" t="s">
        <v>25</v>
      </c>
      <c r="K296">
        <v>0.1</v>
      </c>
    </row>
    <row r="297" spans="1:11" x14ac:dyDescent="0.25">
      <c r="A297" t="s">
        <v>335</v>
      </c>
      <c r="B297" s="1">
        <v>44982</v>
      </c>
      <c r="C297" t="s">
        <v>31</v>
      </c>
      <c r="D297" t="s">
        <v>13</v>
      </c>
      <c r="E297">
        <v>1000</v>
      </c>
      <c r="F297" t="s">
        <v>49</v>
      </c>
      <c r="G297" t="s">
        <v>15</v>
      </c>
      <c r="H297" t="s">
        <v>16</v>
      </c>
      <c r="I297" t="s">
        <v>17</v>
      </c>
      <c r="J297" t="s">
        <v>35</v>
      </c>
      <c r="K297">
        <v>0</v>
      </c>
    </row>
    <row r="298" spans="1:11" x14ac:dyDescent="0.25">
      <c r="A298" t="s">
        <v>336</v>
      </c>
      <c r="B298" s="1">
        <v>44988</v>
      </c>
      <c r="C298" t="s">
        <v>31</v>
      </c>
      <c r="D298" t="s">
        <v>27</v>
      </c>
      <c r="E298">
        <v>10800</v>
      </c>
      <c r="F298" t="s">
        <v>21</v>
      </c>
      <c r="G298" t="s">
        <v>24</v>
      </c>
      <c r="H298" t="s">
        <v>33</v>
      </c>
      <c r="I298" t="s">
        <v>34</v>
      </c>
      <c r="J298" t="s">
        <v>18</v>
      </c>
      <c r="K298">
        <v>0.1</v>
      </c>
    </row>
    <row r="299" spans="1:11" x14ac:dyDescent="0.25">
      <c r="A299" t="s">
        <v>337</v>
      </c>
      <c r="B299" s="1">
        <v>45287</v>
      </c>
      <c r="C299" t="s">
        <v>12</v>
      </c>
      <c r="D299" t="s">
        <v>13</v>
      </c>
      <c r="E299">
        <v>1500</v>
      </c>
      <c r="F299" t="s">
        <v>49</v>
      </c>
      <c r="G299" t="s">
        <v>28</v>
      </c>
      <c r="H299" t="s">
        <v>16</v>
      </c>
      <c r="I299" t="s">
        <v>17</v>
      </c>
      <c r="J299" t="s">
        <v>18</v>
      </c>
      <c r="K299">
        <v>0</v>
      </c>
    </row>
    <row r="300" spans="1:11" x14ac:dyDescent="0.25">
      <c r="A300" t="s">
        <v>338</v>
      </c>
      <c r="B300" s="1">
        <v>45331</v>
      </c>
      <c r="C300" t="s">
        <v>20</v>
      </c>
      <c r="D300" t="s">
        <v>27</v>
      </c>
      <c r="E300">
        <v>5400</v>
      </c>
      <c r="F300" t="s">
        <v>14</v>
      </c>
      <c r="G300" t="s">
        <v>24</v>
      </c>
      <c r="H300" t="s">
        <v>33</v>
      </c>
      <c r="I300" t="s">
        <v>34</v>
      </c>
      <c r="J300" t="s">
        <v>37</v>
      </c>
      <c r="K300">
        <v>0.1</v>
      </c>
    </row>
    <row r="301" spans="1:11" x14ac:dyDescent="0.25">
      <c r="A301" t="s">
        <v>339</v>
      </c>
      <c r="B301" s="1">
        <v>45626</v>
      </c>
      <c r="C301" t="s">
        <v>12</v>
      </c>
      <c r="D301" t="s">
        <v>13</v>
      </c>
      <c r="E301">
        <v>1500</v>
      </c>
      <c r="F301" t="s">
        <v>21</v>
      </c>
      <c r="G301" t="s">
        <v>28</v>
      </c>
      <c r="H301" t="s">
        <v>16</v>
      </c>
      <c r="I301" t="s">
        <v>17</v>
      </c>
      <c r="J301" t="s">
        <v>29</v>
      </c>
      <c r="K301">
        <v>0</v>
      </c>
    </row>
    <row r="302" spans="1:11" x14ac:dyDescent="0.25">
      <c r="A302" t="s">
        <v>340</v>
      </c>
      <c r="B302" s="1">
        <v>45013</v>
      </c>
      <c r="C302" t="s">
        <v>20</v>
      </c>
      <c r="D302" t="s">
        <v>27</v>
      </c>
      <c r="E302">
        <v>5400</v>
      </c>
      <c r="F302" t="s">
        <v>49</v>
      </c>
      <c r="G302" t="s">
        <v>24</v>
      </c>
      <c r="H302" t="s">
        <v>33</v>
      </c>
      <c r="I302" t="s">
        <v>34</v>
      </c>
      <c r="J302" t="s">
        <v>22</v>
      </c>
      <c r="K302">
        <v>0.1</v>
      </c>
    </row>
    <row r="303" spans="1:11" x14ac:dyDescent="0.25">
      <c r="A303" t="s">
        <v>341</v>
      </c>
      <c r="B303" s="1">
        <v>44951</v>
      </c>
      <c r="C303" t="s">
        <v>31</v>
      </c>
      <c r="D303" t="s">
        <v>27</v>
      </c>
      <c r="E303">
        <v>10800</v>
      </c>
      <c r="F303" t="s">
        <v>14</v>
      </c>
      <c r="G303" t="s">
        <v>28</v>
      </c>
      <c r="H303" t="s">
        <v>33</v>
      </c>
      <c r="I303" t="s">
        <v>34</v>
      </c>
      <c r="J303" t="s">
        <v>37</v>
      </c>
      <c r="K303">
        <v>0.1</v>
      </c>
    </row>
    <row r="304" spans="1:11" x14ac:dyDescent="0.25">
      <c r="A304" t="s">
        <v>342</v>
      </c>
      <c r="B304" s="1">
        <v>45024</v>
      </c>
      <c r="C304" t="s">
        <v>31</v>
      </c>
      <c r="D304" t="s">
        <v>13</v>
      </c>
      <c r="E304">
        <v>1000</v>
      </c>
      <c r="F304" t="s">
        <v>49</v>
      </c>
      <c r="G304" t="s">
        <v>24</v>
      </c>
      <c r="H304" t="s">
        <v>16</v>
      </c>
      <c r="I304" t="s">
        <v>17</v>
      </c>
      <c r="J304" t="s">
        <v>18</v>
      </c>
      <c r="K304">
        <v>0</v>
      </c>
    </row>
    <row r="305" spans="1:11" x14ac:dyDescent="0.25">
      <c r="A305" t="s">
        <v>343</v>
      </c>
      <c r="B305" s="1">
        <v>45268</v>
      </c>
      <c r="C305" t="s">
        <v>31</v>
      </c>
      <c r="D305" t="s">
        <v>13</v>
      </c>
      <c r="E305">
        <v>1000</v>
      </c>
      <c r="F305" t="s">
        <v>49</v>
      </c>
      <c r="G305" t="s">
        <v>28</v>
      </c>
      <c r="H305" t="s">
        <v>33</v>
      </c>
      <c r="I305" t="s">
        <v>34</v>
      </c>
      <c r="J305" t="s">
        <v>58</v>
      </c>
      <c r="K305">
        <v>0</v>
      </c>
    </row>
    <row r="306" spans="1:11" x14ac:dyDescent="0.25">
      <c r="A306" t="s">
        <v>344</v>
      </c>
      <c r="B306" s="1">
        <v>45078</v>
      </c>
      <c r="C306" t="s">
        <v>12</v>
      </c>
      <c r="D306" t="s">
        <v>27</v>
      </c>
      <c r="E306">
        <v>16200</v>
      </c>
      <c r="F306" t="s">
        <v>49</v>
      </c>
      <c r="G306" t="s">
        <v>28</v>
      </c>
      <c r="H306" t="s">
        <v>33</v>
      </c>
      <c r="I306" t="s">
        <v>34</v>
      </c>
      <c r="J306" t="s">
        <v>22</v>
      </c>
      <c r="K306">
        <v>0.1</v>
      </c>
    </row>
    <row r="307" spans="1:11" x14ac:dyDescent="0.25">
      <c r="A307" t="s">
        <v>345</v>
      </c>
      <c r="B307" s="1">
        <v>45546</v>
      </c>
      <c r="C307" t="s">
        <v>12</v>
      </c>
      <c r="D307" t="s">
        <v>27</v>
      </c>
      <c r="E307">
        <v>16200</v>
      </c>
      <c r="F307" t="s">
        <v>14</v>
      </c>
      <c r="G307" t="s">
        <v>24</v>
      </c>
      <c r="H307" t="s">
        <v>33</v>
      </c>
      <c r="I307" t="s">
        <v>34</v>
      </c>
      <c r="J307" t="s">
        <v>37</v>
      </c>
      <c r="K307">
        <v>0.1</v>
      </c>
    </row>
    <row r="308" spans="1:11" x14ac:dyDescent="0.25">
      <c r="A308" t="s">
        <v>346</v>
      </c>
      <c r="B308" s="1">
        <v>45415</v>
      </c>
      <c r="C308" t="s">
        <v>31</v>
      </c>
      <c r="D308" t="s">
        <v>27</v>
      </c>
      <c r="E308">
        <v>10800</v>
      </c>
      <c r="F308" t="s">
        <v>14</v>
      </c>
      <c r="G308" t="s">
        <v>15</v>
      </c>
      <c r="H308" t="s">
        <v>16</v>
      </c>
      <c r="I308" t="s">
        <v>17</v>
      </c>
      <c r="J308" t="s">
        <v>22</v>
      </c>
      <c r="K308">
        <v>0.1</v>
      </c>
    </row>
    <row r="309" spans="1:11" x14ac:dyDescent="0.25">
      <c r="A309" t="s">
        <v>347</v>
      </c>
      <c r="B309" s="1">
        <v>45141</v>
      </c>
      <c r="C309" t="s">
        <v>31</v>
      </c>
      <c r="D309" t="s">
        <v>13</v>
      </c>
      <c r="E309">
        <v>1000</v>
      </c>
      <c r="F309" t="s">
        <v>32</v>
      </c>
      <c r="G309" t="s">
        <v>24</v>
      </c>
      <c r="H309" t="s">
        <v>33</v>
      </c>
      <c r="I309" t="s">
        <v>34</v>
      </c>
      <c r="J309" t="s">
        <v>25</v>
      </c>
      <c r="K309">
        <v>0</v>
      </c>
    </row>
    <row r="310" spans="1:11" x14ac:dyDescent="0.25">
      <c r="A310" t="s">
        <v>348</v>
      </c>
      <c r="B310" s="1">
        <v>45155</v>
      </c>
      <c r="C310" t="s">
        <v>12</v>
      </c>
      <c r="D310" t="s">
        <v>13</v>
      </c>
      <c r="E310">
        <v>1500</v>
      </c>
      <c r="F310" t="s">
        <v>32</v>
      </c>
      <c r="G310" t="s">
        <v>28</v>
      </c>
      <c r="H310" t="s">
        <v>33</v>
      </c>
      <c r="I310" t="s">
        <v>34</v>
      </c>
      <c r="J310" t="s">
        <v>25</v>
      </c>
      <c r="K310">
        <v>0</v>
      </c>
    </row>
    <row r="311" spans="1:11" x14ac:dyDescent="0.25">
      <c r="A311" t="s">
        <v>349</v>
      </c>
      <c r="B311" s="1">
        <v>45459</v>
      </c>
      <c r="C311" t="s">
        <v>12</v>
      </c>
      <c r="D311" t="s">
        <v>27</v>
      </c>
      <c r="E311">
        <v>16200</v>
      </c>
      <c r="F311" t="s">
        <v>32</v>
      </c>
      <c r="G311" t="s">
        <v>28</v>
      </c>
      <c r="H311" t="s">
        <v>16</v>
      </c>
      <c r="I311" t="s">
        <v>17</v>
      </c>
      <c r="J311" t="s">
        <v>44</v>
      </c>
      <c r="K311">
        <v>0.1</v>
      </c>
    </row>
    <row r="312" spans="1:11" x14ac:dyDescent="0.25">
      <c r="A312" t="s">
        <v>350</v>
      </c>
      <c r="B312" s="1">
        <v>45023</v>
      </c>
      <c r="C312" t="s">
        <v>31</v>
      </c>
      <c r="D312" t="s">
        <v>13</v>
      </c>
      <c r="E312">
        <v>1000</v>
      </c>
      <c r="F312" t="s">
        <v>14</v>
      </c>
      <c r="G312" t="s">
        <v>24</v>
      </c>
      <c r="H312" t="s">
        <v>33</v>
      </c>
      <c r="I312" t="s">
        <v>34</v>
      </c>
      <c r="J312" t="s">
        <v>41</v>
      </c>
      <c r="K312">
        <v>0</v>
      </c>
    </row>
    <row r="313" spans="1:11" x14ac:dyDescent="0.25">
      <c r="A313" t="s">
        <v>351</v>
      </c>
      <c r="B313" s="1">
        <v>44961</v>
      </c>
      <c r="C313" t="s">
        <v>31</v>
      </c>
      <c r="D313" t="s">
        <v>27</v>
      </c>
      <c r="E313">
        <v>10800</v>
      </c>
      <c r="F313" t="s">
        <v>14</v>
      </c>
      <c r="G313" t="s">
        <v>28</v>
      </c>
      <c r="H313" t="s">
        <v>33</v>
      </c>
      <c r="I313" t="s">
        <v>34</v>
      </c>
      <c r="J313" t="s">
        <v>18</v>
      </c>
      <c r="K313">
        <v>0.1</v>
      </c>
    </row>
    <row r="314" spans="1:11" x14ac:dyDescent="0.25">
      <c r="A314" t="s">
        <v>352</v>
      </c>
      <c r="B314" s="1">
        <v>45489</v>
      </c>
      <c r="C314" t="s">
        <v>20</v>
      </c>
      <c r="D314" t="s">
        <v>13</v>
      </c>
      <c r="E314">
        <v>500</v>
      </c>
      <c r="F314" t="s">
        <v>32</v>
      </c>
      <c r="G314" t="s">
        <v>24</v>
      </c>
      <c r="H314" t="s">
        <v>33</v>
      </c>
      <c r="I314" t="s">
        <v>34</v>
      </c>
      <c r="J314" t="s">
        <v>39</v>
      </c>
      <c r="K314">
        <v>0</v>
      </c>
    </row>
    <row r="315" spans="1:11" x14ac:dyDescent="0.25">
      <c r="A315" t="s">
        <v>353</v>
      </c>
      <c r="B315" s="1">
        <v>45400</v>
      </c>
      <c r="C315" t="s">
        <v>31</v>
      </c>
      <c r="D315" t="s">
        <v>27</v>
      </c>
      <c r="E315">
        <v>10800</v>
      </c>
      <c r="F315" t="s">
        <v>21</v>
      </c>
      <c r="G315" t="s">
        <v>24</v>
      </c>
      <c r="H315" t="s">
        <v>33</v>
      </c>
      <c r="I315" t="s">
        <v>34</v>
      </c>
      <c r="J315" t="s">
        <v>18</v>
      </c>
      <c r="K315">
        <v>0.1</v>
      </c>
    </row>
    <row r="316" spans="1:11" x14ac:dyDescent="0.25">
      <c r="A316" t="s">
        <v>354</v>
      </c>
      <c r="B316" s="1">
        <v>45617</v>
      </c>
      <c r="C316" t="s">
        <v>12</v>
      </c>
      <c r="D316" t="s">
        <v>27</v>
      </c>
      <c r="E316">
        <v>16200</v>
      </c>
      <c r="F316" t="s">
        <v>14</v>
      </c>
      <c r="G316" t="s">
        <v>28</v>
      </c>
      <c r="H316" t="s">
        <v>16</v>
      </c>
      <c r="I316" t="s">
        <v>17</v>
      </c>
      <c r="J316" t="s">
        <v>55</v>
      </c>
      <c r="K316">
        <v>0.1</v>
      </c>
    </row>
    <row r="317" spans="1:11" x14ac:dyDescent="0.25">
      <c r="A317" t="s">
        <v>355</v>
      </c>
      <c r="B317" s="1">
        <v>45296</v>
      </c>
      <c r="C317" t="s">
        <v>12</v>
      </c>
      <c r="D317" t="s">
        <v>13</v>
      </c>
      <c r="E317">
        <v>1500</v>
      </c>
      <c r="F317" t="s">
        <v>32</v>
      </c>
      <c r="G317" t="s">
        <v>15</v>
      </c>
      <c r="H317" t="s">
        <v>16</v>
      </c>
      <c r="I317" t="s">
        <v>17</v>
      </c>
      <c r="J317" t="s">
        <v>35</v>
      </c>
      <c r="K317">
        <v>0</v>
      </c>
    </row>
    <row r="318" spans="1:11" x14ac:dyDescent="0.25">
      <c r="A318" t="s">
        <v>356</v>
      </c>
      <c r="B318" s="1">
        <v>45254</v>
      </c>
      <c r="C318" t="s">
        <v>31</v>
      </c>
      <c r="D318" t="s">
        <v>13</v>
      </c>
      <c r="E318">
        <v>1000</v>
      </c>
      <c r="F318" t="s">
        <v>21</v>
      </c>
      <c r="G318" t="s">
        <v>28</v>
      </c>
      <c r="H318" t="s">
        <v>16</v>
      </c>
      <c r="I318" t="s">
        <v>17</v>
      </c>
      <c r="J318" t="s">
        <v>22</v>
      </c>
      <c r="K318">
        <v>0</v>
      </c>
    </row>
    <row r="319" spans="1:11" x14ac:dyDescent="0.25">
      <c r="A319" t="s">
        <v>357</v>
      </c>
      <c r="B319" s="1">
        <v>45219</v>
      </c>
      <c r="C319" t="s">
        <v>31</v>
      </c>
      <c r="D319" t="s">
        <v>27</v>
      </c>
      <c r="E319">
        <v>10800</v>
      </c>
      <c r="F319" t="s">
        <v>49</v>
      </c>
      <c r="G319" t="s">
        <v>15</v>
      </c>
      <c r="H319" t="s">
        <v>16</v>
      </c>
      <c r="I319" t="s">
        <v>17</v>
      </c>
      <c r="J319" t="s">
        <v>50</v>
      </c>
      <c r="K319">
        <v>0.1</v>
      </c>
    </row>
    <row r="320" spans="1:11" x14ac:dyDescent="0.25">
      <c r="A320" t="s">
        <v>358</v>
      </c>
      <c r="B320" s="1">
        <v>45105</v>
      </c>
      <c r="C320" t="s">
        <v>20</v>
      </c>
      <c r="D320" t="s">
        <v>27</v>
      </c>
      <c r="E320">
        <v>5400</v>
      </c>
      <c r="F320" t="s">
        <v>32</v>
      </c>
      <c r="G320" t="s">
        <v>28</v>
      </c>
      <c r="H320" t="s">
        <v>33</v>
      </c>
      <c r="I320" t="s">
        <v>34</v>
      </c>
      <c r="J320" t="s">
        <v>25</v>
      </c>
      <c r="K320">
        <v>0.1</v>
      </c>
    </row>
    <row r="321" spans="1:11" x14ac:dyDescent="0.25">
      <c r="A321" t="s">
        <v>359</v>
      </c>
      <c r="B321" s="1">
        <v>45119</v>
      </c>
      <c r="C321" t="s">
        <v>20</v>
      </c>
      <c r="D321" t="s">
        <v>27</v>
      </c>
      <c r="E321">
        <v>5400</v>
      </c>
      <c r="F321" t="s">
        <v>14</v>
      </c>
      <c r="G321" t="s">
        <v>24</v>
      </c>
      <c r="H321" t="s">
        <v>33</v>
      </c>
      <c r="I321" t="s">
        <v>34</v>
      </c>
      <c r="J321" t="s">
        <v>41</v>
      </c>
      <c r="K321">
        <v>0.1</v>
      </c>
    </row>
    <row r="322" spans="1:11" x14ac:dyDescent="0.25">
      <c r="A322" t="s">
        <v>360</v>
      </c>
      <c r="B322" s="1">
        <v>44939</v>
      </c>
      <c r="C322" t="s">
        <v>20</v>
      </c>
      <c r="D322" t="s">
        <v>27</v>
      </c>
      <c r="E322">
        <v>5400</v>
      </c>
      <c r="F322" t="s">
        <v>32</v>
      </c>
      <c r="G322" t="s">
        <v>24</v>
      </c>
      <c r="H322" t="s">
        <v>33</v>
      </c>
      <c r="I322" t="s">
        <v>34</v>
      </c>
      <c r="J322" t="s">
        <v>39</v>
      </c>
      <c r="K322">
        <v>0.1</v>
      </c>
    </row>
    <row r="323" spans="1:11" x14ac:dyDescent="0.25">
      <c r="A323" t="s">
        <v>361</v>
      </c>
      <c r="B323" s="1">
        <v>44966</v>
      </c>
      <c r="C323" t="s">
        <v>20</v>
      </c>
      <c r="D323" t="s">
        <v>27</v>
      </c>
      <c r="E323">
        <v>5400</v>
      </c>
      <c r="F323" t="s">
        <v>21</v>
      </c>
      <c r="G323" t="s">
        <v>28</v>
      </c>
      <c r="H323" t="s">
        <v>16</v>
      </c>
      <c r="I323" t="s">
        <v>17</v>
      </c>
      <c r="J323" t="s">
        <v>29</v>
      </c>
      <c r="K323">
        <v>0.1</v>
      </c>
    </row>
    <row r="324" spans="1:11" x14ac:dyDescent="0.25">
      <c r="A324" t="s">
        <v>362</v>
      </c>
      <c r="B324" s="1">
        <v>45595</v>
      </c>
      <c r="C324" t="s">
        <v>12</v>
      </c>
      <c r="D324" t="s">
        <v>27</v>
      </c>
      <c r="E324">
        <v>16200</v>
      </c>
      <c r="F324" t="s">
        <v>21</v>
      </c>
      <c r="G324" t="s">
        <v>28</v>
      </c>
      <c r="H324" t="s">
        <v>16</v>
      </c>
      <c r="I324" t="s">
        <v>17</v>
      </c>
      <c r="J324" t="s">
        <v>22</v>
      </c>
      <c r="K324">
        <v>0.1</v>
      </c>
    </row>
    <row r="325" spans="1:11" x14ac:dyDescent="0.25">
      <c r="A325" t="s">
        <v>363</v>
      </c>
      <c r="B325" s="1">
        <v>45541</v>
      </c>
      <c r="C325" t="s">
        <v>20</v>
      </c>
      <c r="D325" t="s">
        <v>13</v>
      </c>
      <c r="E325">
        <v>500</v>
      </c>
      <c r="F325" t="s">
        <v>21</v>
      </c>
      <c r="G325" t="s">
        <v>24</v>
      </c>
      <c r="H325" t="s">
        <v>33</v>
      </c>
      <c r="I325" t="s">
        <v>34</v>
      </c>
      <c r="J325" t="s">
        <v>29</v>
      </c>
      <c r="K325">
        <v>0</v>
      </c>
    </row>
    <row r="326" spans="1:11" x14ac:dyDescent="0.25">
      <c r="A326" t="s">
        <v>364</v>
      </c>
      <c r="B326" s="1">
        <v>45544</v>
      </c>
      <c r="C326" t="s">
        <v>12</v>
      </c>
      <c r="D326" t="s">
        <v>27</v>
      </c>
      <c r="E326">
        <v>16200</v>
      </c>
      <c r="F326" t="s">
        <v>32</v>
      </c>
      <c r="G326" t="s">
        <v>15</v>
      </c>
      <c r="H326" t="s">
        <v>16</v>
      </c>
      <c r="I326" t="s">
        <v>17</v>
      </c>
      <c r="J326" t="s">
        <v>25</v>
      </c>
      <c r="K326">
        <v>0.1</v>
      </c>
    </row>
    <row r="327" spans="1:11" x14ac:dyDescent="0.25">
      <c r="A327" t="s">
        <v>365</v>
      </c>
      <c r="B327" s="1">
        <v>45000</v>
      </c>
      <c r="C327" t="s">
        <v>31</v>
      </c>
      <c r="D327" t="s">
        <v>13</v>
      </c>
      <c r="E327">
        <v>1000</v>
      </c>
      <c r="F327" t="s">
        <v>14</v>
      </c>
      <c r="G327" t="s">
        <v>24</v>
      </c>
      <c r="H327" t="s">
        <v>16</v>
      </c>
      <c r="I327" t="s">
        <v>17</v>
      </c>
      <c r="J327" t="s">
        <v>37</v>
      </c>
      <c r="K327">
        <v>0</v>
      </c>
    </row>
    <row r="328" spans="1:11" x14ac:dyDescent="0.25">
      <c r="A328" t="s">
        <v>366</v>
      </c>
      <c r="B328" s="1">
        <v>45096</v>
      </c>
      <c r="C328" t="s">
        <v>12</v>
      </c>
      <c r="D328" t="s">
        <v>13</v>
      </c>
      <c r="E328">
        <v>1500</v>
      </c>
      <c r="F328" t="s">
        <v>14</v>
      </c>
      <c r="G328" t="s">
        <v>28</v>
      </c>
      <c r="H328" t="s">
        <v>33</v>
      </c>
      <c r="I328" t="s">
        <v>34</v>
      </c>
      <c r="J328" t="s">
        <v>55</v>
      </c>
      <c r="K328">
        <v>0</v>
      </c>
    </row>
    <row r="329" spans="1:11" x14ac:dyDescent="0.25">
      <c r="A329" t="s">
        <v>367</v>
      </c>
      <c r="B329" s="1">
        <v>45410</v>
      </c>
      <c r="C329" t="s">
        <v>20</v>
      </c>
      <c r="D329" t="s">
        <v>27</v>
      </c>
      <c r="E329">
        <v>5400</v>
      </c>
      <c r="F329" t="s">
        <v>49</v>
      </c>
      <c r="G329" t="s">
        <v>24</v>
      </c>
      <c r="H329" t="s">
        <v>16</v>
      </c>
      <c r="I329" t="s">
        <v>17</v>
      </c>
      <c r="J329" t="s">
        <v>18</v>
      </c>
      <c r="K329">
        <v>0.1</v>
      </c>
    </row>
    <row r="330" spans="1:11" x14ac:dyDescent="0.25">
      <c r="A330" t="s">
        <v>368</v>
      </c>
      <c r="B330" s="1">
        <v>45160</v>
      </c>
      <c r="C330" t="s">
        <v>31</v>
      </c>
      <c r="D330" t="s">
        <v>13</v>
      </c>
      <c r="E330">
        <v>1000</v>
      </c>
      <c r="F330" t="s">
        <v>32</v>
      </c>
      <c r="G330" t="s">
        <v>24</v>
      </c>
      <c r="H330" t="s">
        <v>33</v>
      </c>
      <c r="I330" t="s">
        <v>34</v>
      </c>
      <c r="J330" t="s">
        <v>25</v>
      </c>
      <c r="K330">
        <v>0</v>
      </c>
    </row>
    <row r="331" spans="1:11" x14ac:dyDescent="0.25">
      <c r="A331" t="s">
        <v>369</v>
      </c>
      <c r="B331" s="1">
        <v>45612</v>
      </c>
      <c r="C331" t="s">
        <v>12</v>
      </c>
      <c r="D331" t="s">
        <v>27</v>
      </c>
      <c r="E331">
        <v>16200</v>
      </c>
      <c r="F331" t="s">
        <v>49</v>
      </c>
      <c r="G331" t="s">
        <v>28</v>
      </c>
      <c r="H331" t="s">
        <v>33</v>
      </c>
      <c r="I331" t="s">
        <v>34</v>
      </c>
      <c r="J331" t="s">
        <v>58</v>
      </c>
      <c r="K331">
        <v>0.1</v>
      </c>
    </row>
    <row r="332" spans="1:11" x14ac:dyDescent="0.25">
      <c r="A332" t="s">
        <v>370</v>
      </c>
      <c r="B332" s="1">
        <v>45187</v>
      </c>
      <c r="C332" t="s">
        <v>12</v>
      </c>
      <c r="D332" t="s">
        <v>27</v>
      </c>
      <c r="E332">
        <v>16200</v>
      </c>
      <c r="F332" t="s">
        <v>49</v>
      </c>
      <c r="G332" t="s">
        <v>15</v>
      </c>
      <c r="H332" t="s">
        <v>16</v>
      </c>
      <c r="I332" t="s">
        <v>17</v>
      </c>
      <c r="J332" t="s">
        <v>58</v>
      </c>
      <c r="K332">
        <v>0.1</v>
      </c>
    </row>
    <row r="333" spans="1:11" x14ac:dyDescent="0.25">
      <c r="A333" t="s">
        <v>371</v>
      </c>
      <c r="B333" s="1">
        <v>44996</v>
      </c>
      <c r="C333" t="s">
        <v>20</v>
      </c>
      <c r="D333" t="s">
        <v>13</v>
      </c>
      <c r="E333">
        <v>500</v>
      </c>
      <c r="F333" t="s">
        <v>21</v>
      </c>
      <c r="G333" t="s">
        <v>24</v>
      </c>
      <c r="H333" t="s">
        <v>33</v>
      </c>
      <c r="I333" t="s">
        <v>34</v>
      </c>
      <c r="J333" t="s">
        <v>18</v>
      </c>
      <c r="K333">
        <v>0</v>
      </c>
    </row>
    <row r="334" spans="1:11" x14ac:dyDescent="0.25">
      <c r="A334" t="s">
        <v>372</v>
      </c>
      <c r="B334" s="1">
        <v>44953</v>
      </c>
      <c r="C334" t="s">
        <v>12</v>
      </c>
      <c r="D334" t="s">
        <v>27</v>
      </c>
      <c r="E334">
        <v>16200</v>
      </c>
      <c r="F334" t="s">
        <v>32</v>
      </c>
      <c r="G334" t="s">
        <v>15</v>
      </c>
      <c r="H334" t="s">
        <v>16</v>
      </c>
      <c r="I334" t="s">
        <v>17</v>
      </c>
      <c r="J334" t="s">
        <v>39</v>
      </c>
      <c r="K334">
        <v>0.1</v>
      </c>
    </row>
    <row r="335" spans="1:11" x14ac:dyDescent="0.25">
      <c r="A335" t="s">
        <v>373</v>
      </c>
      <c r="B335" s="1">
        <v>45425</v>
      </c>
      <c r="C335" t="s">
        <v>31</v>
      </c>
      <c r="D335" t="s">
        <v>27</v>
      </c>
      <c r="E335">
        <v>10800</v>
      </c>
      <c r="F335" t="s">
        <v>32</v>
      </c>
      <c r="G335" t="s">
        <v>24</v>
      </c>
      <c r="H335" t="s">
        <v>16</v>
      </c>
      <c r="I335" t="s">
        <v>17</v>
      </c>
      <c r="J335" t="s">
        <v>44</v>
      </c>
      <c r="K335">
        <v>0.1</v>
      </c>
    </row>
    <row r="336" spans="1:11" x14ac:dyDescent="0.25">
      <c r="A336" t="s">
        <v>374</v>
      </c>
      <c r="B336" s="1">
        <v>45391</v>
      </c>
      <c r="C336" t="s">
        <v>20</v>
      </c>
      <c r="D336" t="s">
        <v>27</v>
      </c>
      <c r="E336">
        <v>5400</v>
      </c>
      <c r="F336" t="s">
        <v>32</v>
      </c>
      <c r="G336" t="s">
        <v>28</v>
      </c>
      <c r="H336" t="s">
        <v>16</v>
      </c>
      <c r="I336" t="s">
        <v>17</v>
      </c>
      <c r="J336" t="s">
        <v>66</v>
      </c>
      <c r="K336">
        <v>0.1</v>
      </c>
    </row>
    <row r="337" spans="1:11" x14ac:dyDescent="0.25">
      <c r="A337" t="s">
        <v>375</v>
      </c>
      <c r="B337" s="1">
        <v>45493</v>
      </c>
      <c r="C337" t="s">
        <v>12</v>
      </c>
      <c r="D337" t="s">
        <v>27</v>
      </c>
      <c r="E337">
        <v>16200</v>
      </c>
      <c r="F337" t="s">
        <v>14</v>
      </c>
      <c r="G337" t="s">
        <v>28</v>
      </c>
      <c r="H337" t="s">
        <v>16</v>
      </c>
      <c r="I337" t="s">
        <v>17</v>
      </c>
      <c r="J337" t="s">
        <v>22</v>
      </c>
      <c r="K337">
        <v>0.1</v>
      </c>
    </row>
    <row r="338" spans="1:11" x14ac:dyDescent="0.25">
      <c r="A338" t="s">
        <v>376</v>
      </c>
      <c r="B338" s="1">
        <v>45122</v>
      </c>
      <c r="C338" t="s">
        <v>20</v>
      </c>
      <c r="D338" t="s">
        <v>27</v>
      </c>
      <c r="E338">
        <v>5400</v>
      </c>
      <c r="F338" t="s">
        <v>14</v>
      </c>
      <c r="G338" t="s">
        <v>28</v>
      </c>
      <c r="H338" t="s">
        <v>16</v>
      </c>
      <c r="I338" t="s">
        <v>17</v>
      </c>
      <c r="J338" t="s">
        <v>55</v>
      </c>
      <c r="K338">
        <v>0.1</v>
      </c>
    </row>
    <row r="339" spans="1:11" x14ac:dyDescent="0.25">
      <c r="A339" t="s">
        <v>377</v>
      </c>
      <c r="B339" s="1">
        <v>45238</v>
      </c>
      <c r="C339" t="s">
        <v>31</v>
      </c>
      <c r="D339" t="s">
        <v>13</v>
      </c>
      <c r="E339">
        <v>1000</v>
      </c>
      <c r="F339" t="s">
        <v>49</v>
      </c>
      <c r="G339" t="s">
        <v>15</v>
      </c>
      <c r="H339" t="s">
        <v>16</v>
      </c>
      <c r="I339" t="s">
        <v>17</v>
      </c>
      <c r="J339" t="s">
        <v>22</v>
      </c>
      <c r="K339">
        <v>0</v>
      </c>
    </row>
    <row r="340" spans="1:11" x14ac:dyDescent="0.25">
      <c r="A340" t="s">
        <v>378</v>
      </c>
      <c r="B340" s="1">
        <v>45137</v>
      </c>
      <c r="C340" t="s">
        <v>12</v>
      </c>
      <c r="D340" t="s">
        <v>13</v>
      </c>
      <c r="E340">
        <v>1500</v>
      </c>
      <c r="F340" t="s">
        <v>49</v>
      </c>
      <c r="G340" t="s">
        <v>28</v>
      </c>
      <c r="H340" t="s">
        <v>33</v>
      </c>
      <c r="I340" t="s">
        <v>34</v>
      </c>
      <c r="J340" t="s">
        <v>25</v>
      </c>
      <c r="K340">
        <v>0</v>
      </c>
    </row>
    <row r="341" spans="1:11" x14ac:dyDescent="0.25">
      <c r="A341" t="s">
        <v>379</v>
      </c>
      <c r="B341" s="1">
        <v>45189</v>
      </c>
      <c r="C341" t="s">
        <v>20</v>
      </c>
      <c r="D341" t="s">
        <v>13</v>
      </c>
      <c r="E341">
        <v>500</v>
      </c>
      <c r="F341" t="s">
        <v>21</v>
      </c>
      <c r="G341" t="s">
        <v>24</v>
      </c>
      <c r="H341" t="s">
        <v>33</v>
      </c>
      <c r="I341" t="s">
        <v>34</v>
      </c>
      <c r="J341" t="s">
        <v>29</v>
      </c>
      <c r="K341">
        <v>0</v>
      </c>
    </row>
    <row r="342" spans="1:11" x14ac:dyDescent="0.25">
      <c r="A342" t="s">
        <v>380</v>
      </c>
      <c r="B342" s="1">
        <v>45631</v>
      </c>
      <c r="C342" t="s">
        <v>20</v>
      </c>
      <c r="D342" t="s">
        <v>27</v>
      </c>
      <c r="E342">
        <v>5400</v>
      </c>
      <c r="F342" t="s">
        <v>32</v>
      </c>
      <c r="G342" t="s">
        <v>24</v>
      </c>
      <c r="H342" t="s">
        <v>33</v>
      </c>
      <c r="I342" t="s">
        <v>34</v>
      </c>
      <c r="J342" t="s">
        <v>25</v>
      </c>
      <c r="K342">
        <v>0.1</v>
      </c>
    </row>
    <row r="343" spans="1:11" x14ac:dyDescent="0.25">
      <c r="A343" t="s">
        <v>381</v>
      </c>
      <c r="B343" s="1">
        <v>45536</v>
      </c>
      <c r="C343" t="s">
        <v>12</v>
      </c>
      <c r="D343" t="s">
        <v>13</v>
      </c>
      <c r="E343">
        <v>1500</v>
      </c>
      <c r="F343" t="s">
        <v>49</v>
      </c>
      <c r="G343" t="s">
        <v>15</v>
      </c>
      <c r="H343" t="s">
        <v>16</v>
      </c>
      <c r="I343" t="s">
        <v>17</v>
      </c>
      <c r="J343" t="s">
        <v>22</v>
      </c>
      <c r="K343">
        <v>0</v>
      </c>
    </row>
    <row r="344" spans="1:11" x14ac:dyDescent="0.25">
      <c r="A344" t="s">
        <v>382</v>
      </c>
      <c r="B344" s="1">
        <v>45367</v>
      </c>
      <c r="C344" t="s">
        <v>20</v>
      </c>
      <c r="D344" t="s">
        <v>13</v>
      </c>
      <c r="E344">
        <v>500</v>
      </c>
      <c r="F344" t="s">
        <v>32</v>
      </c>
      <c r="G344" t="s">
        <v>28</v>
      </c>
      <c r="H344" t="s">
        <v>16</v>
      </c>
      <c r="I344" t="s">
        <v>17</v>
      </c>
      <c r="J344" t="s">
        <v>39</v>
      </c>
      <c r="K344">
        <v>0</v>
      </c>
    </row>
    <row r="345" spans="1:11" x14ac:dyDescent="0.25">
      <c r="A345" t="s">
        <v>383</v>
      </c>
      <c r="B345" s="1">
        <v>45235</v>
      </c>
      <c r="C345" t="s">
        <v>31</v>
      </c>
      <c r="D345" t="s">
        <v>27</v>
      </c>
      <c r="E345">
        <v>10800</v>
      </c>
      <c r="F345" t="s">
        <v>14</v>
      </c>
      <c r="G345" t="s">
        <v>28</v>
      </c>
      <c r="H345" t="s">
        <v>16</v>
      </c>
      <c r="I345" t="s">
        <v>17</v>
      </c>
      <c r="J345" t="s">
        <v>37</v>
      </c>
      <c r="K345">
        <v>0.1</v>
      </c>
    </row>
    <row r="346" spans="1:11" x14ac:dyDescent="0.25">
      <c r="A346" t="s">
        <v>384</v>
      </c>
      <c r="B346" s="1">
        <v>45414</v>
      </c>
      <c r="C346" t="s">
        <v>31</v>
      </c>
      <c r="D346" t="s">
        <v>13</v>
      </c>
      <c r="E346">
        <v>1000</v>
      </c>
      <c r="F346" t="s">
        <v>49</v>
      </c>
      <c r="G346" t="s">
        <v>24</v>
      </c>
      <c r="H346" t="s">
        <v>16</v>
      </c>
      <c r="I346" t="s">
        <v>17</v>
      </c>
      <c r="J346" t="s">
        <v>50</v>
      </c>
      <c r="K346">
        <v>0</v>
      </c>
    </row>
    <row r="347" spans="1:11" x14ac:dyDescent="0.25">
      <c r="A347" t="s">
        <v>385</v>
      </c>
      <c r="B347" s="1">
        <v>45285</v>
      </c>
      <c r="C347" t="s">
        <v>20</v>
      </c>
      <c r="D347" t="s">
        <v>27</v>
      </c>
      <c r="E347">
        <v>5400</v>
      </c>
      <c r="F347" t="s">
        <v>32</v>
      </c>
      <c r="G347" t="s">
        <v>28</v>
      </c>
      <c r="H347" t="s">
        <v>33</v>
      </c>
      <c r="I347" t="s">
        <v>34</v>
      </c>
      <c r="J347" t="s">
        <v>25</v>
      </c>
      <c r="K347">
        <v>0.1</v>
      </c>
    </row>
    <row r="348" spans="1:11" x14ac:dyDescent="0.25">
      <c r="A348" t="s">
        <v>386</v>
      </c>
      <c r="B348" s="1">
        <v>44937</v>
      </c>
      <c r="C348" t="s">
        <v>12</v>
      </c>
      <c r="D348" t="s">
        <v>13</v>
      </c>
      <c r="E348">
        <v>1500</v>
      </c>
      <c r="F348" t="s">
        <v>32</v>
      </c>
      <c r="G348" t="s">
        <v>28</v>
      </c>
      <c r="H348" t="s">
        <v>33</v>
      </c>
      <c r="I348" t="s">
        <v>34</v>
      </c>
      <c r="J348" t="s">
        <v>25</v>
      </c>
      <c r="K348">
        <v>0</v>
      </c>
    </row>
    <row r="349" spans="1:11" x14ac:dyDescent="0.25">
      <c r="A349" t="s">
        <v>387</v>
      </c>
      <c r="B349" s="1">
        <v>45002</v>
      </c>
      <c r="C349" t="s">
        <v>20</v>
      </c>
      <c r="D349" t="s">
        <v>27</v>
      </c>
      <c r="E349">
        <v>5400</v>
      </c>
      <c r="F349" t="s">
        <v>49</v>
      </c>
      <c r="G349" t="s">
        <v>28</v>
      </c>
      <c r="H349" t="s">
        <v>16</v>
      </c>
      <c r="I349" t="s">
        <v>17</v>
      </c>
      <c r="J349" t="s">
        <v>50</v>
      </c>
      <c r="K349">
        <v>0.1</v>
      </c>
    </row>
    <row r="350" spans="1:11" x14ac:dyDescent="0.25">
      <c r="A350" t="s">
        <v>388</v>
      </c>
      <c r="B350" s="1">
        <v>45446</v>
      </c>
      <c r="C350" t="s">
        <v>31</v>
      </c>
      <c r="D350" t="s">
        <v>13</v>
      </c>
      <c r="E350">
        <v>1000</v>
      </c>
      <c r="F350" t="s">
        <v>32</v>
      </c>
      <c r="G350" t="s">
        <v>28</v>
      </c>
      <c r="H350" t="s">
        <v>16</v>
      </c>
      <c r="I350" t="s">
        <v>17</v>
      </c>
      <c r="J350" t="s">
        <v>25</v>
      </c>
      <c r="K350">
        <v>0</v>
      </c>
    </row>
    <row r="351" spans="1:11" x14ac:dyDescent="0.25">
      <c r="A351" t="s">
        <v>389</v>
      </c>
      <c r="B351" s="1">
        <v>45326</v>
      </c>
      <c r="C351" t="s">
        <v>31</v>
      </c>
      <c r="D351" t="s">
        <v>27</v>
      </c>
      <c r="E351">
        <v>10800</v>
      </c>
      <c r="F351" t="s">
        <v>32</v>
      </c>
      <c r="G351" t="s">
        <v>15</v>
      </c>
      <c r="H351" t="s">
        <v>16</v>
      </c>
      <c r="I351" t="s">
        <v>17</v>
      </c>
      <c r="J351" t="s">
        <v>25</v>
      </c>
      <c r="K351">
        <v>0.1</v>
      </c>
    </row>
    <row r="352" spans="1:11" x14ac:dyDescent="0.25">
      <c r="A352" t="s">
        <v>390</v>
      </c>
      <c r="B352" s="1">
        <v>45245</v>
      </c>
      <c r="C352" t="s">
        <v>20</v>
      </c>
      <c r="D352" t="s">
        <v>13</v>
      </c>
      <c r="E352">
        <v>500</v>
      </c>
      <c r="F352" t="s">
        <v>49</v>
      </c>
      <c r="G352" t="s">
        <v>24</v>
      </c>
      <c r="H352" t="s">
        <v>33</v>
      </c>
      <c r="I352" t="s">
        <v>34</v>
      </c>
      <c r="J352" t="s">
        <v>50</v>
      </c>
      <c r="K352">
        <v>0</v>
      </c>
    </row>
    <row r="353" spans="1:11" x14ac:dyDescent="0.25">
      <c r="A353" t="s">
        <v>391</v>
      </c>
      <c r="B353" s="1">
        <v>45155</v>
      </c>
      <c r="C353" t="s">
        <v>20</v>
      </c>
      <c r="D353" t="s">
        <v>27</v>
      </c>
      <c r="E353">
        <v>5400</v>
      </c>
      <c r="F353" t="s">
        <v>32</v>
      </c>
      <c r="G353" t="s">
        <v>24</v>
      </c>
      <c r="H353" t="s">
        <v>33</v>
      </c>
      <c r="I353" t="s">
        <v>34</v>
      </c>
      <c r="J353" t="s">
        <v>25</v>
      </c>
      <c r="K353">
        <v>0.1</v>
      </c>
    </row>
    <row r="354" spans="1:11" x14ac:dyDescent="0.25">
      <c r="A354" t="s">
        <v>392</v>
      </c>
      <c r="B354" s="1">
        <v>45192</v>
      </c>
      <c r="C354" t="s">
        <v>20</v>
      </c>
      <c r="D354" t="s">
        <v>27</v>
      </c>
      <c r="E354">
        <v>5400</v>
      </c>
      <c r="F354" t="s">
        <v>14</v>
      </c>
      <c r="G354" t="s">
        <v>24</v>
      </c>
      <c r="H354" t="s">
        <v>16</v>
      </c>
      <c r="I354" t="s">
        <v>17</v>
      </c>
      <c r="J354" t="s">
        <v>41</v>
      </c>
      <c r="K354">
        <v>0.1</v>
      </c>
    </row>
    <row r="355" spans="1:11" x14ac:dyDescent="0.25">
      <c r="A355" t="s">
        <v>393</v>
      </c>
      <c r="B355" s="1">
        <v>44935</v>
      </c>
      <c r="C355" t="s">
        <v>31</v>
      </c>
      <c r="D355" t="s">
        <v>27</v>
      </c>
      <c r="E355">
        <v>10800</v>
      </c>
      <c r="F355" t="s">
        <v>14</v>
      </c>
      <c r="G355" t="s">
        <v>24</v>
      </c>
      <c r="H355" t="s">
        <v>33</v>
      </c>
      <c r="I355" t="s">
        <v>34</v>
      </c>
      <c r="J355" t="s">
        <v>22</v>
      </c>
      <c r="K355">
        <v>0.1</v>
      </c>
    </row>
    <row r="356" spans="1:11" x14ac:dyDescent="0.25">
      <c r="A356" t="s">
        <v>394</v>
      </c>
      <c r="B356" s="1">
        <v>45476</v>
      </c>
      <c r="C356" t="s">
        <v>31</v>
      </c>
      <c r="D356" t="s">
        <v>13</v>
      </c>
      <c r="E356">
        <v>1000</v>
      </c>
      <c r="F356" t="s">
        <v>49</v>
      </c>
      <c r="G356" t="s">
        <v>24</v>
      </c>
      <c r="H356" t="s">
        <v>16</v>
      </c>
      <c r="I356" t="s">
        <v>17</v>
      </c>
      <c r="J356" t="s">
        <v>50</v>
      </c>
      <c r="K356">
        <v>0</v>
      </c>
    </row>
    <row r="357" spans="1:11" x14ac:dyDescent="0.25">
      <c r="A357" t="s">
        <v>395</v>
      </c>
      <c r="B357" s="1">
        <v>44932</v>
      </c>
      <c r="C357" t="s">
        <v>31</v>
      </c>
      <c r="D357" t="s">
        <v>13</v>
      </c>
      <c r="E357">
        <v>1000</v>
      </c>
      <c r="F357" t="s">
        <v>21</v>
      </c>
      <c r="G357" t="s">
        <v>24</v>
      </c>
      <c r="H357" t="s">
        <v>33</v>
      </c>
      <c r="I357" t="s">
        <v>34</v>
      </c>
      <c r="J357" t="s">
        <v>18</v>
      </c>
      <c r="K357">
        <v>0</v>
      </c>
    </row>
    <row r="358" spans="1:11" x14ac:dyDescent="0.25">
      <c r="A358" t="s">
        <v>396</v>
      </c>
      <c r="B358" s="1">
        <v>45163</v>
      </c>
      <c r="C358" t="s">
        <v>31</v>
      </c>
      <c r="D358" t="s">
        <v>13</v>
      </c>
      <c r="E358">
        <v>1000</v>
      </c>
      <c r="F358" t="s">
        <v>14</v>
      </c>
      <c r="G358" t="s">
        <v>28</v>
      </c>
      <c r="H358" t="s">
        <v>33</v>
      </c>
      <c r="I358" t="s">
        <v>34</v>
      </c>
      <c r="J358" t="s">
        <v>37</v>
      </c>
      <c r="K358">
        <v>0</v>
      </c>
    </row>
    <row r="359" spans="1:11" x14ac:dyDescent="0.25">
      <c r="A359" t="s">
        <v>397</v>
      </c>
      <c r="B359" s="1">
        <v>45532</v>
      </c>
      <c r="C359" t="s">
        <v>31</v>
      </c>
      <c r="D359" t="s">
        <v>27</v>
      </c>
      <c r="E359">
        <v>10800</v>
      </c>
      <c r="F359" t="s">
        <v>21</v>
      </c>
      <c r="G359" t="s">
        <v>15</v>
      </c>
      <c r="H359" t="s">
        <v>16</v>
      </c>
      <c r="I359" t="s">
        <v>17</v>
      </c>
      <c r="J359" t="s">
        <v>29</v>
      </c>
      <c r="K359">
        <v>0.1</v>
      </c>
    </row>
    <row r="360" spans="1:11" x14ac:dyDescent="0.25">
      <c r="A360" t="s">
        <v>398</v>
      </c>
      <c r="B360" s="1">
        <v>45437</v>
      </c>
      <c r="C360" t="s">
        <v>31</v>
      </c>
      <c r="D360" t="s">
        <v>13</v>
      </c>
      <c r="E360">
        <v>1000</v>
      </c>
      <c r="F360" t="s">
        <v>14</v>
      </c>
      <c r="G360" t="s">
        <v>24</v>
      </c>
      <c r="H360" t="s">
        <v>33</v>
      </c>
      <c r="I360" t="s">
        <v>34</v>
      </c>
      <c r="J360" t="s">
        <v>41</v>
      </c>
      <c r="K360">
        <v>0</v>
      </c>
    </row>
    <row r="361" spans="1:11" x14ac:dyDescent="0.25">
      <c r="A361" t="s">
        <v>399</v>
      </c>
      <c r="B361" s="1">
        <v>44975</v>
      </c>
      <c r="C361" t="s">
        <v>31</v>
      </c>
      <c r="D361" t="s">
        <v>27</v>
      </c>
      <c r="E361">
        <v>10800</v>
      </c>
      <c r="F361" t="s">
        <v>32</v>
      </c>
      <c r="G361" t="s">
        <v>15</v>
      </c>
      <c r="H361" t="s">
        <v>16</v>
      </c>
      <c r="I361" t="s">
        <v>17</v>
      </c>
      <c r="J361" t="s">
        <v>35</v>
      </c>
      <c r="K361">
        <v>0.1</v>
      </c>
    </row>
    <row r="362" spans="1:11" x14ac:dyDescent="0.25">
      <c r="A362" t="s">
        <v>400</v>
      </c>
      <c r="B362" s="1">
        <v>45207</v>
      </c>
      <c r="C362" t="s">
        <v>31</v>
      </c>
      <c r="D362" t="s">
        <v>13</v>
      </c>
      <c r="E362">
        <v>1000</v>
      </c>
      <c r="F362" t="s">
        <v>32</v>
      </c>
      <c r="G362" t="s">
        <v>24</v>
      </c>
      <c r="H362" t="s">
        <v>16</v>
      </c>
      <c r="I362" t="s">
        <v>17</v>
      </c>
      <c r="J362" t="s">
        <v>35</v>
      </c>
      <c r="K362">
        <v>0</v>
      </c>
    </row>
    <row r="363" spans="1:11" x14ac:dyDescent="0.25">
      <c r="A363" t="s">
        <v>401</v>
      </c>
      <c r="B363" s="1">
        <v>45213</v>
      </c>
      <c r="C363" t="s">
        <v>12</v>
      </c>
      <c r="D363" t="s">
        <v>27</v>
      </c>
      <c r="E363">
        <v>16200</v>
      </c>
      <c r="F363" t="s">
        <v>14</v>
      </c>
      <c r="G363" t="s">
        <v>15</v>
      </c>
      <c r="H363" t="s">
        <v>16</v>
      </c>
      <c r="I363" t="s">
        <v>17</v>
      </c>
      <c r="J363" t="s">
        <v>37</v>
      </c>
      <c r="K363">
        <v>0.1</v>
      </c>
    </row>
    <row r="364" spans="1:11" x14ac:dyDescent="0.25">
      <c r="A364" t="s">
        <v>402</v>
      </c>
      <c r="B364" s="1">
        <v>45322</v>
      </c>
      <c r="C364" t="s">
        <v>20</v>
      </c>
      <c r="D364" t="s">
        <v>27</v>
      </c>
      <c r="E364">
        <v>5400</v>
      </c>
      <c r="F364" t="s">
        <v>32</v>
      </c>
      <c r="G364" t="s">
        <v>24</v>
      </c>
      <c r="H364" t="s">
        <v>33</v>
      </c>
      <c r="I364" t="s">
        <v>34</v>
      </c>
      <c r="J364" t="s">
        <v>35</v>
      </c>
      <c r="K364">
        <v>0.1</v>
      </c>
    </row>
    <row r="365" spans="1:11" x14ac:dyDescent="0.25">
      <c r="A365" t="s">
        <v>403</v>
      </c>
      <c r="B365" s="1">
        <v>45234</v>
      </c>
      <c r="C365" t="s">
        <v>31</v>
      </c>
      <c r="D365" t="s">
        <v>27</v>
      </c>
      <c r="E365">
        <v>10800</v>
      </c>
      <c r="F365" t="s">
        <v>21</v>
      </c>
      <c r="G365" t="s">
        <v>15</v>
      </c>
      <c r="H365" t="s">
        <v>16</v>
      </c>
      <c r="I365" t="s">
        <v>17</v>
      </c>
      <c r="J365" t="s">
        <v>25</v>
      </c>
      <c r="K365">
        <v>0.1</v>
      </c>
    </row>
    <row r="366" spans="1:11" x14ac:dyDescent="0.25">
      <c r="A366" t="s">
        <v>404</v>
      </c>
      <c r="B366" s="1">
        <v>45452</v>
      </c>
      <c r="C366" t="s">
        <v>12</v>
      </c>
      <c r="D366" t="s">
        <v>27</v>
      </c>
      <c r="E366">
        <v>16200</v>
      </c>
      <c r="F366" t="s">
        <v>14</v>
      </c>
      <c r="G366" t="s">
        <v>24</v>
      </c>
      <c r="H366" t="s">
        <v>16</v>
      </c>
      <c r="I366" t="s">
        <v>17</v>
      </c>
      <c r="J366" t="s">
        <v>18</v>
      </c>
      <c r="K366">
        <v>0.1</v>
      </c>
    </row>
    <row r="367" spans="1:11" x14ac:dyDescent="0.25">
      <c r="A367" t="s">
        <v>405</v>
      </c>
      <c r="B367" s="1">
        <v>45355</v>
      </c>
      <c r="C367" t="s">
        <v>20</v>
      </c>
      <c r="D367" t="s">
        <v>13</v>
      </c>
      <c r="E367">
        <v>500</v>
      </c>
      <c r="F367" t="s">
        <v>14</v>
      </c>
      <c r="G367" t="s">
        <v>24</v>
      </c>
      <c r="H367" t="s">
        <v>33</v>
      </c>
      <c r="I367" t="s">
        <v>34</v>
      </c>
      <c r="J367" t="s">
        <v>18</v>
      </c>
      <c r="K367">
        <v>0</v>
      </c>
    </row>
    <row r="368" spans="1:11" x14ac:dyDescent="0.25">
      <c r="A368" t="s">
        <v>406</v>
      </c>
      <c r="B368" s="1">
        <v>45473</v>
      </c>
      <c r="C368" t="s">
        <v>31</v>
      </c>
      <c r="D368" t="s">
        <v>27</v>
      </c>
      <c r="E368">
        <v>10800</v>
      </c>
      <c r="F368" t="s">
        <v>21</v>
      </c>
      <c r="G368" t="s">
        <v>24</v>
      </c>
      <c r="H368" t="s">
        <v>33</v>
      </c>
      <c r="I368" t="s">
        <v>34</v>
      </c>
      <c r="J368" t="s">
        <v>25</v>
      </c>
      <c r="K368">
        <v>0.1</v>
      </c>
    </row>
    <row r="369" spans="1:11" x14ac:dyDescent="0.25">
      <c r="A369" t="s">
        <v>407</v>
      </c>
      <c r="B369" s="1">
        <v>45609</v>
      </c>
      <c r="C369" t="s">
        <v>31</v>
      </c>
      <c r="D369" t="s">
        <v>27</v>
      </c>
      <c r="E369">
        <v>10800</v>
      </c>
      <c r="F369" t="s">
        <v>14</v>
      </c>
      <c r="G369" t="s">
        <v>24</v>
      </c>
      <c r="H369" t="s">
        <v>33</v>
      </c>
      <c r="I369" t="s">
        <v>34</v>
      </c>
      <c r="J369" t="s">
        <v>55</v>
      </c>
      <c r="K369">
        <v>0.1</v>
      </c>
    </row>
    <row r="370" spans="1:11" x14ac:dyDescent="0.25">
      <c r="A370" t="s">
        <v>408</v>
      </c>
      <c r="B370" s="1">
        <v>45451</v>
      </c>
      <c r="C370" t="s">
        <v>20</v>
      </c>
      <c r="D370" t="s">
        <v>13</v>
      </c>
      <c r="E370">
        <v>500</v>
      </c>
      <c r="F370" t="s">
        <v>14</v>
      </c>
      <c r="G370" t="s">
        <v>24</v>
      </c>
      <c r="H370" t="s">
        <v>33</v>
      </c>
      <c r="I370" t="s">
        <v>34</v>
      </c>
      <c r="J370" t="s">
        <v>41</v>
      </c>
      <c r="K370">
        <v>0</v>
      </c>
    </row>
    <row r="371" spans="1:11" x14ac:dyDescent="0.25">
      <c r="A371" t="s">
        <v>409</v>
      </c>
      <c r="B371" s="1">
        <v>45453</v>
      </c>
      <c r="C371" t="s">
        <v>20</v>
      </c>
      <c r="D371" t="s">
        <v>27</v>
      </c>
      <c r="E371">
        <v>5400</v>
      </c>
      <c r="F371" t="s">
        <v>14</v>
      </c>
      <c r="G371" t="s">
        <v>24</v>
      </c>
      <c r="H371" t="s">
        <v>16</v>
      </c>
      <c r="I371" t="s">
        <v>17</v>
      </c>
      <c r="J371" t="s">
        <v>37</v>
      </c>
      <c r="K371">
        <v>0.1</v>
      </c>
    </row>
    <row r="372" spans="1:11" x14ac:dyDescent="0.25">
      <c r="A372" t="s">
        <v>410</v>
      </c>
      <c r="B372" s="1">
        <v>45005</v>
      </c>
      <c r="C372" t="s">
        <v>31</v>
      </c>
      <c r="D372" t="s">
        <v>13</v>
      </c>
      <c r="E372">
        <v>1000</v>
      </c>
      <c r="F372" t="s">
        <v>14</v>
      </c>
      <c r="G372" t="s">
        <v>24</v>
      </c>
      <c r="H372" t="s">
        <v>33</v>
      </c>
      <c r="I372" t="s">
        <v>34</v>
      </c>
      <c r="J372" t="s">
        <v>37</v>
      </c>
      <c r="K372">
        <v>0</v>
      </c>
    </row>
    <row r="373" spans="1:11" x14ac:dyDescent="0.25">
      <c r="A373" t="s">
        <v>411</v>
      </c>
      <c r="B373" s="1">
        <v>45550</v>
      </c>
      <c r="C373" t="s">
        <v>12</v>
      </c>
      <c r="D373" t="s">
        <v>27</v>
      </c>
      <c r="E373">
        <v>16200</v>
      </c>
      <c r="F373" t="s">
        <v>14</v>
      </c>
      <c r="G373" t="s">
        <v>24</v>
      </c>
      <c r="H373" t="s">
        <v>16</v>
      </c>
      <c r="I373" t="s">
        <v>17</v>
      </c>
      <c r="J373" t="s">
        <v>41</v>
      </c>
      <c r="K373">
        <v>0.1</v>
      </c>
    </row>
    <row r="374" spans="1:11" x14ac:dyDescent="0.25">
      <c r="A374" t="s">
        <v>412</v>
      </c>
      <c r="B374" s="1">
        <v>45273</v>
      </c>
      <c r="C374" t="s">
        <v>20</v>
      </c>
      <c r="D374" t="s">
        <v>13</v>
      </c>
      <c r="E374">
        <v>500</v>
      </c>
      <c r="F374" t="s">
        <v>14</v>
      </c>
      <c r="G374" t="s">
        <v>15</v>
      </c>
      <c r="H374" t="s">
        <v>16</v>
      </c>
      <c r="I374" t="s">
        <v>17</v>
      </c>
      <c r="J374" t="s">
        <v>18</v>
      </c>
      <c r="K374">
        <v>0</v>
      </c>
    </row>
    <row r="375" spans="1:11" x14ac:dyDescent="0.25">
      <c r="A375" t="s">
        <v>413</v>
      </c>
      <c r="B375" s="1">
        <v>44962</v>
      </c>
      <c r="C375" t="s">
        <v>20</v>
      </c>
      <c r="D375" t="s">
        <v>13</v>
      </c>
      <c r="E375">
        <v>500</v>
      </c>
      <c r="F375" t="s">
        <v>14</v>
      </c>
      <c r="G375" t="s">
        <v>28</v>
      </c>
      <c r="H375" t="s">
        <v>33</v>
      </c>
      <c r="I375" t="s">
        <v>34</v>
      </c>
      <c r="J375" t="s">
        <v>37</v>
      </c>
      <c r="K375">
        <v>0</v>
      </c>
    </row>
    <row r="376" spans="1:11" x14ac:dyDescent="0.25">
      <c r="A376" t="s">
        <v>414</v>
      </c>
      <c r="B376" s="1">
        <v>45355</v>
      </c>
      <c r="C376" t="s">
        <v>12</v>
      </c>
      <c r="D376" t="s">
        <v>13</v>
      </c>
      <c r="E376">
        <v>1500</v>
      </c>
      <c r="F376" t="s">
        <v>14</v>
      </c>
      <c r="G376" t="s">
        <v>15</v>
      </c>
      <c r="H376" t="s">
        <v>16</v>
      </c>
      <c r="I376" t="s">
        <v>17</v>
      </c>
      <c r="J376" t="s">
        <v>37</v>
      </c>
      <c r="K376">
        <v>0</v>
      </c>
    </row>
    <row r="377" spans="1:11" x14ac:dyDescent="0.25">
      <c r="A377" t="s">
        <v>415</v>
      </c>
      <c r="B377" s="1">
        <v>45391</v>
      </c>
      <c r="C377" t="s">
        <v>31</v>
      </c>
      <c r="D377" t="s">
        <v>27</v>
      </c>
      <c r="E377">
        <v>10800</v>
      </c>
      <c r="F377" t="s">
        <v>21</v>
      </c>
      <c r="G377" t="s">
        <v>24</v>
      </c>
      <c r="H377" t="s">
        <v>33</v>
      </c>
      <c r="I377" t="s">
        <v>34</v>
      </c>
      <c r="J377" t="s">
        <v>22</v>
      </c>
      <c r="K377">
        <v>0.1</v>
      </c>
    </row>
    <row r="378" spans="1:11" x14ac:dyDescent="0.25">
      <c r="A378" t="s">
        <v>416</v>
      </c>
      <c r="B378" s="1">
        <v>45206</v>
      </c>
      <c r="C378" t="s">
        <v>31</v>
      </c>
      <c r="D378" t="s">
        <v>13</v>
      </c>
      <c r="E378">
        <v>1000</v>
      </c>
      <c r="F378" t="s">
        <v>21</v>
      </c>
      <c r="G378" t="s">
        <v>28</v>
      </c>
      <c r="H378" t="s">
        <v>33</v>
      </c>
      <c r="I378" t="s">
        <v>34</v>
      </c>
      <c r="J378" t="s">
        <v>18</v>
      </c>
      <c r="K378">
        <v>0</v>
      </c>
    </row>
    <row r="379" spans="1:11" x14ac:dyDescent="0.25">
      <c r="A379" t="s">
        <v>417</v>
      </c>
      <c r="B379" s="1">
        <v>45578</v>
      </c>
      <c r="C379" t="s">
        <v>31</v>
      </c>
      <c r="D379" t="s">
        <v>27</v>
      </c>
      <c r="E379">
        <v>10800</v>
      </c>
      <c r="F379" t="s">
        <v>21</v>
      </c>
      <c r="G379" t="s">
        <v>28</v>
      </c>
      <c r="H379" t="s">
        <v>16</v>
      </c>
      <c r="I379" t="s">
        <v>17</v>
      </c>
      <c r="J379" t="s">
        <v>22</v>
      </c>
      <c r="K379">
        <v>0.1</v>
      </c>
    </row>
    <row r="380" spans="1:11" x14ac:dyDescent="0.25">
      <c r="A380" t="s">
        <v>418</v>
      </c>
      <c r="B380" s="1">
        <v>45004</v>
      </c>
      <c r="C380" t="s">
        <v>31</v>
      </c>
      <c r="D380" t="s">
        <v>13</v>
      </c>
      <c r="E380">
        <v>1000</v>
      </c>
      <c r="F380" t="s">
        <v>32</v>
      </c>
      <c r="G380" t="s">
        <v>24</v>
      </c>
      <c r="H380" t="s">
        <v>33</v>
      </c>
      <c r="I380" t="s">
        <v>34</v>
      </c>
      <c r="J380" t="s">
        <v>66</v>
      </c>
      <c r="K380">
        <v>0</v>
      </c>
    </row>
    <row r="381" spans="1:11" x14ac:dyDescent="0.25">
      <c r="A381" t="s">
        <v>419</v>
      </c>
      <c r="B381" s="1">
        <v>45036</v>
      </c>
      <c r="C381" t="s">
        <v>31</v>
      </c>
      <c r="D381" t="s">
        <v>13</v>
      </c>
      <c r="E381">
        <v>1000</v>
      </c>
      <c r="F381" t="s">
        <v>14</v>
      </c>
      <c r="G381" t="s">
        <v>24</v>
      </c>
      <c r="H381" t="s">
        <v>33</v>
      </c>
      <c r="I381" t="s">
        <v>34</v>
      </c>
      <c r="J381" t="s">
        <v>18</v>
      </c>
      <c r="K381">
        <v>0</v>
      </c>
    </row>
    <row r="382" spans="1:11" x14ac:dyDescent="0.25">
      <c r="A382" t="s">
        <v>420</v>
      </c>
      <c r="B382" s="1">
        <v>45639</v>
      </c>
      <c r="C382" t="s">
        <v>12</v>
      </c>
      <c r="D382" t="s">
        <v>27</v>
      </c>
      <c r="E382">
        <v>16200</v>
      </c>
      <c r="F382" t="s">
        <v>49</v>
      </c>
      <c r="G382" t="s">
        <v>28</v>
      </c>
      <c r="H382" t="s">
        <v>33</v>
      </c>
      <c r="I382" t="s">
        <v>34</v>
      </c>
      <c r="J382" t="s">
        <v>35</v>
      </c>
      <c r="K382">
        <v>0.1</v>
      </c>
    </row>
    <row r="383" spans="1:11" x14ac:dyDescent="0.25">
      <c r="A383" t="s">
        <v>421</v>
      </c>
      <c r="B383" s="1">
        <v>44971</v>
      </c>
      <c r="C383" t="s">
        <v>31</v>
      </c>
      <c r="D383" t="s">
        <v>27</v>
      </c>
      <c r="E383">
        <v>10800</v>
      </c>
      <c r="F383" t="s">
        <v>21</v>
      </c>
      <c r="G383" t="s">
        <v>24</v>
      </c>
      <c r="H383" t="s">
        <v>16</v>
      </c>
      <c r="I383" t="s">
        <v>17</v>
      </c>
      <c r="J383" t="s">
        <v>25</v>
      </c>
      <c r="K383">
        <v>0.1</v>
      </c>
    </row>
    <row r="384" spans="1:11" x14ac:dyDescent="0.25">
      <c r="A384" t="s">
        <v>422</v>
      </c>
      <c r="B384" s="1">
        <v>45037</v>
      </c>
      <c r="C384" t="s">
        <v>12</v>
      </c>
      <c r="D384" t="s">
        <v>13</v>
      </c>
      <c r="E384">
        <v>1500</v>
      </c>
      <c r="F384" t="s">
        <v>32</v>
      </c>
      <c r="G384" t="s">
        <v>28</v>
      </c>
      <c r="H384" t="s">
        <v>33</v>
      </c>
      <c r="I384" t="s">
        <v>34</v>
      </c>
      <c r="J384" t="s">
        <v>39</v>
      </c>
      <c r="K384">
        <v>0</v>
      </c>
    </row>
    <row r="385" spans="1:11" x14ac:dyDescent="0.25">
      <c r="A385" t="s">
        <v>423</v>
      </c>
      <c r="B385" s="1">
        <v>45432</v>
      </c>
      <c r="C385" t="s">
        <v>12</v>
      </c>
      <c r="D385" t="s">
        <v>13</v>
      </c>
      <c r="E385">
        <v>1500</v>
      </c>
      <c r="F385" t="s">
        <v>21</v>
      </c>
      <c r="G385" t="s">
        <v>15</v>
      </c>
      <c r="H385" t="s">
        <v>16</v>
      </c>
      <c r="I385" t="s">
        <v>17</v>
      </c>
      <c r="J385" t="s">
        <v>29</v>
      </c>
      <c r="K385">
        <v>0</v>
      </c>
    </row>
    <row r="386" spans="1:11" x14ac:dyDescent="0.25">
      <c r="A386" t="s">
        <v>424</v>
      </c>
      <c r="B386" s="1">
        <v>45173</v>
      </c>
      <c r="C386" t="s">
        <v>20</v>
      </c>
      <c r="D386" t="s">
        <v>27</v>
      </c>
      <c r="E386">
        <v>5400</v>
      </c>
      <c r="F386" t="s">
        <v>32</v>
      </c>
      <c r="G386" t="s">
        <v>24</v>
      </c>
      <c r="H386" t="s">
        <v>33</v>
      </c>
      <c r="I386" t="s">
        <v>34</v>
      </c>
      <c r="J386" t="s">
        <v>66</v>
      </c>
      <c r="K386">
        <v>0.1</v>
      </c>
    </row>
    <row r="387" spans="1:11" x14ac:dyDescent="0.25">
      <c r="A387" t="s">
        <v>425</v>
      </c>
      <c r="B387" s="1">
        <v>45420</v>
      </c>
      <c r="C387" t="s">
        <v>12</v>
      </c>
      <c r="D387" t="s">
        <v>13</v>
      </c>
      <c r="E387">
        <v>1500</v>
      </c>
      <c r="F387" t="s">
        <v>21</v>
      </c>
      <c r="G387" t="s">
        <v>24</v>
      </c>
      <c r="H387" t="s">
        <v>16</v>
      </c>
      <c r="I387" t="s">
        <v>17</v>
      </c>
      <c r="J387" t="s">
        <v>29</v>
      </c>
      <c r="K387">
        <v>0</v>
      </c>
    </row>
    <row r="388" spans="1:11" x14ac:dyDescent="0.25">
      <c r="A388" t="s">
        <v>426</v>
      </c>
      <c r="B388" s="1">
        <v>45274</v>
      </c>
      <c r="C388" t="s">
        <v>20</v>
      </c>
      <c r="D388" t="s">
        <v>27</v>
      </c>
      <c r="E388">
        <v>5400</v>
      </c>
      <c r="F388" t="s">
        <v>49</v>
      </c>
      <c r="G388" t="s">
        <v>24</v>
      </c>
      <c r="H388" t="s">
        <v>16</v>
      </c>
      <c r="I388" t="s">
        <v>17</v>
      </c>
      <c r="J388" t="s">
        <v>22</v>
      </c>
      <c r="K388">
        <v>0.1</v>
      </c>
    </row>
    <row r="389" spans="1:11" x14ac:dyDescent="0.25">
      <c r="A389" t="s">
        <v>427</v>
      </c>
      <c r="B389" s="1">
        <v>45216</v>
      </c>
      <c r="C389" t="s">
        <v>31</v>
      </c>
      <c r="D389" t="s">
        <v>13</v>
      </c>
      <c r="E389">
        <v>1000</v>
      </c>
      <c r="F389" t="s">
        <v>32</v>
      </c>
      <c r="G389" t="s">
        <v>15</v>
      </c>
      <c r="H389" t="s">
        <v>16</v>
      </c>
      <c r="I389" t="s">
        <v>17</v>
      </c>
      <c r="J389" t="s">
        <v>35</v>
      </c>
      <c r="K389">
        <v>0</v>
      </c>
    </row>
    <row r="390" spans="1:11" x14ac:dyDescent="0.25">
      <c r="A390" t="s">
        <v>428</v>
      </c>
      <c r="B390" s="1">
        <v>45085</v>
      </c>
      <c r="C390" t="s">
        <v>12</v>
      </c>
      <c r="D390" t="s">
        <v>13</v>
      </c>
      <c r="E390">
        <v>1500</v>
      </c>
      <c r="F390" t="s">
        <v>14</v>
      </c>
      <c r="G390" t="s">
        <v>28</v>
      </c>
      <c r="H390" t="s">
        <v>16</v>
      </c>
      <c r="I390" t="s">
        <v>17</v>
      </c>
      <c r="J390" t="s">
        <v>18</v>
      </c>
      <c r="K390">
        <v>0</v>
      </c>
    </row>
    <row r="391" spans="1:11" x14ac:dyDescent="0.25">
      <c r="A391" t="s">
        <v>429</v>
      </c>
      <c r="B391" s="1">
        <v>45451</v>
      </c>
      <c r="C391" t="s">
        <v>31</v>
      </c>
      <c r="D391" t="s">
        <v>27</v>
      </c>
      <c r="E391">
        <v>10800</v>
      </c>
      <c r="F391" t="s">
        <v>32</v>
      </c>
      <c r="G391" t="s">
        <v>24</v>
      </c>
      <c r="H391" t="s">
        <v>16</v>
      </c>
      <c r="I391" t="s">
        <v>17</v>
      </c>
      <c r="J391" t="s">
        <v>39</v>
      </c>
      <c r="K391">
        <v>0.1</v>
      </c>
    </row>
    <row r="392" spans="1:11" x14ac:dyDescent="0.25">
      <c r="A392" t="s">
        <v>430</v>
      </c>
      <c r="B392" s="1">
        <v>45648</v>
      </c>
      <c r="C392" t="s">
        <v>31</v>
      </c>
      <c r="D392" t="s">
        <v>13</v>
      </c>
      <c r="E392">
        <v>1000</v>
      </c>
      <c r="F392" t="s">
        <v>14</v>
      </c>
      <c r="G392" t="s">
        <v>24</v>
      </c>
      <c r="H392" t="s">
        <v>33</v>
      </c>
      <c r="I392" t="s">
        <v>34</v>
      </c>
      <c r="J392" t="s">
        <v>37</v>
      </c>
      <c r="K392">
        <v>0</v>
      </c>
    </row>
    <row r="393" spans="1:11" x14ac:dyDescent="0.25">
      <c r="A393" t="s">
        <v>431</v>
      </c>
      <c r="B393" s="1">
        <v>45043</v>
      </c>
      <c r="C393" t="s">
        <v>31</v>
      </c>
      <c r="D393" t="s">
        <v>27</v>
      </c>
      <c r="E393">
        <v>10800</v>
      </c>
      <c r="F393" t="s">
        <v>49</v>
      </c>
      <c r="G393" t="s">
        <v>24</v>
      </c>
      <c r="H393" t="s">
        <v>16</v>
      </c>
      <c r="I393" t="s">
        <v>17</v>
      </c>
      <c r="J393" t="s">
        <v>35</v>
      </c>
      <c r="K393">
        <v>0.1</v>
      </c>
    </row>
    <row r="394" spans="1:11" x14ac:dyDescent="0.25">
      <c r="A394" t="s">
        <v>432</v>
      </c>
      <c r="B394" s="1">
        <v>45398</v>
      </c>
      <c r="C394" t="s">
        <v>12</v>
      </c>
      <c r="D394" t="s">
        <v>13</v>
      </c>
      <c r="E394">
        <v>1500</v>
      </c>
      <c r="F394" t="s">
        <v>49</v>
      </c>
      <c r="G394" t="s">
        <v>24</v>
      </c>
      <c r="H394" t="s">
        <v>33</v>
      </c>
      <c r="I394" t="s">
        <v>34</v>
      </c>
      <c r="J394" t="s">
        <v>22</v>
      </c>
      <c r="K394">
        <v>0</v>
      </c>
    </row>
    <row r="395" spans="1:11" x14ac:dyDescent="0.25">
      <c r="A395" t="s">
        <v>433</v>
      </c>
      <c r="B395" s="1">
        <v>45162</v>
      </c>
      <c r="C395" t="s">
        <v>20</v>
      </c>
      <c r="D395" t="s">
        <v>13</v>
      </c>
      <c r="E395">
        <v>500</v>
      </c>
      <c r="F395" t="s">
        <v>21</v>
      </c>
      <c r="G395" t="s">
        <v>28</v>
      </c>
      <c r="H395" t="s">
        <v>16</v>
      </c>
      <c r="I395" t="s">
        <v>17</v>
      </c>
      <c r="J395" t="s">
        <v>18</v>
      </c>
      <c r="K395">
        <v>0</v>
      </c>
    </row>
    <row r="396" spans="1:11" x14ac:dyDescent="0.25">
      <c r="A396" t="s">
        <v>434</v>
      </c>
      <c r="B396" s="1">
        <v>45655</v>
      </c>
      <c r="C396" t="s">
        <v>20</v>
      </c>
      <c r="D396" t="s">
        <v>13</v>
      </c>
      <c r="E396">
        <v>500</v>
      </c>
      <c r="F396" t="s">
        <v>49</v>
      </c>
      <c r="G396" t="s">
        <v>15</v>
      </c>
      <c r="H396" t="s">
        <v>16</v>
      </c>
      <c r="I396" t="s">
        <v>17</v>
      </c>
      <c r="J396" t="s">
        <v>25</v>
      </c>
      <c r="K396">
        <v>0</v>
      </c>
    </row>
    <row r="397" spans="1:11" x14ac:dyDescent="0.25">
      <c r="A397" t="s">
        <v>435</v>
      </c>
      <c r="B397" s="1">
        <v>45030</v>
      </c>
      <c r="C397" t="s">
        <v>20</v>
      </c>
      <c r="D397" t="s">
        <v>13</v>
      </c>
      <c r="E397">
        <v>500</v>
      </c>
      <c r="F397" t="s">
        <v>49</v>
      </c>
      <c r="G397" t="s">
        <v>28</v>
      </c>
      <c r="H397" t="s">
        <v>16</v>
      </c>
      <c r="I397" t="s">
        <v>17</v>
      </c>
      <c r="J397" t="s">
        <v>58</v>
      </c>
      <c r="K397">
        <v>0</v>
      </c>
    </row>
    <row r="398" spans="1:11" x14ac:dyDescent="0.25">
      <c r="A398" t="s">
        <v>436</v>
      </c>
      <c r="B398" s="1">
        <v>45538</v>
      </c>
      <c r="C398" t="s">
        <v>12</v>
      </c>
      <c r="D398" t="s">
        <v>27</v>
      </c>
      <c r="E398">
        <v>16200</v>
      </c>
      <c r="F398" t="s">
        <v>49</v>
      </c>
      <c r="G398" t="s">
        <v>28</v>
      </c>
      <c r="H398" t="s">
        <v>16</v>
      </c>
      <c r="I398" t="s">
        <v>17</v>
      </c>
      <c r="J398" t="s">
        <v>35</v>
      </c>
      <c r="K398">
        <v>0.1</v>
      </c>
    </row>
    <row r="399" spans="1:11" x14ac:dyDescent="0.25">
      <c r="A399" t="s">
        <v>437</v>
      </c>
      <c r="B399" s="1">
        <v>45590</v>
      </c>
      <c r="C399" t="s">
        <v>12</v>
      </c>
      <c r="D399" t="s">
        <v>27</v>
      </c>
      <c r="E399">
        <v>16200</v>
      </c>
      <c r="F399" t="s">
        <v>14</v>
      </c>
      <c r="G399" t="s">
        <v>15</v>
      </c>
      <c r="H399" t="s">
        <v>16</v>
      </c>
      <c r="I399" t="s">
        <v>17</v>
      </c>
      <c r="J399" t="s">
        <v>22</v>
      </c>
      <c r="K399">
        <v>0.1</v>
      </c>
    </row>
    <row r="400" spans="1:11" x14ac:dyDescent="0.25">
      <c r="A400" t="s">
        <v>438</v>
      </c>
      <c r="B400" s="1">
        <v>45441</v>
      </c>
      <c r="C400" t="s">
        <v>12</v>
      </c>
      <c r="D400" t="s">
        <v>27</v>
      </c>
      <c r="E400">
        <v>16200</v>
      </c>
      <c r="F400" t="s">
        <v>32</v>
      </c>
      <c r="G400" t="s">
        <v>24</v>
      </c>
      <c r="H400" t="s">
        <v>33</v>
      </c>
      <c r="I400" t="s">
        <v>34</v>
      </c>
      <c r="J400" t="s">
        <v>25</v>
      </c>
      <c r="K400">
        <v>0.1</v>
      </c>
    </row>
    <row r="401" spans="1:11" x14ac:dyDescent="0.25">
      <c r="A401" t="s">
        <v>439</v>
      </c>
      <c r="B401" s="1">
        <v>45405</v>
      </c>
      <c r="C401" t="s">
        <v>12</v>
      </c>
      <c r="D401" t="s">
        <v>27</v>
      </c>
      <c r="E401">
        <v>16200</v>
      </c>
      <c r="F401" t="s">
        <v>14</v>
      </c>
      <c r="G401" t="s">
        <v>24</v>
      </c>
      <c r="H401" t="s">
        <v>16</v>
      </c>
      <c r="I401" t="s">
        <v>17</v>
      </c>
      <c r="J401" t="s">
        <v>55</v>
      </c>
      <c r="K401">
        <v>0.1</v>
      </c>
    </row>
    <row r="402" spans="1:11" x14ac:dyDescent="0.25">
      <c r="A402" t="s">
        <v>440</v>
      </c>
      <c r="B402" s="1">
        <v>45365</v>
      </c>
      <c r="C402" t="s">
        <v>12</v>
      </c>
      <c r="D402" t="s">
        <v>27</v>
      </c>
      <c r="E402">
        <v>16200</v>
      </c>
      <c r="F402" t="s">
        <v>21</v>
      </c>
      <c r="G402" t="s">
        <v>28</v>
      </c>
      <c r="H402" t="s">
        <v>33</v>
      </c>
      <c r="I402" t="s">
        <v>34</v>
      </c>
      <c r="J402" t="s">
        <v>29</v>
      </c>
      <c r="K402">
        <v>0.1</v>
      </c>
    </row>
    <row r="403" spans="1:11" x14ac:dyDescent="0.25">
      <c r="A403" t="s">
        <v>441</v>
      </c>
      <c r="B403" s="1">
        <v>45080</v>
      </c>
      <c r="C403" t="s">
        <v>12</v>
      </c>
      <c r="D403" t="s">
        <v>13</v>
      </c>
      <c r="E403">
        <v>1500</v>
      </c>
      <c r="F403" t="s">
        <v>21</v>
      </c>
      <c r="G403" t="s">
        <v>15</v>
      </c>
      <c r="H403" t="s">
        <v>16</v>
      </c>
      <c r="I403" t="s">
        <v>17</v>
      </c>
      <c r="J403" t="s">
        <v>29</v>
      </c>
      <c r="K403">
        <v>0</v>
      </c>
    </row>
    <row r="404" spans="1:11" x14ac:dyDescent="0.25">
      <c r="A404" t="s">
        <v>442</v>
      </c>
      <c r="B404" s="1">
        <v>45175</v>
      </c>
      <c r="C404" t="s">
        <v>12</v>
      </c>
      <c r="D404" t="s">
        <v>13</v>
      </c>
      <c r="E404">
        <v>1500</v>
      </c>
      <c r="F404" t="s">
        <v>49</v>
      </c>
      <c r="G404" t="s">
        <v>28</v>
      </c>
      <c r="H404" t="s">
        <v>33</v>
      </c>
      <c r="I404" t="s">
        <v>34</v>
      </c>
      <c r="J404" t="s">
        <v>22</v>
      </c>
      <c r="K404">
        <v>0</v>
      </c>
    </row>
    <row r="405" spans="1:11" x14ac:dyDescent="0.25">
      <c r="A405" t="s">
        <v>443</v>
      </c>
      <c r="B405" s="1">
        <v>45483</v>
      </c>
      <c r="C405" t="s">
        <v>20</v>
      </c>
      <c r="D405" t="s">
        <v>27</v>
      </c>
      <c r="E405">
        <v>5400</v>
      </c>
      <c r="F405" t="s">
        <v>21</v>
      </c>
      <c r="G405" t="s">
        <v>24</v>
      </c>
      <c r="H405" t="s">
        <v>33</v>
      </c>
      <c r="I405" t="s">
        <v>34</v>
      </c>
      <c r="J405" t="s">
        <v>18</v>
      </c>
      <c r="K405">
        <v>0.1</v>
      </c>
    </row>
    <row r="406" spans="1:11" x14ac:dyDescent="0.25">
      <c r="A406" t="s">
        <v>444</v>
      </c>
      <c r="B406" s="1">
        <v>45416</v>
      </c>
      <c r="C406" t="s">
        <v>20</v>
      </c>
      <c r="D406" t="s">
        <v>27</v>
      </c>
      <c r="E406">
        <v>5400</v>
      </c>
      <c r="F406" t="s">
        <v>14</v>
      </c>
      <c r="G406" t="s">
        <v>28</v>
      </c>
      <c r="H406" t="s">
        <v>16</v>
      </c>
      <c r="I406" t="s">
        <v>17</v>
      </c>
      <c r="J406" t="s">
        <v>22</v>
      </c>
      <c r="K406">
        <v>0.1</v>
      </c>
    </row>
    <row r="407" spans="1:11" x14ac:dyDescent="0.25">
      <c r="A407" t="s">
        <v>445</v>
      </c>
      <c r="B407" s="1">
        <v>45293</v>
      </c>
      <c r="C407" t="s">
        <v>31</v>
      </c>
      <c r="D407" t="s">
        <v>13</v>
      </c>
      <c r="E407">
        <v>1000</v>
      </c>
      <c r="F407" t="s">
        <v>32</v>
      </c>
      <c r="G407" t="s">
        <v>24</v>
      </c>
      <c r="H407" t="s">
        <v>16</v>
      </c>
      <c r="I407" t="s">
        <v>17</v>
      </c>
      <c r="J407" t="s">
        <v>35</v>
      </c>
      <c r="K407">
        <v>0</v>
      </c>
    </row>
    <row r="408" spans="1:11" x14ac:dyDescent="0.25">
      <c r="A408" t="s">
        <v>446</v>
      </c>
      <c r="B408" s="1">
        <v>45329</v>
      </c>
      <c r="C408" t="s">
        <v>12</v>
      </c>
      <c r="D408" t="s">
        <v>13</v>
      </c>
      <c r="E408">
        <v>1500</v>
      </c>
      <c r="F408" t="s">
        <v>21</v>
      </c>
      <c r="G408" t="s">
        <v>24</v>
      </c>
      <c r="H408" t="s">
        <v>33</v>
      </c>
      <c r="I408" t="s">
        <v>34</v>
      </c>
      <c r="J408" t="s">
        <v>18</v>
      </c>
      <c r="K408">
        <v>0</v>
      </c>
    </row>
    <row r="409" spans="1:11" x14ac:dyDescent="0.25">
      <c r="A409" t="s">
        <v>447</v>
      </c>
      <c r="B409" s="1">
        <v>45309</v>
      </c>
      <c r="C409" t="s">
        <v>31</v>
      </c>
      <c r="D409" t="s">
        <v>13</v>
      </c>
      <c r="E409">
        <v>1000</v>
      </c>
      <c r="F409" t="s">
        <v>32</v>
      </c>
      <c r="G409" t="s">
        <v>24</v>
      </c>
      <c r="H409" t="s">
        <v>33</v>
      </c>
      <c r="I409" t="s">
        <v>34</v>
      </c>
      <c r="J409" t="s">
        <v>35</v>
      </c>
      <c r="K409">
        <v>0</v>
      </c>
    </row>
    <row r="410" spans="1:11" x14ac:dyDescent="0.25">
      <c r="A410" t="s">
        <v>448</v>
      </c>
      <c r="B410" s="1">
        <v>45420</v>
      </c>
      <c r="C410" t="s">
        <v>12</v>
      </c>
      <c r="D410" t="s">
        <v>13</v>
      </c>
      <c r="E410">
        <v>1500</v>
      </c>
      <c r="F410" t="s">
        <v>14</v>
      </c>
      <c r="G410" t="s">
        <v>24</v>
      </c>
      <c r="H410" t="s">
        <v>33</v>
      </c>
      <c r="I410" t="s">
        <v>34</v>
      </c>
      <c r="J410" t="s">
        <v>37</v>
      </c>
      <c r="K410">
        <v>0</v>
      </c>
    </row>
    <row r="411" spans="1:11" x14ac:dyDescent="0.25">
      <c r="A411" t="s">
        <v>449</v>
      </c>
      <c r="B411" s="1">
        <v>45131</v>
      </c>
      <c r="C411" t="s">
        <v>20</v>
      </c>
      <c r="D411" t="s">
        <v>27</v>
      </c>
      <c r="E411">
        <v>5400</v>
      </c>
      <c r="F411" t="s">
        <v>32</v>
      </c>
      <c r="G411" t="s">
        <v>28</v>
      </c>
      <c r="H411" t="s">
        <v>33</v>
      </c>
      <c r="I411" t="s">
        <v>34</v>
      </c>
      <c r="J411" t="s">
        <v>25</v>
      </c>
      <c r="K411">
        <v>0.1</v>
      </c>
    </row>
    <row r="412" spans="1:11" x14ac:dyDescent="0.25">
      <c r="A412" t="s">
        <v>450</v>
      </c>
      <c r="B412" s="1">
        <v>45627</v>
      </c>
      <c r="C412" t="s">
        <v>31</v>
      </c>
      <c r="D412" t="s">
        <v>27</v>
      </c>
      <c r="E412">
        <v>10800</v>
      </c>
      <c r="F412" t="s">
        <v>49</v>
      </c>
      <c r="G412" t="s">
        <v>24</v>
      </c>
      <c r="H412" t="s">
        <v>33</v>
      </c>
      <c r="I412" t="s">
        <v>34</v>
      </c>
      <c r="J412" t="s">
        <v>50</v>
      </c>
      <c r="K412">
        <v>0.1</v>
      </c>
    </row>
    <row r="413" spans="1:11" x14ac:dyDescent="0.25">
      <c r="A413" t="s">
        <v>451</v>
      </c>
      <c r="B413" s="1">
        <v>45078</v>
      </c>
      <c r="C413" t="s">
        <v>12</v>
      </c>
      <c r="D413" t="s">
        <v>27</v>
      </c>
      <c r="E413">
        <v>16200</v>
      </c>
      <c r="F413" t="s">
        <v>21</v>
      </c>
      <c r="G413" t="s">
        <v>24</v>
      </c>
      <c r="H413" t="s">
        <v>16</v>
      </c>
      <c r="I413" t="s">
        <v>17</v>
      </c>
      <c r="J413" t="s">
        <v>29</v>
      </c>
      <c r="K413">
        <v>0.1</v>
      </c>
    </row>
    <row r="414" spans="1:11" x14ac:dyDescent="0.25">
      <c r="A414" t="s">
        <v>452</v>
      </c>
      <c r="B414" s="1">
        <v>45592</v>
      </c>
      <c r="C414" t="s">
        <v>12</v>
      </c>
      <c r="D414" t="s">
        <v>27</v>
      </c>
      <c r="E414">
        <v>16200</v>
      </c>
      <c r="F414" t="s">
        <v>21</v>
      </c>
      <c r="G414" t="s">
        <v>24</v>
      </c>
      <c r="H414" t="s">
        <v>33</v>
      </c>
      <c r="I414" t="s">
        <v>34</v>
      </c>
      <c r="J414" t="s">
        <v>25</v>
      </c>
      <c r="K414">
        <v>0.1</v>
      </c>
    </row>
    <row r="415" spans="1:11" x14ac:dyDescent="0.25">
      <c r="A415" t="s">
        <v>453</v>
      </c>
      <c r="B415" s="1">
        <v>44952</v>
      </c>
      <c r="C415" t="s">
        <v>31</v>
      </c>
      <c r="D415" t="s">
        <v>13</v>
      </c>
      <c r="E415">
        <v>1000</v>
      </c>
      <c r="F415" t="s">
        <v>49</v>
      </c>
      <c r="G415" t="s">
        <v>24</v>
      </c>
      <c r="H415" t="s">
        <v>16</v>
      </c>
      <c r="I415" t="s">
        <v>17</v>
      </c>
      <c r="J415" t="s">
        <v>22</v>
      </c>
      <c r="K415">
        <v>0</v>
      </c>
    </row>
    <row r="416" spans="1:11" x14ac:dyDescent="0.25">
      <c r="A416" t="s">
        <v>454</v>
      </c>
      <c r="B416" s="1">
        <v>44950</v>
      </c>
      <c r="C416" t="s">
        <v>12</v>
      </c>
      <c r="D416" t="s">
        <v>13</v>
      </c>
      <c r="E416">
        <v>1500</v>
      </c>
      <c r="F416" t="s">
        <v>32</v>
      </c>
      <c r="G416" t="s">
        <v>24</v>
      </c>
      <c r="H416" t="s">
        <v>33</v>
      </c>
      <c r="I416" t="s">
        <v>34</v>
      </c>
      <c r="J416" t="s">
        <v>39</v>
      </c>
      <c r="K416">
        <v>0</v>
      </c>
    </row>
    <row r="417" spans="1:11" x14ac:dyDescent="0.25">
      <c r="A417" t="s">
        <v>455</v>
      </c>
      <c r="B417" s="1">
        <v>45596</v>
      </c>
      <c r="C417" t="s">
        <v>31</v>
      </c>
      <c r="D417" t="s">
        <v>13</v>
      </c>
      <c r="E417">
        <v>1000</v>
      </c>
      <c r="F417" t="s">
        <v>32</v>
      </c>
      <c r="G417" t="s">
        <v>24</v>
      </c>
      <c r="H417" t="s">
        <v>33</v>
      </c>
      <c r="I417" t="s">
        <v>34</v>
      </c>
      <c r="J417" t="s">
        <v>44</v>
      </c>
      <c r="K417">
        <v>0</v>
      </c>
    </row>
    <row r="418" spans="1:11" x14ac:dyDescent="0.25">
      <c r="A418" t="s">
        <v>456</v>
      </c>
      <c r="B418" s="1">
        <v>45420</v>
      </c>
      <c r="C418" t="s">
        <v>31</v>
      </c>
      <c r="D418" t="s">
        <v>27</v>
      </c>
      <c r="E418">
        <v>10800</v>
      </c>
      <c r="F418" t="s">
        <v>14</v>
      </c>
      <c r="G418" t="s">
        <v>28</v>
      </c>
      <c r="H418" t="s">
        <v>16</v>
      </c>
      <c r="I418" t="s">
        <v>17</v>
      </c>
      <c r="J418" t="s">
        <v>37</v>
      </c>
      <c r="K418">
        <v>0.1</v>
      </c>
    </row>
    <row r="419" spans="1:11" x14ac:dyDescent="0.25">
      <c r="A419" t="s">
        <v>457</v>
      </c>
      <c r="B419" s="1">
        <v>45455</v>
      </c>
      <c r="C419" t="s">
        <v>31</v>
      </c>
      <c r="D419" t="s">
        <v>13</v>
      </c>
      <c r="E419">
        <v>1000</v>
      </c>
      <c r="F419" t="s">
        <v>49</v>
      </c>
      <c r="G419" t="s">
        <v>15</v>
      </c>
      <c r="H419" t="s">
        <v>16</v>
      </c>
      <c r="I419" t="s">
        <v>17</v>
      </c>
      <c r="J419" t="s">
        <v>58</v>
      </c>
      <c r="K419">
        <v>0</v>
      </c>
    </row>
    <row r="420" spans="1:11" x14ac:dyDescent="0.25">
      <c r="A420" t="s">
        <v>458</v>
      </c>
      <c r="B420" s="1">
        <v>45512</v>
      </c>
      <c r="C420" t="s">
        <v>20</v>
      </c>
      <c r="D420" t="s">
        <v>13</v>
      </c>
      <c r="E420">
        <v>500</v>
      </c>
      <c r="F420" t="s">
        <v>32</v>
      </c>
      <c r="G420" t="s">
        <v>24</v>
      </c>
      <c r="H420" t="s">
        <v>33</v>
      </c>
      <c r="I420" t="s">
        <v>34</v>
      </c>
      <c r="J420" t="s">
        <v>25</v>
      </c>
      <c r="K420">
        <v>0</v>
      </c>
    </row>
    <row r="421" spans="1:11" x14ac:dyDescent="0.25">
      <c r="A421" t="s">
        <v>459</v>
      </c>
      <c r="B421" s="1">
        <v>45215</v>
      </c>
      <c r="C421" t="s">
        <v>12</v>
      </c>
      <c r="D421" t="s">
        <v>13</v>
      </c>
      <c r="E421">
        <v>1500</v>
      </c>
      <c r="F421" t="s">
        <v>14</v>
      </c>
      <c r="G421" t="s">
        <v>24</v>
      </c>
      <c r="H421" t="s">
        <v>33</v>
      </c>
      <c r="I421" t="s">
        <v>34</v>
      </c>
      <c r="J421" t="s">
        <v>55</v>
      </c>
      <c r="K421">
        <v>0</v>
      </c>
    </row>
    <row r="422" spans="1:11" x14ac:dyDescent="0.25">
      <c r="A422" t="s">
        <v>460</v>
      </c>
      <c r="B422" s="1">
        <v>45455</v>
      </c>
      <c r="C422" t="s">
        <v>31</v>
      </c>
      <c r="D422" t="s">
        <v>27</v>
      </c>
      <c r="E422">
        <v>10800</v>
      </c>
      <c r="F422" t="s">
        <v>14</v>
      </c>
      <c r="G422" t="s">
        <v>15</v>
      </c>
      <c r="H422" t="s">
        <v>16</v>
      </c>
      <c r="I422" t="s">
        <v>17</v>
      </c>
      <c r="J422" t="s">
        <v>37</v>
      </c>
      <c r="K422">
        <v>0.1</v>
      </c>
    </row>
    <row r="423" spans="1:11" x14ac:dyDescent="0.25">
      <c r="A423" t="s">
        <v>461</v>
      </c>
      <c r="B423" s="1">
        <v>45400</v>
      </c>
      <c r="C423" t="s">
        <v>12</v>
      </c>
      <c r="D423" t="s">
        <v>13</v>
      </c>
      <c r="E423">
        <v>1500</v>
      </c>
      <c r="F423" t="s">
        <v>14</v>
      </c>
      <c r="G423" t="s">
        <v>28</v>
      </c>
      <c r="H423" t="s">
        <v>16</v>
      </c>
      <c r="I423" t="s">
        <v>17</v>
      </c>
      <c r="J423" t="s">
        <v>37</v>
      </c>
      <c r="K423">
        <v>0</v>
      </c>
    </row>
    <row r="424" spans="1:11" x14ac:dyDescent="0.25">
      <c r="A424" t="s">
        <v>462</v>
      </c>
      <c r="B424" s="1">
        <v>45478</v>
      </c>
      <c r="C424" t="s">
        <v>12</v>
      </c>
      <c r="D424" t="s">
        <v>13</v>
      </c>
      <c r="E424">
        <v>1500</v>
      </c>
      <c r="F424" t="s">
        <v>14</v>
      </c>
      <c r="G424" t="s">
        <v>24</v>
      </c>
      <c r="H424" t="s">
        <v>33</v>
      </c>
      <c r="I424" t="s">
        <v>34</v>
      </c>
      <c r="J424" t="s">
        <v>18</v>
      </c>
      <c r="K424">
        <v>0</v>
      </c>
    </row>
    <row r="425" spans="1:11" x14ac:dyDescent="0.25">
      <c r="A425" t="s">
        <v>463</v>
      </c>
      <c r="B425" s="1">
        <v>45595</v>
      </c>
      <c r="C425" t="s">
        <v>12</v>
      </c>
      <c r="D425" t="s">
        <v>27</v>
      </c>
      <c r="E425">
        <v>16200</v>
      </c>
      <c r="F425" t="s">
        <v>14</v>
      </c>
      <c r="G425" t="s">
        <v>28</v>
      </c>
      <c r="H425" t="s">
        <v>16</v>
      </c>
      <c r="I425" t="s">
        <v>17</v>
      </c>
      <c r="J425" t="s">
        <v>41</v>
      </c>
      <c r="K425">
        <v>0.1</v>
      </c>
    </row>
    <row r="426" spans="1:11" x14ac:dyDescent="0.25">
      <c r="A426" t="s">
        <v>464</v>
      </c>
      <c r="B426" s="1">
        <v>45054</v>
      </c>
      <c r="C426" t="s">
        <v>20</v>
      </c>
      <c r="D426" t="s">
        <v>13</v>
      </c>
      <c r="E426">
        <v>500</v>
      </c>
      <c r="F426" t="s">
        <v>32</v>
      </c>
      <c r="G426" t="s">
        <v>24</v>
      </c>
      <c r="H426" t="s">
        <v>33</v>
      </c>
      <c r="I426" t="s">
        <v>34</v>
      </c>
      <c r="J426" t="s">
        <v>35</v>
      </c>
      <c r="K426">
        <v>0</v>
      </c>
    </row>
    <row r="427" spans="1:11" x14ac:dyDescent="0.25">
      <c r="A427" t="s">
        <v>465</v>
      </c>
      <c r="B427" s="1">
        <v>45434</v>
      </c>
      <c r="C427" t="s">
        <v>12</v>
      </c>
      <c r="D427" t="s">
        <v>13</v>
      </c>
      <c r="E427">
        <v>1500</v>
      </c>
      <c r="F427" t="s">
        <v>49</v>
      </c>
      <c r="G427" t="s">
        <v>24</v>
      </c>
      <c r="H427" t="s">
        <v>16</v>
      </c>
      <c r="I427" t="s">
        <v>17</v>
      </c>
      <c r="J427" t="s">
        <v>58</v>
      </c>
      <c r="K427">
        <v>0</v>
      </c>
    </row>
    <row r="428" spans="1:11" x14ac:dyDescent="0.25">
      <c r="A428" t="s">
        <v>466</v>
      </c>
      <c r="B428" s="1">
        <v>45512</v>
      </c>
      <c r="C428" t="s">
        <v>20</v>
      </c>
      <c r="D428" t="s">
        <v>13</v>
      </c>
      <c r="E428">
        <v>500</v>
      </c>
      <c r="F428" t="s">
        <v>32</v>
      </c>
      <c r="G428" t="s">
        <v>24</v>
      </c>
      <c r="H428" t="s">
        <v>33</v>
      </c>
      <c r="I428" t="s">
        <v>34</v>
      </c>
      <c r="J428" t="s">
        <v>44</v>
      </c>
      <c r="K428">
        <v>0</v>
      </c>
    </row>
    <row r="429" spans="1:11" x14ac:dyDescent="0.25">
      <c r="A429" t="s">
        <v>467</v>
      </c>
      <c r="B429" s="1">
        <v>45551</v>
      </c>
      <c r="C429" t="s">
        <v>31</v>
      </c>
      <c r="D429" t="s">
        <v>13</v>
      </c>
      <c r="E429">
        <v>1000</v>
      </c>
      <c r="F429" t="s">
        <v>14</v>
      </c>
      <c r="G429" t="s">
        <v>28</v>
      </c>
      <c r="H429" t="s">
        <v>33</v>
      </c>
      <c r="I429" t="s">
        <v>34</v>
      </c>
      <c r="J429" t="s">
        <v>55</v>
      </c>
      <c r="K429">
        <v>0</v>
      </c>
    </row>
    <row r="430" spans="1:11" x14ac:dyDescent="0.25">
      <c r="A430" t="s">
        <v>468</v>
      </c>
      <c r="B430" s="1">
        <v>45155</v>
      </c>
      <c r="C430" t="s">
        <v>12</v>
      </c>
      <c r="D430" t="s">
        <v>27</v>
      </c>
      <c r="E430">
        <v>16200</v>
      </c>
      <c r="F430" t="s">
        <v>21</v>
      </c>
      <c r="G430" t="s">
        <v>15</v>
      </c>
      <c r="H430" t="s">
        <v>16</v>
      </c>
      <c r="I430" t="s">
        <v>17</v>
      </c>
      <c r="J430" t="s">
        <v>22</v>
      </c>
      <c r="K430">
        <v>0.1</v>
      </c>
    </row>
    <row r="431" spans="1:11" x14ac:dyDescent="0.25">
      <c r="A431" t="s">
        <v>469</v>
      </c>
      <c r="B431" s="1">
        <v>45146</v>
      </c>
      <c r="C431" t="s">
        <v>12</v>
      </c>
      <c r="D431" t="s">
        <v>27</v>
      </c>
      <c r="E431">
        <v>16200</v>
      </c>
      <c r="F431" t="s">
        <v>49</v>
      </c>
      <c r="G431" t="s">
        <v>24</v>
      </c>
      <c r="H431" t="s">
        <v>16</v>
      </c>
      <c r="I431" t="s">
        <v>17</v>
      </c>
      <c r="J431" t="s">
        <v>18</v>
      </c>
      <c r="K431">
        <v>0.1</v>
      </c>
    </row>
    <row r="432" spans="1:11" x14ac:dyDescent="0.25">
      <c r="A432" t="s">
        <v>470</v>
      </c>
      <c r="B432" s="1">
        <v>45172</v>
      </c>
      <c r="C432" t="s">
        <v>20</v>
      </c>
      <c r="D432" t="s">
        <v>27</v>
      </c>
      <c r="E432">
        <v>5400</v>
      </c>
      <c r="F432" t="s">
        <v>49</v>
      </c>
      <c r="G432" t="s">
        <v>24</v>
      </c>
      <c r="H432" t="s">
        <v>33</v>
      </c>
      <c r="I432" t="s">
        <v>34</v>
      </c>
      <c r="J432" t="s">
        <v>35</v>
      </c>
      <c r="K432">
        <v>0.1</v>
      </c>
    </row>
    <row r="433" spans="1:11" x14ac:dyDescent="0.25">
      <c r="A433" t="s">
        <v>471</v>
      </c>
      <c r="B433" s="1">
        <v>45039</v>
      </c>
      <c r="C433" t="s">
        <v>12</v>
      </c>
      <c r="D433" t="s">
        <v>13</v>
      </c>
      <c r="E433">
        <v>1500</v>
      </c>
      <c r="F433" t="s">
        <v>21</v>
      </c>
      <c r="G433" t="s">
        <v>15</v>
      </c>
      <c r="H433" t="s">
        <v>16</v>
      </c>
      <c r="I433" t="s">
        <v>17</v>
      </c>
      <c r="J433" t="s">
        <v>25</v>
      </c>
      <c r="K433">
        <v>0</v>
      </c>
    </row>
    <row r="434" spans="1:11" x14ac:dyDescent="0.25">
      <c r="A434" t="s">
        <v>472</v>
      </c>
      <c r="B434" s="1">
        <v>45248</v>
      </c>
      <c r="C434" t="s">
        <v>12</v>
      </c>
      <c r="D434" t="s">
        <v>13</v>
      </c>
      <c r="E434">
        <v>1500</v>
      </c>
      <c r="F434" t="s">
        <v>49</v>
      </c>
      <c r="G434" t="s">
        <v>24</v>
      </c>
      <c r="H434" t="s">
        <v>16</v>
      </c>
      <c r="I434" t="s">
        <v>17</v>
      </c>
      <c r="J434" t="s">
        <v>50</v>
      </c>
      <c r="K434">
        <v>0</v>
      </c>
    </row>
    <row r="435" spans="1:11" x14ac:dyDescent="0.25">
      <c r="A435" t="s">
        <v>473</v>
      </c>
      <c r="B435" s="1">
        <v>44942</v>
      </c>
      <c r="C435" t="s">
        <v>31</v>
      </c>
      <c r="D435" t="s">
        <v>27</v>
      </c>
      <c r="E435">
        <v>10800</v>
      </c>
      <c r="F435" t="s">
        <v>49</v>
      </c>
      <c r="G435" t="s">
        <v>15</v>
      </c>
      <c r="H435" t="s">
        <v>16</v>
      </c>
      <c r="I435" t="s">
        <v>17</v>
      </c>
      <c r="J435" t="s">
        <v>58</v>
      </c>
      <c r="K435">
        <v>0.1</v>
      </c>
    </row>
    <row r="436" spans="1:11" x14ac:dyDescent="0.25">
      <c r="A436" t="s">
        <v>474</v>
      </c>
      <c r="B436" s="1">
        <v>45234</v>
      </c>
      <c r="C436" t="s">
        <v>31</v>
      </c>
      <c r="D436" t="s">
        <v>13</v>
      </c>
      <c r="E436">
        <v>1000</v>
      </c>
      <c r="F436" t="s">
        <v>14</v>
      </c>
      <c r="G436" t="s">
        <v>24</v>
      </c>
      <c r="H436" t="s">
        <v>16</v>
      </c>
      <c r="I436" t="s">
        <v>17</v>
      </c>
      <c r="J436" t="s">
        <v>37</v>
      </c>
      <c r="K436">
        <v>0</v>
      </c>
    </row>
    <row r="437" spans="1:11" x14ac:dyDescent="0.25">
      <c r="A437" t="s">
        <v>475</v>
      </c>
      <c r="B437" s="1">
        <v>45323</v>
      </c>
      <c r="C437" t="s">
        <v>31</v>
      </c>
      <c r="D437" t="s">
        <v>27</v>
      </c>
      <c r="E437">
        <v>10800</v>
      </c>
      <c r="F437" t="s">
        <v>14</v>
      </c>
      <c r="G437" t="s">
        <v>28</v>
      </c>
      <c r="H437" t="s">
        <v>33</v>
      </c>
      <c r="I437" t="s">
        <v>34</v>
      </c>
      <c r="J437" t="s">
        <v>37</v>
      </c>
      <c r="K437">
        <v>0.1</v>
      </c>
    </row>
    <row r="438" spans="1:11" x14ac:dyDescent="0.25">
      <c r="A438" t="s">
        <v>476</v>
      </c>
      <c r="B438" s="1">
        <v>45112</v>
      </c>
      <c r="C438" t="s">
        <v>12</v>
      </c>
      <c r="D438" t="s">
        <v>27</v>
      </c>
      <c r="E438">
        <v>16200</v>
      </c>
      <c r="F438" t="s">
        <v>32</v>
      </c>
      <c r="G438" t="s">
        <v>15</v>
      </c>
      <c r="H438" t="s">
        <v>16</v>
      </c>
      <c r="I438" t="s">
        <v>17</v>
      </c>
      <c r="J438" t="s">
        <v>66</v>
      </c>
      <c r="K438">
        <v>0.1</v>
      </c>
    </row>
    <row r="439" spans="1:11" x14ac:dyDescent="0.25">
      <c r="A439" t="s">
        <v>477</v>
      </c>
      <c r="B439" s="1">
        <v>45253</v>
      </c>
      <c r="C439" t="s">
        <v>12</v>
      </c>
      <c r="D439" t="s">
        <v>13</v>
      </c>
      <c r="E439">
        <v>1500</v>
      </c>
      <c r="F439" t="s">
        <v>21</v>
      </c>
      <c r="G439" t="s">
        <v>15</v>
      </c>
      <c r="H439" t="s">
        <v>16</v>
      </c>
      <c r="I439" t="s">
        <v>17</v>
      </c>
      <c r="J439" t="s">
        <v>22</v>
      </c>
      <c r="K439">
        <v>0</v>
      </c>
    </row>
    <row r="440" spans="1:11" x14ac:dyDescent="0.25">
      <c r="A440" t="s">
        <v>478</v>
      </c>
      <c r="B440" s="1">
        <v>45026</v>
      </c>
      <c r="C440" t="s">
        <v>31</v>
      </c>
      <c r="D440" t="s">
        <v>27</v>
      </c>
      <c r="E440">
        <v>10800</v>
      </c>
      <c r="F440" t="s">
        <v>14</v>
      </c>
      <c r="G440" t="s">
        <v>28</v>
      </c>
      <c r="H440" t="s">
        <v>16</v>
      </c>
      <c r="I440" t="s">
        <v>17</v>
      </c>
      <c r="J440" t="s">
        <v>37</v>
      </c>
      <c r="K440">
        <v>0.1</v>
      </c>
    </row>
    <row r="441" spans="1:11" x14ac:dyDescent="0.25">
      <c r="A441" t="s">
        <v>479</v>
      </c>
      <c r="B441" s="1">
        <v>45564</v>
      </c>
      <c r="C441" t="s">
        <v>12</v>
      </c>
      <c r="D441" t="s">
        <v>13</v>
      </c>
      <c r="E441">
        <v>1500</v>
      </c>
      <c r="F441" t="s">
        <v>14</v>
      </c>
      <c r="G441" t="s">
        <v>28</v>
      </c>
      <c r="H441" t="s">
        <v>16</v>
      </c>
      <c r="I441" t="s">
        <v>17</v>
      </c>
      <c r="J441" t="s">
        <v>22</v>
      </c>
      <c r="K441">
        <v>0</v>
      </c>
    </row>
    <row r="442" spans="1:11" x14ac:dyDescent="0.25">
      <c r="A442" t="s">
        <v>480</v>
      </c>
      <c r="B442" s="1">
        <v>44938</v>
      </c>
      <c r="C442" t="s">
        <v>31</v>
      </c>
      <c r="D442" t="s">
        <v>13</v>
      </c>
      <c r="E442">
        <v>1000</v>
      </c>
      <c r="F442" t="s">
        <v>32</v>
      </c>
      <c r="G442" t="s">
        <v>15</v>
      </c>
      <c r="H442" t="s">
        <v>16</v>
      </c>
      <c r="I442" t="s">
        <v>17</v>
      </c>
      <c r="J442" t="s">
        <v>35</v>
      </c>
      <c r="K442">
        <v>0</v>
      </c>
    </row>
    <row r="443" spans="1:11" x14ac:dyDescent="0.25">
      <c r="A443" t="s">
        <v>481</v>
      </c>
      <c r="B443" s="1">
        <v>45441</v>
      </c>
      <c r="C443" t="s">
        <v>20</v>
      </c>
      <c r="D443" t="s">
        <v>13</v>
      </c>
      <c r="E443">
        <v>500</v>
      </c>
      <c r="F443" t="s">
        <v>49</v>
      </c>
      <c r="G443" t="s">
        <v>24</v>
      </c>
      <c r="H443" t="s">
        <v>33</v>
      </c>
      <c r="I443" t="s">
        <v>34</v>
      </c>
      <c r="J443" t="s">
        <v>22</v>
      </c>
      <c r="K443">
        <v>0</v>
      </c>
    </row>
    <row r="444" spans="1:11" x14ac:dyDescent="0.25">
      <c r="A444" t="s">
        <v>482</v>
      </c>
      <c r="B444" s="1">
        <v>45652</v>
      </c>
      <c r="C444" t="s">
        <v>20</v>
      </c>
      <c r="D444" t="s">
        <v>13</v>
      </c>
      <c r="E444">
        <v>500</v>
      </c>
      <c r="F444" t="s">
        <v>14</v>
      </c>
      <c r="G444" t="s">
        <v>24</v>
      </c>
      <c r="H444" t="s">
        <v>33</v>
      </c>
      <c r="I444" t="s">
        <v>34</v>
      </c>
      <c r="J444" t="s">
        <v>18</v>
      </c>
      <c r="K444">
        <v>0</v>
      </c>
    </row>
    <row r="445" spans="1:11" x14ac:dyDescent="0.25">
      <c r="A445" t="s">
        <v>483</v>
      </c>
      <c r="B445" s="1">
        <v>45428</v>
      </c>
      <c r="C445" t="s">
        <v>20</v>
      </c>
      <c r="D445" t="s">
        <v>13</v>
      </c>
      <c r="E445">
        <v>500</v>
      </c>
      <c r="F445" t="s">
        <v>21</v>
      </c>
      <c r="G445" t="s">
        <v>24</v>
      </c>
      <c r="H445" t="s">
        <v>33</v>
      </c>
      <c r="I445" t="s">
        <v>34</v>
      </c>
      <c r="J445" t="s">
        <v>29</v>
      </c>
      <c r="K445">
        <v>0</v>
      </c>
    </row>
    <row r="446" spans="1:11" x14ac:dyDescent="0.25">
      <c r="A446" t="s">
        <v>484</v>
      </c>
      <c r="B446" s="1">
        <v>45135</v>
      </c>
      <c r="C446" t="s">
        <v>20</v>
      </c>
      <c r="D446" t="s">
        <v>13</v>
      </c>
      <c r="E446">
        <v>500</v>
      </c>
      <c r="F446" t="s">
        <v>32</v>
      </c>
      <c r="G446" t="s">
        <v>24</v>
      </c>
      <c r="H446" t="s">
        <v>33</v>
      </c>
      <c r="I446" t="s">
        <v>34</v>
      </c>
      <c r="J446" t="s">
        <v>66</v>
      </c>
      <c r="K446">
        <v>0</v>
      </c>
    </row>
    <row r="447" spans="1:11" x14ac:dyDescent="0.25">
      <c r="A447" t="s">
        <v>485</v>
      </c>
      <c r="B447" s="1">
        <v>45384</v>
      </c>
      <c r="C447" t="s">
        <v>31</v>
      </c>
      <c r="D447" t="s">
        <v>13</v>
      </c>
      <c r="E447">
        <v>1000</v>
      </c>
      <c r="F447" t="s">
        <v>14</v>
      </c>
      <c r="G447" t="s">
        <v>15</v>
      </c>
      <c r="H447" t="s">
        <v>16</v>
      </c>
      <c r="I447" t="s">
        <v>17</v>
      </c>
      <c r="J447" t="s">
        <v>37</v>
      </c>
      <c r="K447">
        <v>0</v>
      </c>
    </row>
    <row r="448" spans="1:11" x14ac:dyDescent="0.25">
      <c r="A448" t="s">
        <v>486</v>
      </c>
      <c r="B448" s="1">
        <v>45638</v>
      </c>
      <c r="C448" t="s">
        <v>31</v>
      </c>
      <c r="D448" t="s">
        <v>13</v>
      </c>
      <c r="E448">
        <v>1000</v>
      </c>
      <c r="F448" t="s">
        <v>49</v>
      </c>
      <c r="G448" t="s">
        <v>28</v>
      </c>
      <c r="H448" t="s">
        <v>16</v>
      </c>
      <c r="I448" t="s">
        <v>17</v>
      </c>
      <c r="J448" t="s">
        <v>35</v>
      </c>
      <c r="K448">
        <v>0</v>
      </c>
    </row>
    <row r="449" spans="1:11" x14ac:dyDescent="0.25">
      <c r="A449" t="s">
        <v>487</v>
      </c>
      <c r="B449" s="1">
        <v>45505</v>
      </c>
      <c r="C449" t="s">
        <v>20</v>
      </c>
      <c r="D449" t="s">
        <v>13</v>
      </c>
      <c r="E449">
        <v>500</v>
      </c>
      <c r="F449" t="s">
        <v>32</v>
      </c>
      <c r="G449" t="s">
        <v>28</v>
      </c>
      <c r="H449" t="s">
        <v>33</v>
      </c>
      <c r="I449" t="s">
        <v>34</v>
      </c>
      <c r="J449" t="s">
        <v>39</v>
      </c>
      <c r="K449">
        <v>0</v>
      </c>
    </row>
    <row r="450" spans="1:11" x14ac:dyDescent="0.25">
      <c r="A450" t="s">
        <v>488</v>
      </c>
      <c r="B450" s="1">
        <v>44948</v>
      </c>
      <c r="C450" t="s">
        <v>31</v>
      </c>
      <c r="D450" t="s">
        <v>13</v>
      </c>
      <c r="E450">
        <v>1000</v>
      </c>
      <c r="F450" t="s">
        <v>14</v>
      </c>
      <c r="G450" t="s">
        <v>24</v>
      </c>
      <c r="H450" t="s">
        <v>33</v>
      </c>
      <c r="I450" t="s">
        <v>34</v>
      </c>
      <c r="J450" t="s">
        <v>22</v>
      </c>
      <c r="K450">
        <v>0</v>
      </c>
    </row>
    <row r="451" spans="1:11" x14ac:dyDescent="0.25">
      <c r="A451" t="s">
        <v>489</v>
      </c>
      <c r="B451" s="1">
        <v>45222</v>
      </c>
      <c r="C451" t="s">
        <v>12</v>
      </c>
      <c r="D451" t="s">
        <v>27</v>
      </c>
      <c r="E451">
        <v>16200</v>
      </c>
      <c r="F451" t="s">
        <v>14</v>
      </c>
      <c r="G451" t="s">
        <v>24</v>
      </c>
      <c r="H451" t="s">
        <v>33</v>
      </c>
      <c r="I451" t="s">
        <v>34</v>
      </c>
      <c r="J451" t="s">
        <v>37</v>
      </c>
      <c r="K451">
        <v>0.1</v>
      </c>
    </row>
    <row r="452" spans="1:11" x14ac:dyDescent="0.25">
      <c r="A452" t="s">
        <v>490</v>
      </c>
      <c r="B452" s="1">
        <v>45158</v>
      </c>
      <c r="C452" t="s">
        <v>31</v>
      </c>
      <c r="D452" t="s">
        <v>13</v>
      </c>
      <c r="E452">
        <v>1000</v>
      </c>
      <c r="F452" t="s">
        <v>14</v>
      </c>
      <c r="G452" t="s">
        <v>28</v>
      </c>
      <c r="H452" t="s">
        <v>16</v>
      </c>
      <c r="I452" t="s">
        <v>17</v>
      </c>
      <c r="J452" t="s">
        <v>18</v>
      </c>
      <c r="K452">
        <v>0</v>
      </c>
    </row>
    <row r="453" spans="1:11" x14ac:dyDescent="0.25">
      <c r="A453" t="s">
        <v>491</v>
      </c>
      <c r="B453" s="1">
        <v>45147</v>
      </c>
      <c r="C453" t="s">
        <v>20</v>
      </c>
      <c r="D453" t="s">
        <v>27</v>
      </c>
      <c r="E453">
        <v>5400</v>
      </c>
      <c r="F453" t="s">
        <v>14</v>
      </c>
      <c r="G453" t="s">
        <v>28</v>
      </c>
      <c r="H453" t="s">
        <v>16</v>
      </c>
      <c r="I453" t="s">
        <v>17</v>
      </c>
      <c r="J453" t="s">
        <v>22</v>
      </c>
      <c r="K453">
        <v>0.1</v>
      </c>
    </row>
    <row r="454" spans="1:11" x14ac:dyDescent="0.25">
      <c r="A454" t="s">
        <v>492</v>
      </c>
      <c r="B454" s="1">
        <v>44938</v>
      </c>
      <c r="C454" t="s">
        <v>31</v>
      </c>
      <c r="D454" t="s">
        <v>27</v>
      </c>
      <c r="E454">
        <v>10800</v>
      </c>
      <c r="F454" t="s">
        <v>21</v>
      </c>
      <c r="G454" t="s">
        <v>24</v>
      </c>
      <c r="H454" t="s">
        <v>16</v>
      </c>
      <c r="I454" t="s">
        <v>17</v>
      </c>
      <c r="J454" t="s">
        <v>22</v>
      </c>
      <c r="K454">
        <v>0.1</v>
      </c>
    </row>
    <row r="455" spans="1:11" x14ac:dyDescent="0.25">
      <c r="A455" t="s">
        <v>493</v>
      </c>
      <c r="B455" s="1">
        <v>45353</v>
      </c>
      <c r="C455" t="s">
        <v>12</v>
      </c>
      <c r="D455" t="s">
        <v>27</v>
      </c>
      <c r="E455">
        <v>16200</v>
      </c>
      <c r="F455" t="s">
        <v>49</v>
      </c>
      <c r="G455" t="s">
        <v>28</v>
      </c>
      <c r="H455" t="s">
        <v>33</v>
      </c>
      <c r="I455" t="s">
        <v>34</v>
      </c>
      <c r="J455" t="s">
        <v>22</v>
      </c>
      <c r="K455">
        <v>0.1</v>
      </c>
    </row>
    <row r="456" spans="1:11" x14ac:dyDescent="0.25">
      <c r="A456" t="s">
        <v>494</v>
      </c>
      <c r="B456" s="1">
        <v>45485</v>
      </c>
      <c r="C456" t="s">
        <v>12</v>
      </c>
      <c r="D456" t="s">
        <v>13</v>
      </c>
      <c r="E456">
        <v>1500</v>
      </c>
      <c r="F456" t="s">
        <v>49</v>
      </c>
      <c r="G456" t="s">
        <v>24</v>
      </c>
      <c r="H456" t="s">
        <v>16</v>
      </c>
      <c r="I456" t="s">
        <v>17</v>
      </c>
      <c r="J456" t="s">
        <v>25</v>
      </c>
      <c r="K456">
        <v>0</v>
      </c>
    </row>
    <row r="457" spans="1:11" x14ac:dyDescent="0.25">
      <c r="A457" t="s">
        <v>495</v>
      </c>
      <c r="B457" s="1">
        <v>45022</v>
      </c>
      <c r="C457" t="s">
        <v>20</v>
      </c>
      <c r="D457" t="s">
        <v>13</v>
      </c>
      <c r="E457">
        <v>500</v>
      </c>
      <c r="F457" t="s">
        <v>21</v>
      </c>
      <c r="G457" t="s">
        <v>28</v>
      </c>
      <c r="H457" t="s">
        <v>33</v>
      </c>
      <c r="I457" t="s">
        <v>34</v>
      </c>
      <c r="J457" t="s">
        <v>25</v>
      </c>
      <c r="K457">
        <v>0</v>
      </c>
    </row>
    <row r="458" spans="1:11" x14ac:dyDescent="0.25">
      <c r="A458" t="s">
        <v>496</v>
      </c>
      <c r="B458" s="1">
        <v>45437</v>
      </c>
      <c r="C458" t="s">
        <v>20</v>
      </c>
      <c r="D458" t="s">
        <v>13</v>
      </c>
      <c r="E458">
        <v>500</v>
      </c>
      <c r="F458" t="s">
        <v>32</v>
      </c>
      <c r="G458" t="s">
        <v>24</v>
      </c>
      <c r="H458" t="s">
        <v>33</v>
      </c>
      <c r="I458" t="s">
        <v>34</v>
      </c>
      <c r="J458" t="s">
        <v>25</v>
      </c>
      <c r="K458">
        <v>0</v>
      </c>
    </row>
    <row r="459" spans="1:11" x14ac:dyDescent="0.25">
      <c r="A459" t="s">
        <v>497</v>
      </c>
      <c r="B459" s="1">
        <v>45026</v>
      </c>
      <c r="C459" t="s">
        <v>31</v>
      </c>
      <c r="D459" t="s">
        <v>27</v>
      </c>
      <c r="E459">
        <v>10800</v>
      </c>
      <c r="F459" t="s">
        <v>49</v>
      </c>
      <c r="G459" t="s">
        <v>15</v>
      </c>
      <c r="H459" t="s">
        <v>16</v>
      </c>
      <c r="I459" t="s">
        <v>17</v>
      </c>
      <c r="J459" t="s">
        <v>35</v>
      </c>
      <c r="K459">
        <v>0.1</v>
      </c>
    </row>
    <row r="460" spans="1:11" x14ac:dyDescent="0.25">
      <c r="A460" t="s">
        <v>498</v>
      </c>
      <c r="B460" s="1">
        <v>45643</v>
      </c>
      <c r="C460" t="s">
        <v>12</v>
      </c>
      <c r="D460" t="s">
        <v>13</v>
      </c>
      <c r="E460">
        <v>1500</v>
      </c>
      <c r="F460" t="s">
        <v>32</v>
      </c>
      <c r="G460" t="s">
        <v>15</v>
      </c>
      <c r="H460" t="s">
        <v>16</v>
      </c>
      <c r="I460" t="s">
        <v>17</v>
      </c>
      <c r="J460" t="s">
        <v>66</v>
      </c>
      <c r="K460">
        <v>0</v>
      </c>
    </row>
    <row r="461" spans="1:11" x14ac:dyDescent="0.25">
      <c r="A461" t="s">
        <v>499</v>
      </c>
      <c r="B461" s="1">
        <v>45504</v>
      </c>
      <c r="C461" t="s">
        <v>20</v>
      </c>
      <c r="D461" t="s">
        <v>13</v>
      </c>
      <c r="E461">
        <v>500</v>
      </c>
      <c r="F461" t="s">
        <v>49</v>
      </c>
      <c r="G461" t="s">
        <v>24</v>
      </c>
      <c r="H461" t="s">
        <v>33</v>
      </c>
      <c r="I461" t="s">
        <v>34</v>
      </c>
      <c r="J461" t="s">
        <v>25</v>
      </c>
      <c r="K461">
        <v>0</v>
      </c>
    </row>
    <row r="462" spans="1:11" x14ac:dyDescent="0.25">
      <c r="A462" t="s">
        <v>500</v>
      </c>
      <c r="B462" s="1">
        <v>45584</v>
      </c>
      <c r="C462" t="s">
        <v>31</v>
      </c>
      <c r="D462" t="s">
        <v>27</v>
      </c>
      <c r="E462">
        <v>10800</v>
      </c>
      <c r="F462" t="s">
        <v>49</v>
      </c>
      <c r="G462" t="s">
        <v>24</v>
      </c>
      <c r="H462" t="s">
        <v>33</v>
      </c>
      <c r="I462" t="s">
        <v>34</v>
      </c>
      <c r="J462" t="s">
        <v>22</v>
      </c>
      <c r="K462">
        <v>0.1</v>
      </c>
    </row>
    <row r="463" spans="1:11" x14ac:dyDescent="0.25">
      <c r="A463" t="s">
        <v>501</v>
      </c>
      <c r="B463" s="1">
        <v>45279</v>
      </c>
      <c r="C463" t="s">
        <v>20</v>
      </c>
      <c r="D463" t="s">
        <v>27</v>
      </c>
      <c r="E463">
        <v>5400</v>
      </c>
      <c r="F463" t="s">
        <v>49</v>
      </c>
      <c r="G463" t="s">
        <v>15</v>
      </c>
      <c r="H463" t="s">
        <v>16</v>
      </c>
      <c r="I463" t="s">
        <v>17</v>
      </c>
      <c r="J463" t="s">
        <v>22</v>
      </c>
      <c r="K463">
        <v>0.1</v>
      </c>
    </row>
    <row r="464" spans="1:11" x14ac:dyDescent="0.25">
      <c r="A464" t="s">
        <v>502</v>
      </c>
      <c r="B464" s="1">
        <v>44987</v>
      </c>
      <c r="C464" t="s">
        <v>20</v>
      </c>
      <c r="D464" t="s">
        <v>27</v>
      </c>
      <c r="E464">
        <v>5400</v>
      </c>
      <c r="F464" t="s">
        <v>32</v>
      </c>
      <c r="G464" t="s">
        <v>24</v>
      </c>
      <c r="H464" t="s">
        <v>33</v>
      </c>
      <c r="I464" t="s">
        <v>34</v>
      </c>
      <c r="J464" t="s">
        <v>25</v>
      </c>
      <c r="K464">
        <v>0.1</v>
      </c>
    </row>
    <row r="465" spans="1:11" x14ac:dyDescent="0.25">
      <c r="A465" t="s">
        <v>503</v>
      </c>
      <c r="B465" s="1">
        <v>44966</v>
      </c>
      <c r="C465" t="s">
        <v>31</v>
      </c>
      <c r="D465" t="s">
        <v>13</v>
      </c>
      <c r="E465">
        <v>1000</v>
      </c>
      <c r="F465" t="s">
        <v>14</v>
      </c>
      <c r="G465" t="s">
        <v>28</v>
      </c>
      <c r="H465" t="s">
        <v>33</v>
      </c>
      <c r="I465" t="s">
        <v>34</v>
      </c>
      <c r="J465" t="s">
        <v>18</v>
      </c>
      <c r="K465">
        <v>0</v>
      </c>
    </row>
    <row r="466" spans="1:11" x14ac:dyDescent="0.25">
      <c r="A466" t="s">
        <v>504</v>
      </c>
      <c r="B466" s="1">
        <v>45181</v>
      </c>
      <c r="C466" t="s">
        <v>12</v>
      </c>
      <c r="D466" t="s">
        <v>13</v>
      </c>
      <c r="E466">
        <v>1500</v>
      </c>
      <c r="F466" t="s">
        <v>32</v>
      </c>
      <c r="G466" t="s">
        <v>28</v>
      </c>
      <c r="H466" t="s">
        <v>16</v>
      </c>
      <c r="I466" t="s">
        <v>17</v>
      </c>
      <c r="J466" t="s">
        <v>35</v>
      </c>
      <c r="K466">
        <v>0</v>
      </c>
    </row>
    <row r="467" spans="1:11" x14ac:dyDescent="0.25">
      <c r="A467" t="s">
        <v>505</v>
      </c>
      <c r="B467" s="1">
        <v>45165</v>
      </c>
      <c r="C467" t="s">
        <v>31</v>
      </c>
      <c r="D467" t="s">
        <v>13</v>
      </c>
      <c r="E467">
        <v>1000</v>
      </c>
      <c r="F467" t="s">
        <v>49</v>
      </c>
      <c r="G467" t="s">
        <v>24</v>
      </c>
      <c r="H467" t="s">
        <v>16</v>
      </c>
      <c r="I467" t="s">
        <v>17</v>
      </c>
      <c r="J467" t="s">
        <v>18</v>
      </c>
      <c r="K467">
        <v>0</v>
      </c>
    </row>
    <row r="468" spans="1:11" x14ac:dyDescent="0.25">
      <c r="A468" t="s">
        <v>506</v>
      </c>
      <c r="B468" s="1">
        <v>45128</v>
      </c>
      <c r="C468" t="s">
        <v>12</v>
      </c>
      <c r="D468" t="s">
        <v>13</v>
      </c>
      <c r="E468">
        <v>1500</v>
      </c>
      <c r="F468" t="s">
        <v>14</v>
      </c>
      <c r="G468" t="s">
        <v>28</v>
      </c>
      <c r="H468" t="s">
        <v>16</v>
      </c>
      <c r="I468" t="s">
        <v>17</v>
      </c>
      <c r="J468" t="s">
        <v>37</v>
      </c>
      <c r="K468">
        <v>0</v>
      </c>
    </row>
    <row r="469" spans="1:11" x14ac:dyDescent="0.25">
      <c r="A469" t="s">
        <v>507</v>
      </c>
      <c r="B469" s="1">
        <v>45332</v>
      </c>
      <c r="C469" t="s">
        <v>12</v>
      </c>
      <c r="D469" t="s">
        <v>27</v>
      </c>
      <c r="E469">
        <v>16200</v>
      </c>
      <c r="F469" t="s">
        <v>21</v>
      </c>
      <c r="G469" t="s">
        <v>15</v>
      </c>
      <c r="H469" t="s">
        <v>16</v>
      </c>
      <c r="I469" t="s">
        <v>17</v>
      </c>
      <c r="J469" t="s">
        <v>29</v>
      </c>
      <c r="K469">
        <v>0.1</v>
      </c>
    </row>
    <row r="470" spans="1:11" x14ac:dyDescent="0.25">
      <c r="A470" t="s">
        <v>508</v>
      </c>
      <c r="B470" s="1">
        <v>45343</v>
      </c>
      <c r="C470" t="s">
        <v>20</v>
      </c>
      <c r="D470" t="s">
        <v>13</v>
      </c>
      <c r="E470">
        <v>500</v>
      </c>
      <c r="F470" t="s">
        <v>32</v>
      </c>
      <c r="G470" t="s">
        <v>24</v>
      </c>
      <c r="H470" t="s">
        <v>16</v>
      </c>
      <c r="I470" t="s">
        <v>17</v>
      </c>
      <c r="J470" t="s">
        <v>35</v>
      </c>
      <c r="K470">
        <v>0</v>
      </c>
    </row>
    <row r="471" spans="1:11" x14ac:dyDescent="0.25">
      <c r="A471" t="s">
        <v>509</v>
      </c>
      <c r="B471" s="1">
        <v>45196</v>
      </c>
      <c r="C471" t="s">
        <v>20</v>
      </c>
      <c r="D471" t="s">
        <v>13</v>
      </c>
      <c r="E471">
        <v>500</v>
      </c>
      <c r="F471" t="s">
        <v>32</v>
      </c>
      <c r="G471" t="s">
        <v>24</v>
      </c>
      <c r="H471" t="s">
        <v>16</v>
      </c>
      <c r="I471" t="s">
        <v>17</v>
      </c>
      <c r="J471" t="s">
        <v>44</v>
      </c>
      <c r="K471">
        <v>0</v>
      </c>
    </row>
    <row r="472" spans="1:11" x14ac:dyDescent="0.25">
      <c r="A472" t="s">
        <v>510</v>
      </c>
      <c r="B472" s="1">
        <v>45417</v>
      </c>
      <c r="C472" t="s">
        <v>31</v>
      </c>
      <c r="D472" t="s">
        <v>27</v>
      </c>
      <c r="E472">
        <v>10800</v>
      </c>
      <c r="F472" t="s">
        <v>32</v>
      </c>
      <c r="G472" t="s">
        <v>24</v>
      </c>
      <c r="H472" t="s">
        <v>16</v>
      </c>
      <c r="I472" t="s">
        <v>17</v>
      </c>
      <c r="J472" t="s">
        <v>66</v>
      </c>
      <c r="K472">
        <v>0.1</v>
      </c>
    </row>
    <row r="473" spans="1:11" x14ac:dyDescent="0.25">
      <c r="A473" t="s">
        <v>511</v>
      </c>
      <c r="B473" s="1">
        <v>45346</v>
      </c>
      <c r="C473" t="s">
        <v>12</v>
      </c>
      <c r="D473" t="s">
        <v>13</v>
      </c>
      <c r="E473">
        <v>1500</v>
      </c>
      <c r="F473" t="s">
        <v>21</v>
      </c>
      <c r="G473" t="s">
        <v>15</v>
      </c>
      <c r="H473" t="s">
        <v>16</v>
      </c>
      <c r="I473" t="s">
        <v>17</v>
      </c>
      <c r="J473" t="s">
        <v>25</v>
      </c>
      <c r="K473">
        <v>0</v>
      </c>
    </row>
    <row r="474" spans="1:11" x14ac:dyDescent="0.25">
      <c r="A474" t="s">
        <v>512</v>
      </c>
      <c r="B474" s="1">
        <v>45144</v>
      </c>
      <c r="C474" t="s">
        <v>20</v>
      </c>
      <c r="D474" t="s">
        <v>27</v>
      </c>
      <c r="E474">
        <v>5400</v>
      </c>
      <c r="F474" t="s">
        <v>49</v>
      </c>
      <c r="G474" t="s">
        <v>28</v>
      </c>
      <c r="H474" t="s">
        <v>33</v>
      </c>
      <c r="I474" t="s">
        <v>34</v>
      </c>
      <c r="J474" t="s">
        <v>58</v>
      </c>
      <c r="K474">
        <v>0.1</v>
      </c>
    </row>
    <row r="475" spans="1:11" x14ac:dyDescent="0.25">
      <c r="A475" t="s">
        <v>513</v>
      </c>
      <c r="B475" s="1">
        <v>45261</v>
      </c>
      <c r="C475" t="s">
        <v>20</v>
      </c>
      <c r="D475" t="s">
        <v>13</v>
      </c>
      <c r="E475">
        <v>500</v>
      </c>
      <c r="F475" t="s">
        <v>14</v>
      </c>
      <c r="G475" t="s">
        <v>28</v>
      </c>
      <c r="H475" t="s">
        <v>33</v>
      </c>
      <c r="I475" t="s">
        <v>34</v>
      </c>
      <c r="J475" t="s">
        <v>37</v>
      </c>
      <c r="K475">
        <v>0</v>
      </c>
    </row>
    <row r="476" spans="1:11" x14ac:dyDescent="0.25">
      <c r="A476" t="s">
        <v>514</v>
      </c>
      <c r="B476" s="1">
        <v>45232</v>
      </c>
      <c r="C476" t="s">
        <v>31</v>
      </c>
      <c r="D476" t="s">
        <v>27</v>
      </c>
      <c r="E476">
        <v>10800</v>
      </c>
      <c r="F476" t="s">
        <v>32</v>
      </c>
      <c r="G476" t="s">
        <v>15</v>
      </c>
      <c r="H476" t="s">
        <v>16</v>
      </c>
      <c r="I476" t="s">
        <v>17</v>
      </c>
      <c r="J476" t="s">
        <v>66</v>
      </c>
      <c r="K476">
        <v>0.1</v>
      </c>
    </row>
    <row r="477" spans="1:11" x14ac:dyDescent="0.25">
      <c r="A477" t="s">
        <v>515</v>
      </c>
      <c r="B477" s="1">
        <v>45477</v>
      </c>
      <c r="C477" t="s">
        <v>12</v>
      </c>
      <c r="D477" t="s">
        <v>27</v>
      </c>
      <c r="E477">
        <v>16200</v>
      </c>
      <c r="F477" t="s">
        <v>14</v>
      </c>
      <c r="G477" t="s">
        <v>24</v>
      </c>
      <c r="H477" t="s">
        <v>33</v>
      </c>
      <c r="I477" t="s">
        <v>34</v>
      </c>
      <c r="J477" t="s">
        <v>41</v>
      </c>
      <c r="K477">
        <v>0.1</v>
      </c>
    </row>
    <row r="478" spans="1:11" x14ac:dyDescent="0.25">
      <c r="A478" t="s">
        <v>516</v>
      </c>
      <c r="B478" s="1">
        <v>45465</v>
      </c>
      <c r="C478" t="s">
        <v>31</v>
      </c>
      <c r="D478" t="s">
        <v>13</v>
      </c>
      <c r="E478">
        <v>1000</v>
      </c>
      <c r="F478" t="s">
        <v>49</v>
      </c>
      <c r="G478" t="s">
        <v>24</v>
      </c>
      <c r="H478" t="s">
        <v>16</v>
      </c>
      <c r="I478" t="s">
        <v>17</v>
      </c>
      <c r="J478" t="s">
        <v>35</v>
      </c>
      <c r="K478">
        <v>0</v>
      </c>
    </row>
    <row r="479" spans="1:11" x14ac:dyDescent="0.25">
      <c r="A479" t="s">
        <v>517</v>
      </c>
      <c r="B479" s="1">
        <v>45032</v>
      </c>
      <c r="C479" t="s">
        <v>20</v>
      </c>
      <c r="D479" t="s">
        <v>27</v>
      </c>
      <c r="E479">
        <v>5400</v>
      </c>
      <c r="F479" t="s">
        <v>49</v>
      </c>
      <c r="G479" t="s">
        <v>24</v>
      </c>
      <c r="H479" t="s">
        <v>33</v>
      </c>
      <c r="I479" t="s">
        <v>34</v>
      </c>
      <c r="J479" t="s">
        <v>18</v>
      </c>
      <c r="K479">
        <v>0.1</v>
      </c>
    </row>
    <row r="480" spans="1:11" x14ac:dyDescent="0.25">
      <c r="A480" t="s">
        <v>518</v>
      </c>
      <c r="B480" s="1">
        <v>44940</v>
      </c>
      <c r="C480" t="s">
        <v>31</v>
      </c>
      <c r="D480" t="s">
        <v>13</v>
      </c>
      <c r="E480">
        <v>1000</v>
      </c>
      <c r="F480" t="s">
        <v>32</v>
      </c>
      <c r="G480" t="s">
        <v>24</v>
      </c>
      <c r="H480" t="s">
        <v>33</v>
      </c>
      <c r="I480" t="s">
        <v>34</v>
      </c>
      <c r="J480" t="s">
        <v>35</v>
      </c>
      <c r="K480">
        <v>0</v>
      </c>
    </row>
    <row r="481" spans="1:11" x14ac:dyDescent="0.25">
      <c r="A481" t="s">
        <v>519</v>
      </c>
      <c r="B481" s="1">
        <v>45098</v>
      </c>
      <c r="C481" t="s">
        <v>12</v>
      </c>
      <c r="D481" t="s">
        <v>13</v>
      </c>
      <c r="E481">
        <v>1500</v>
      </c>
      <c r="F481" t="s">
        <v>21</v>
      </c>
      <c r="G481" t="s">
        <v>15</v>
      </c>
      <c r="H481" t="s">
        <v>16</v>
      </c>
      <c r="I481" t="s">
        <v>17</v>
      </c>
      <c r="J481" t="s">
        <v>29</v>
      </c>
      <c r="K481">
        <v>0</v>
      </c>
    </row>
    <row r="482" spans="1:11" x14ac:dyDescent="0.25">
      <c r="A482" t="s">
        <v>520</v>
      </c>
      <c r="B482" s="1">
        <v>45476</v>
      </c>
      <c r="C482" t="s">
        <v>20</v>
      </c>
      <c r="D482" t="s">
        <v>27</v>
      </c>
      <c r="E482">
        <v>5400</v>
      </c>
      <c r="F482" t="s">
        <v>14</v>
      </c>
      <c r="G482" t="s">
        <v>24</v>
      </c>
      <c r="H482" t="s">
        <v>16</v>
      </c>
      <c r="I482" t="s">
        <v>17</v>
      </c>
      <c r="J482" t="s">
        <v>41</v>
      </c>
      <c r="K482">
        <v>0.1</v>
      </c>
    </row>
    <row r="483" spans="1:11" x14ac:dyDescent="0.25">
      <c r="A483" t="s">
        <v>521</v>
      </c>
      <c r="B483" s="1">
        <v>45118</v>
      </c>
      <c r="C483" t="s">
        <v>31</v>
      </c>
      <c r="D483" t="s">
        <v>27</v>
      </c>
      <c r="E483">
        <v>10800</v>
      </c>
      <c r="F483" t="s">
        <v>49</v>
      </c>
      <c r="G483" t="s">
        <v>15</v>
      </c>
      <c r="H483" t="s">
        <v>16</v>
      </c>
      <c r="I483" t="s">
        <v>17</v>
      </c>
      <c r="J483" t="s">
        <v>35</v>
      </c>
      <c r="K483">
        <v>0.1</v>
      </c>
    </row>
    <row r="484" spans="1:11" x14ac:dyDescent="0.25">
      <c r="A484" t="s">
        <v>522</v>
      </c>
      <c r="B484" s="1">
        <v>45068</v>
      </c>
      <c r="C484" t="s">
        <v>12</v>
      </c>
      <c r="D484" t="s">
        <v>13</v>
      </c>
      <c r="E484">
        <v>1500</v>
      </c>
      <c r="F484" t="s">
        <v>14</v>
      </c>
      <c r="G484" t="s">
        <v>15</v>
      </c>
      <c r="H484" t="s">
        <v>16</v>
      </c>
      <c r="I484" t="s">
        <v>17</v>
      </c>
      <c r="J484" t="s">
        <v>37</v>
      </c>
      <c r="K484">
        <v>0</v>
      </c>
    </row>
    <row r="485" spans="1:11" x14ac:dyDescent="0.25">
      <c r="A485" t="s">
        <v>523</v>
      </c>
      <c r="B485" s="1">
        <v>44991</v>
      </c>
      <c r="C485" t="s">
        <v>20</v>
      </c>
      <c r="D485" t="s">
        <v>13</v>
      </c>
      <c r="E485">
        <v>500</v>
      </c>
      <c r="F485" t="s">
        <v>49</v>
      </c>
      <c r="G485" t="s">
        <v>15</v>
      </c>
      <c r="H485" t="s">
        <v>16</v>
      </c>
      <c r="I485" t="s">
        <v>17</v>
      </c>
      <c r="J485" t="s">
        <v>58</v>
      </c>
      <c r="K485">
        <v>0</v>
      </c>
    </row>
    <row r="486" spans="1:11" x14ac:dyDescent="0.25">
      <c r="A486" t="s">
        <v>524</v>
      </c>
      <c r="B486" s="1">
        <v>45623</v>
      </c>
      <c r="C486" t="s">
        <v>12</v>
      </c>
      <c r="D486" t="s">
        <v>27</v>
      </c>
      <c r="E486">
        <v>16200</v>
      </c>
      <c r="F486" t="s">
        <v>14</v>
      </c>
      <c r="G486" t="s">
        <v>24</v>
      </c>
      <c r="H486" t="s">
        <v>16</v>
      </c>
      <c r="I486" t="s">
        <v>17</v>
      </c>
      <c r="J486" t="s">
        <v>55</v>
      </c>
      <c r="K486">
        <v>0.1</v>
      </c>
    </row>
    <row r="487" spans="1:11" x14ac:dyDescent="0.25">
      <c r="A487" t="s">
        <v>525</v>
      </c>
      <c r="B487" s="1">
        <v>45128</v>
      </c>
      <c r="C487" t="s">
        <v>12</v>
      </c>
      <c r="D487" t="s">
        <v>13</v>
      </c>
      <c r="E487">
        <v>1500</v>
      </c>
      <c r="F487" t="s">
        <v>32</v>
      </c>
      <c r="G487" t="s">
        <v>28</v>
      </c>
      <c r="H487" t="s">
        <v>16</v>
      </c>
      <c r="I487" t="s">
        <v>17</v>
      </c>
      <c r="J487" t="s">
        <v>25</v>
      </c>
      <c r="K487">
        <v>0</v>
      </c>
    </row>
    <row r="488" spans="1:11" x14ac:dyDescent="0.25">
      <c r="A488" t="s">
        <v>526</v>
      </c>
      <c r="B488" s="1">
        <v>45228</v>
      </c>
      <c r="C488" t="s">
        <v>20</v>
      </c>
      <c r="D488" t="s">
        <v>13</v>
      </c>
      <c r="E488">
        <v>500</v>
      </c>
      <c r="F488" t="s">
        <v>49</v>
      </c>
      <c r="G488" t="s">
        <v>15</v>
      </c>
      <c r="H488" t="s">
        <v>16</v>
      </c>
      <c r="I488" t="s">
        <v>17</v>
      </c>
      <c r="J488" t="s">
        <v>25</v>
      </c>
      <c r="K488">
        <v>0</v>
      </c>
    </row>
    <row r="489" spans="1:11" x14ac:dyDescent="0.25">
      <c r="A489" t="s">
        <v>527</v>
      </c>
      <c r="B489" s="1">
        <v>45206</v>
      </c>
      <c r="C489" t="s">
        <v>31</v>
      </c>
      <c r="D489" t="s">
        <v>27</v>
      </c>
      <c r="E489">
        <v>10800</v>
      </c>
      <c r="F489" t="s">
        <v>14</v>
      </c>
      <c r="G489" t="s">
        <v>15</v>
      </c>
      <c r="H489" t="s">
        <v>16</v>
      </c>
      <c r="I489" t="s">
        <v>17</v>
      </c>
      <c r="J489" t="s">
        <v>22</v>
      </c>
      <c r="K489">
        <v>0.1</v>
      </c>
    </row>
    <row r="490" spans="1:11" x14ac:dyDescent="0.25">
      <c r="A490" t="s">
        <v>528</v>
      </c>
      <c r="B490" s="1">
        <v>44979</v>
      </c>
      <c r="C490" t="s">
        <v>12</v>
      </c>
      <c r="D490" t="s">
        <v>13</v>
      </c>
      <c r="E490">
        <v>1500</v>
      </c>
      <c r="F490" t="s">
        <v>32</v>
      </c>
      <c r="G490" t="s">
        <v>24</v>
      </c>
      <c r="H490" t="s">
        <v>33</v>
      </c>
      <c r="I490" t="s">
        <v>34</v>
      </c>
      <c r="J490" t="s">
        <v>39</v>
      </c>
      <c r="K490">
        <v>0</v>
      </c>
    </row>
    <row r="491" spans="1:11" x14ac:dyDescent="0.25">
      <c r="A491" t="s">
        <v>529</v>
      </c>
      <c r="B491" s="1">
        <v>45084</v>
      </c>
      <c r="C491" t="s">
        <v>12</v>
      </c>
      <c r="D491" t="s">
        <v>13</v>
      </c>
      <c r="E491">
        <v>1500</v>
      </c>
      <c r="F491" t="s">
        <v>49</v>
      </c>
      <c r="G491" t="s">
        <v>24</v>
      </c>
      <c r="H491" t="s">
        <v>33</v>
      </c>
      <c r="I491" t="s">
        <v>34</v>
      </c>
      <c r="J491" t="s">
        <v>50</v>
      </c>
      <c r="K491">
        <v>0</v>
      </c>
    </row>
    <row r="492" spans="1:11" x14ac:dyDescent="0.25">
      <c r="A492" t="s">
        <v>530</v>
      </c>
      <c r="B492" s="1">
        <v>45176</v>
      </c>
      <c r="C492" t="s">
        <v>12</v>
      </c>
      <c r="D492" t="s">
        <v>13</v>
      </c>
      <c r="E492">
        <v>1500</v>
      </c>
      <c r="F492" t="s">
        <v>21</v>
      </c>
      <c r="G492" t="s">
        <v>24</v>
      </c>
      <c r="H492" t="s">
        <v>33</v>
      </c>
      <c r="I492" t="s">
        <v>34</v>
      </c>
      <c r="J492" t="s">
        <v>22</v>
      </c>
      <c r="K492">
        <v>0</v>
      </c>
    </row>
    <row r="493" spans="1:11" x14ac:dyDescent="0.25">
      <c r="A493" t="s">
        <v>531</v>
      </c>
      <c r="B493" s="1">
        <v>45524</v>
      </c>
      <c r="C493" t="s">
        <v>12</v>
      </c>
      <c r="D493" t="s">
        <v>27</v>
      </c>
      <c r="E493">
        <v>16200</v>
      </c>
      <c r="F493" t="s">
        <v>21</v>
      </c>
      <c r="G493" t="s">
        <v>28</v>
      </c>
      <c r="H493" t="s">
        <v>16</v>
      </c>
      <c r="I493" t="s">
        <v>17</v>
      </c>
      <c r="J493" t="s">
        <v>22</v>
      </c>
      <c r="K493">
        <v>0.1</v>
      </c>
    </row>
    <row r="494" spans="1:11" x14ac:dyDescent="0.25">
      <c r="A494" t="s">
        <v>532</v>
      </c>
      <c r="B494" s="1">
        <v>45143</v>
      </c>
      <c r="C494" t="s">
        <v>31</v>
      </c>
      <c r="D494" t="s">
        <v>13</v>
      </c>
      <c r="E494">
        <v>1000</v>
      </c>
      <c r="F494" t="s">
        <v>21</v>
      </c>
      <c r="G494" t="s">
        <v>28</v>
      </c>
      <c r="H494" t="s">
        <v>33</v>
      </c>
      <c r="I494" t="s">
        <v>34</v>
      </c>
      <c r="J494" t="s">
        <v>18</v>
      </c>
      <c r="K494">
        <v>0</v>
      </c>
    </row>
    <row r="495" spans="1:11" x14ac:dyDescent="0.25">
      <c r="A495" t="s">
        <v>533</v>
      </c>
      <c r="B495" s="1">
        <v>45283</v>
      </c>
      <c r="C495" t="s">
        <v>12</v>
      </c>
      <c r="D495" t="s">
        <v>13</v>
      </c>
      <c r="E495">
        <v>1500</v>
      </c>
      <c r="F495" t="s">
        <v>21</v>
      </c>
      <c r="G495" t="s">
        <v>28</v>
      </c>
      <c r="H495" t="s">
        <v>33</v>
      </c>
      <c r="I495" t="s">
        <v>34</v>
      </c>
      <c r="J495" t="s">
        <v>29</v>
      </c>
      <c r="K495">
        <v>0</v>
      </c>
    </row>
    <row r="496" spans="1:11" x14ac:dyDescent="0.25">
      <c r="A496" t="s">
        <v>534</v>
      </c>
      <c r="B496" s="1">
        <v>45443</v>
      </c>
      <c r="C496" t="s">
        <v>12</v>
      </c>
      <c r="D496" t="s">
        <v>13</v>
      </c>
      <c r="E496">
        <v>1500</v>
      </c>
      <c r="F496" t="s">
        <v>32</v>
      </c>
      <c r="G496" t="s">
        <v>24</v>
      </c>
      <c r="H496" t="s">
        <v>33</v>
      </c>
      <c r="I496" t="s">
        <v>34</v>
      </c>
      <c r="J496" t="s">
        <v>35</v>
      </c>
      <c r="K496">
        <v>0</v>
      </c>
    </row>
    <row r="497" spans="1:11" x14ac:dyDescent="0.25">
      <c r="A497" t="s">
        <v>535</v>
      </c>
      <c r="B497" s="1">
        <v>45094</v>
      </c>
      <c r="C497" t="s">
        <v>31</v>
      </c>
      <c r="D497" t="s">
        <v>27</v>
      </c>
      <c r="E497">
        <v>10800</v>
      </c>
      <c r="F497" t="s">
        <v>32</v>
      </c>
      <c r="G497" t="s">
        <v>28</v>
      </c>
      <c r="H497" t="s">
        <v>33</v>
      </c>
      <c r="I497" t="s">
        <v>34</v>
      </c>
      <c r="J497" t="s">
        <v>44</v>
      </c>
      <c r="K497">
        <v>0.1</v>
      </c>
    </row>
    <row r="498" spans="1:11" x14ac:dyDescent="0.25">
      <c r="A498" t="s">
        <v>536</v>
      </c>
      <c r="B498" s="1">
        <v>45208</v>
      </c>
      <c r="C498" t="s">
        <v>12</v>
      </c>
      <c r="D498" t="s">
        <v>27</v>
      </c>
      <c r="E498">
        <v>16200</v>
      </c>
      <c r="F498" t="s">
        <v>49</v>
      </c>
      <c r="G498" t="s">
        <v>24</v>
      </c>
      <c r="H498" t="s">
        <v>33</v>
      </c>
      <c r="I498" t="s">
        <v>34</v>
      </c>
      <c r="J498" t="s">
        <v>58</v>
      </c>
      <c r="K498">
        <v>0.1</v>
      </c>
    </row>
    <row r="499" spans="1:11" x14ac:dyDescent="0.25">
      <c r="A499" t="s">
        <v>537</v>
      </c>
      <c r="B499" s="1">
        <v>45164</v>
      </c>
      <c r="C499" t="s">
        <v>31</v>
      </c>
      <c r="D499" t="s">
        <v>27</v>
      </c>
      <c r="E499">
        <v>10800</v>
      </c>
      <c r="F499" t="s">
        <v>32</v>
      </c>
      <c r="G499" t="s">
        <v>28</v>
      </c>
      <c r="H499" t="s">
        <v>16</v>
      </c>
      <c r="I499" t="s">
        <v>17</v>
      </c>
      <c r="J499" t="s">
        <v>25</v>
      </c>
      <c r="K499">
        <v>0.1</v>
      </c>
    </row>
    <row r="500" spans="1:11" x14ac:dyDescent="0.25">
      <c r="A500" t="s">
        <v>538</v>
      </c>
      <c r="B500" s="1">
        <v>45322</v>
      </c>
      <c r="C500" t="s">
        <v>31</v>
      </c>
      <c r="D500" t="s">
        <v>27</v>
      </c>
      <c r="E500">
        <v>10800</v>
      </c>
      <c r="F500" t="s">
        <v>32</v>
      </c>
      <c r="G500" t="s">
        <v>28</v>
      </c>
      <c r="H500" t="s">
        <v>16</v>
      </c>
      <c r="I500" t="s">
        <v>17</v>
      </c>
      <c r="J500" t="s">
        <v>25</v>
      </c>
      <c r="K500">
        <v>0.1</v>
      </c>
    </row>
    <row r="501" spans="1:11" x14ac:dyDescent="0.25">
      <c r="A501" t="s">
        <v>539</v>
      </c>
      <c r="B501" s="1">
        <v>45184</v>
      </c>
      <c r="C501" t="s">
        <v>20</v>
      </c>
      <c r="D501" t="s">
        <v>27</v>
      </c>
      <c r="E501">
        <v>5400</v>
      </c>
      <c r="F501" t="s">
        <v>21</v>
      </c>
      <c r="G501" t="s">
        <v>24</v>
      </c>
      <c r="H501" t="s">
        <v>33</v>
      </c>
      <c r="I501" t="s">
        <v>34</v>
      </c>
      <c r="J501" t="s">
        <v>25</v>
      </c>
      <c r="K501">
        <v>0.1</v>
      </c>
    </row>
    <row r="502" spans="1:11" x14ac:dyDescent="0.25">
      <c r="A502" t="s">
        <v>540</v>
      </c>
      <c r="B502" s="1">
        <v>45273</v>
      </c>
      <c r="C502" t="s">
        <v>20</v>
      </c>
      <c r="D502" t="s">
        <v>27</v>
      </c>
      <c r="E502">
        <v>5400</v>
      </c>
      <c r="F502" t="s">
        <v>32</v>
      </c>
      <c r="G502" t="s">
        <v>28</v>
      </c>
      <c r="H502" t="s">
        <v>16</v>
      </c>
      <c r="I502" t="s">
        <v>17</v>
      </c>
      <c r="J502" t="s">
        <v>44</v>
      </c>
      <c r="K502">
        <v>0.1</v>
      </c>
    </row>
    <row r="503" spans="1:11" x14ac:dyDescent="0.25">
      <c r="A503" t="s">
        <v>541</v>
      </c>
      <c r="B503" s="1">
        <v>45655</v>
      </c>
      <c r="C503" t="s">
        <v>31</v>
      </c>
      <c r="D503" t="s">
        <v>27</v>
      </c>
      <c r="E503">
        <v>10800</v>
      </c>
      <c r="F503" t="s">
        <v>14</v>
      </c>
      <c r="G503" t="s">
        <v>15</v>
      </c>
      <c r="H503" t="s">
        <v>16</v>
      </c>
      <c r="I503" t="s">
        <v>17</v>
      </c>
      <c r="J503" t="s">
        <v>55</v>
      </c>
      <c r="K503">
        <v>0.1</v>
      </c>
    </row>
    <row r="504" spans="1:11" x14ac:dyDescent="0.25">
      <c r="A504" t="s">
        <v>542</v>
      </c>
      <c r="B504" s="1">
        <v>45228</v>
      </c>
      <c r="C504" t="s">
        <v>31</v>
      </c>
      <c r="D504" t="s">
        <v>27</v>
      </c>
      <c r="E504">
        <v>10800</v>
      </c>
      <c r="F504" t="s">
        <v>32</v>
      </c>
      <c r="G504" t="s">
        <v>24</v>
      </c>
      <c r="H504" t="s">
        <v>33</v>
      </c>
      <c r="I504" t="s">
        <v>34</v>
      </c>
      <c r="J504" t="s">
        <v>35</v>
      </c>
      <c r="K504">
        <v>0.1</v>
      </c>
    </row>
    <row r="505" spans="1:11" x14ac:dyDescent="0.25">
      <c r="A505" t="s">
        <v>543</v>
      </c>
      <c r="B505" s="1">
        <v>45074</v>
      </c>
      <c r="C505" t="s">
        <v>12</v>
      </c>
      <c r="D505" t="s">
        <v>27</v>
      </c>
      <c r="E505">
        <v>16200</v>
      </c>
      <c r="F505" t="s">
        <v>21</v>
      </c>
      <c r="G505" t="s">
        <v>28</v>
      </c>
      <c r="H505" t="s">
        <v>16</v>
      </c>
      <c r="I505" t="s">
        <v>17</v>
      </c>
      <c r="J505" t="s">
        <v>18</v>
      </c>
      <c r="K505">
        <v>0.1</v>
      </c>
    </row>
    <row r="506" spans="1:11" x14ac:dyDescent="0.25">
      <c r="A506" t="s">
        <v>544</v>
      </c>
      <c r="B506" s="1">
        <v>45617</v>
      </c>
      <c r="C506" t="s">
        <v>20</v>
      </c>
      <c r="D506" t="s">
        <v>13</v>
      </c>
      <c r="E506">
        <v>500</v>
      </c>
      <c r="F506" t="s">
        <v>32</v>
      </c>
      <c r="G506" t="s">
        <v>24</v>
      </c>
      <c r="H506" t="s">
        <v>33</v>
      </c>
      <c r="I506" t="s">
        <v>34</v>
      </c>
      <c r="J506" t="s">
        <v>25</v>
      </c>
      <c r="K506">
        <v>0</v>
      </c>
    </row>
    <row r="507" spans="1:11" x14ac:dyDescent="0.25">
      <c r="A507" t="s">
        <v>545</v>
      </c>
      <c r="B507" s="1">
        <v>45180</v>
      </c>
      <c r="C507" t="s">
        <v>12</v>
      </c>
      <c r="D507" t="s">
        <v>27</v>
      </c>
      <c r="E507">
        <v>16200</v>
      </c>
      <c r="F507" t="s">
        <v>21</v>
      </c>
      <c r="G507" t="s">
        <v>24</v>
      </c>
      <c r="H507" t="s">
        <v>33</v>
      </c>
      <c r="I507" t="s">
        <v>34</v>
      </c>
      <c r="J507" t="s">
        <v>18</v>
      </c>
      <c r="K507">
        <v>0.1</v>
      </c>
    </row>
    <row r="508" spans="1:11" x14ac:dyDescent="0.25">
      <c r="A508" t="s">
        <v>546</v>
      </c>
      <c r="B508" s="1">
        <v>45573</v>
      </c>
      <c r="C508" t="s">
        <v>12</v>
      </c>
      <c r="D508" t="s">
        <v>13</v>
      </c>
      <c r="E508">
        <v>1500</v>
      </c>
      <c r="F508" t="s">
        <v>49</v>
      </c>
      <c r="G508" t="s">
        <v>28</v>
      </c>
      <c r="H508" t="s">
        <v>33</v>
      </c>
      <c r="I508" t="s">
        <v>34</v>
      </c>
      <c r="J508" t="s">
        <v>25</v>
      </c>
      <c r="K508">
        <v>0</v>
      </c>
    </row>
    <row r="509" spans="1:11" x14ac:dyDescent="0.25">
      <c r="A509" t="s">
        <v>547</v>
      </c>
      <c r="B509" s="1">
        <v>45091</v>
      </c>
      <c r="C509" t="s">
        <v>31</v>
      </c>
      <c r="D509" t="s">
        <v>27</v>
      </c>
      <c r="E509">
        <v>10800</v>
      </c>
      <c r="F509" t="s">
        <v>49</v>
      </c>
      <c r="G509" t="s">
        <v>24</v>
      </c>
      <c r="H509" t="s">
        <v>33</v>
      </c>
      <c r="I509" t="s">
        <v>34</v>
      </c>
      <c r="J509" t="s">
        <v>18</v>
      </c>
      <c r="K509">
        <v>0.1</v>
      </c>
    </row>
    <row r="510" spans="1:11" x14ac:dyDescent="0.25">
      <c r="A510" t="s">
        <v>548</v>
      </c>
      <c r="B510" s="1">
        <v>45492</v>
      </c>
      <c r="C510" t="s">
        <v>31</v>
      </c>
      <c r="D510" t="s">
        <v>13</v>
      </c>
      <c r="E510">
        <v>1000</v>
      </c>
      <c r="F510" t="s">
        <v>21</v>
      </c>
      <c r="G510" t="s">
        <v>24</v>
      </c>
      <c r="H510" t="s">
        <v>16</v>
      </c>
      <c r="I510" t="s">
        <v>17</v>
      </c>
      <c r="J510" t="s">
        <v>29</v>
      </c>
      <c r="K510">
        <v>0</v>
      </c>
    </row>
    <row r="511" spans="1:11" x14ac:dyDescent="0.25">
      <c r="A511" t="s">
        <v>549</v>
      </c>
      <c r="B511" s="1">
        <v>45218</v>
      </c>
      <c r="C511" t="s">
        <v>20</v>
      </c>
      <c r="D511" t="s">
        <v>13</v>
      </c>
      <c r="E511">
        <v>500</v>
      </c>
      <c r="F511" t="s">
        <v>32</v>
      </c>
      <c r="G511" t="s">
        <v>24</v>
      </c>
      <c r="H511" t="s">
        <v>16</v>
      </c>
      <c r="I511" t="s">
        <v>17</v>
      </c>
      <c r="J511" t="s">
        <v>39</v>
      </c>
      <c r="K511">
        <v>0</v>
      </c>
    </row>
    <row r="512" spans="1:11" x14ac:dyDescent="0.25">
      <c r="A512" t="s">
        <v>550</v>
      </c>
      <c r="B512" s="1">
        <v>45234</v>
      </c>
      <c r="C512" t="s">
        <v>31</v>
      </c>
      <c r="D512" t="s">
        <v>13</v>
      </c>
      <c r="E512">
        <v>1000</v>
      </c>
      <c r="F512" t="s">
        <v>14</v>
      </c>
      <c r="G512" t="s">
        <v>24</v>
      </c>
      <c r="H512" t="s">
        <v>16</v>
      </c>
      <c r="I512" t="s">
        <v>17</v>
      </c>
      <c r="J512" t="s">
        <v>55</v>
      </c>
      <c r="K512">
        <v>0</v>
      </c>
    </row>
    <row r="513" spans="1:11" x14ac:dyDescent="0.25">
      <c r="A513" t="s">
        <v>551</v>
      </c>
      <c r="B513" s="1">
        <v>45384</v>
      </c>
      <c r="C513" t="s">
        <v>31</v>
      </c>
      <c r="D513" t="s">
        <v>27</v>
      </c>
      <c r="E513">
        <v>10800</v>
      </c>
      <c r="F513" t="s">
        <v>49</v>
      </c>
      <c r="G513" t="s">
        <v>24</v>
      </c>
      <c r="H513" t="s">
        <v>16</v>
      </c>
      <c r="I513" t="s">
        <v>17</v>
      </c>
      <c r="J513" t="s">
        <v>35</v>
      </c>
      <c r="K513">
        <v>0.1</v>
      </c>
    </row>
    <row r="514" spans="1:11" x14ac:dyDescent="0.25">
      <c r="A514" t="s">
        <v>552</v>
      </c>
      <c r="B514" s="1">
        <v>45606</v>
      </c>
      <c r="C514" t="s">
        <v>20</v>
      </c>
      <c r="D514" t="s">
        <v>13</v>
      </c>
      <c r="E514">
        <v>500</v>
      </c>
      <c r="F514" t="s">
        <v>14</v>
      </c>
      <c r="G514" t="s">
        <v>28</v>
      </c>
      <c r="H514" t="s">
        <v>33</v>
      </c>
      <c r="I514" t="s">
        <v>34</v>
      </c>
      <c r="J514" t="s">
        <v>41</v>
      </c>
      <c r="K514">
        <v>0</v>
      </c>
    </row>
    <row r="515" spans="1:11" x14ac:dyDescent="0.25">
      <c r="A515" t="s">
        <v>553</v>
      </c>
      <c r="B515" s="1">
        <v>45179</v>
      </c>
      <c r="C515" t="s">
        <v>12</v>
      </c>
      <c r="D515" t="s">
        <v>13</v>
      </c>
      <c r="E515">
        <v>1500</v>
      </c>
      <c r="F515" t="s">
        <v>21</v>
      </c>
      <c r="G515" t="s">
        <v>28</v>
      </c>
      <c r="H515" t="s">
        <v>33</v>
      </c>
      <c r="I515" t="s">
        <v>34</v>
      </c>
      <c r="J515" t="s">
        <v>29</v>
      </c>
      <c r="K515">
        <v>0</v>
      </c>
    </row>
    <row r="516" spans="1:11" x14ac:dyDescent="0.25">
      <c r="A516" t="s">
        <v>554</v>
      </c>
      <c r="B516" s="1">
        <v>45641</v>
      </c>
      <c r="C516" t="s">
        <v>31</v>
      </c>
      <c r="D516" t="s">
        <v>13</v>
      </c>
      <c r="E516">
        <v>1000</v>
      </c>
      <c r="F516" t="s">
        <v>14</v>
      </c>
      <c r="G516" t="s">
        <v>24</v>
      </c>
      <c r="H516" t="s">
        <v>33</v>
      </c>
      <c r="I516" t="s">
        <v>34</v>
      </c>
      <c r="J516" t="s">
        <v>37</v>
      </c>
      <c r="K516">
        <v>0</v>
      </c>
    </row>
    <row r="517" spans="1:11" x14ac:dyDescent="0.25">
      <c r="A517" t="s">
        <v>555</v>
      </c>
      <c r="B517" s="1">
        <v>45117</v>
      </c>
      <c r="C517" t="s">
        <v>20</v>
      </c>
      <c r="D517" t="s">
        <v>13</v>
      </c>
      <c r="E517">
        <v>500</v>
      </c>
      <c r="F517" t="s">
        <v>49</v>
      </c>
      <c r="G517" t="s">
        <v>24</v>
      </c>
      <c r="H517" t="s">
        <v>16</v>
      </c>
      <c r="I517" t="s">
        <v>17</v>
      </c>
      <c r="J517" t="s">
        <v>35</v>
      </c>
      <c r="K517">
        <v>0</v>
      </c>
    </row>
    <row r="518" spans="1:11" x14ac:dyDescent="0.25">
      <c r="A518" t="s">
        <v>556</v>
      </c>
      <c r="B518" s="1">
        <v>45101</v>
      </c>
      <c r="C518" t="s">
        <v>31</v>
      </c>
      <c r="D518" t="s">
        <v>27</v>
      </c>
      <c r="E518">
        <v>10800</v>
      </c>
      <c r="F518" t="s">
        <v>32</v>
      </c>
      <c r="G518" t="s">
        <v>28</v>
      </c>
      <c r="H518" t="s">
        <v>33</v>
      </c>
      <c r="I518" t="s">
        <v>34</v>
      </c>
      <c r="J518" t="s">
        <v>25</v>
      </c>
      <c r="K518">
        <v>0.1</v>
      </c>
    </row>
    <row r="519" spans="1:11" x14ac:dyDescent="0.25">
      <c r="A519" t="s">
        <v>557</v>
      </c>
      <c r="B519" s="1">
        <v>45656</v>
      </c>
      <c r="C519" t="s">
        <v>12</v>
      </c>
      <c r="D519" t="s">
        <v>27</v>
      </c>
      <c r="E519">
        <v>16200</v>
      </c>
      <c r="F519" t="s">
        <v>32</v>
      </c>
      <c r="G519" t="s">
        <v>24</v>
      </c>
      <c r="H519" t="s">
        <v>33</v>
      </c>
      <c r="I519" t="s">
        <v>34</v>
      </c>
      <c r="J519" t="s">
        <v>25</v>
      </c>
      <c r="K519">
        <v>0.1</v>
      </c>
    </row>
    <row r="520" spans="1:11" x14ac:dyDescent="0.25">
      <c r="A520" t="s">
        <v>558</v>
      </c>
      <c r="B520" s="1">
        <v>45411</v>
      </c>
      <c r="C520" t="s">
        <v>31</v>
      </c>
      <c r="D520" t="s">
        <v>13</v>
      </c>
      <c r="E520">
        <v>1000</v>
      </c>
      <c r="F520" t="s">
        <v>49</v>
      </c>
      <c r="G520" t="s">
        <v>24</v>
      </c>
      <c r="H520" t="s">
        <v>16</v>
      </c>
      <c r="I520" t="s">
        <v>17</v>
      </c>
      <c r="J520" t="s">
        <v>50</v>
      </c>
      <c r="K520">
        <v>0</v>
      </c>
    </row>
    <row r="521" spans="1:11" x14ac:dyDescent="0.25">
      <c r="A521" t="s">
        <v>559</v>
      </c>
      <c r="B521" s="1">
        <v>45281</v>
      </c>
      <c r="C521" t="s">
        <v>31</v>
      </c>
      <c r="D521" t="s">
        <v>27</v>
      </c>
      <c r="E521">
        <v>10800</v>
      </c>
      <c r="F521" t="s">
        <v>14</v>
      </c>
      <c r="G521" t="s">
        <v>24</v>
      </c>
      <c r="H521" t="s">
        <v>16</v>
      </c>
      <c r="I521" t="s">
        <v>17</v>
      </c>
      <c r="J521" t="s">
        <v>22</v>
      </c>
      <c r="K521">
        <v>0.1</v>
      </c>
    </row>
    <row r="522" spans="1:11" x14ac:dyDescent="0.25">
      <c r="A522" t="s">
        <v>560</v>
      </c>
      <c r="B522" s="1">
        <v>44976</v>
      </c>
      <c r="C522" t="s">
        <v>12</v>
      </c>
      <c r="D522" t="s">
        <v>13</v>
      </c>
      <c r="E522">
        <v>1500</v>
      </c>
      <c r="F522" t="s">
        <v>21</v>
      </c>
      <c r="G522" t="s">
        <v>28</v>
      </c>
      <c r="H522" t="s">
        <v>16</v>
      </c>
      <c r="I522" t="s">
        <v>17</v>
      </c>
      <c r="J522" t="s">
        <v>25</v>
      </c>
      <c r="K522">
        <v>0</v>
      </c>
    </row>
    <row r="523" spans="1:11" x14ac:dyDescent="0.25">
      <c r="A523" t="s">
        <v>561</v>
      </c>
      <c r="B523" s="1">
        <v>44958</v>
      </c>
      <c r="C523" t="s">
        <v>31</v>
      </c>
      <c r="D523" t="s">
        <v>27</v>
      </c>
      <c r="E523">
        <v>10800</v>
      </c>
      <c r="F523" t="s">
        <v>14</v>
      </c>
      <c r="G523" t="s">
        <v>24</v>
      </c>
      <c r="H523" t="s">
        <v>33</v>
      </c>
      <c r="I523" t="s">
        <v>34</v>
      </c>
      <c r="J523" t="s">
        <v>37</v>
      </c>
      <c r="K523">
        <v>0.1</v>
      </c>
    </row>
    <row r="524" spans="1:11" x14ac:dyDescent="0.25">
      <c r="A524" t="s">
        <v>562</v>
      </c>
      <c r="B524" s="1">
        <v>45227</v>
      </c>
      <c r="C524" t="s">
        <v>12</v>
      </c>
      <c r="D524" t="s">
        <v>13</v>
      </c>
      <c r="E524">
        <v>1500</v>
      </c>
      <c r="F524" t="s">
        <v>21</v>
      </c>
      <c r="G524" t="s">
        <v>24</v>
      </c>
      <c r="H524" t="s">
        <v>16</v>
      </c>
      <c r="I524" t="s">
        <v>17</v>
      </c>
      <c r="J524" t="s">
        <v>22</v>
      </c>
      <c r="K524">
        <v>0</v>
      </c>
    </row>
    <row r="525" spans="1:11" x14ac:dyDescent="0.25">
      <c r="A525" t="s">
        <v>563</v>
      </c>
      <c r="B525" s="1">
        <v>45399</v>
      </c>
      <c r="C525" t="s">
        <v>31</v>
      </c>
      <c r="D525" t="s">
        <v>27</v>
      </c>
      <c r="E525">
        <v>10800</v>
      </c>
      <c r="F525" t="s">
        <v>49</v>
      </c>
      <c r="G525" t="s">
        <v>24</v>
      </c>
      <c r="H525" t="s">
        <v>16</v>
      </c>
      <c r="I525" t="s">
        <v>17</v>
      </c>
      <c r="J525" t="s">
        <v>25</v>
      </c>
      <c r="K525">
        <v>0.1</v>
      </c>
    </row>
    <row r="526" spans="1:11" x14ac:dyDescent="0.25">
      <c r="A526" t="s">
        <v>564</v>
      </c>
      <c r="B526" s="1">
        <v>45466</v>
      </c>
      <c r="C526" t="s">
        <v>20</v>
      </c>
      <c r="D526" t="s">
        <v>27</v>
      </c>
      <c r="E526">
        <v>5400</v>
      </c>
      <c r="F526" t="s">
        <v>32</v>
      </c>
      <c r="G526" t="s">
        <v>28</v>
      </c>
      <c r="H526" t="s">
        <v>16</v>
      </c>
      <c r="I526" t="s">
        <v>17</v>
      </c>
      <c r="J526" t="s">
        <v>25</v>
      </c>
      <c r="K526">
        <v>0.1</v>
      </c>
    </row>
    <row r="527" spans="1:11" x14ac:dyDescent="0.25">
      <c r="A527" t="s">
        <v>565</v>
      </c>
      <c r="B527" s="1">
        <v>45411</v>
      </c>
      <c r="C527" t="s">
        <v>31</v>
      </c>
      <c r="D527" t="s">
        <v>13</v>
      </c>
      <c r="E527">
        <v>1000</v>
      </c>
      <c r="F527" t="s">
        <v>32</v>
      </c>
      <c r="G527" t="s">
        <v>24</v>
      </c>
      <c r="H527" t="s">
        <v>16</v>
      </c>
      <c r="I527" t="s">
        <v>17</v>
      </c>
      <c r="J527" t="s">
        <v>25</v>
      </c>
      <c r="K527">
        <v>0</v>
      </c>
    </row>
    <row r="528" spans="1:11" x14ac:dyDescent="0.25">
      <c r="A528" t="s">
        <v>566</v>
      </c>
      <c r="B528" s="1">
        <v>45391</v>
      </c>
      <c r="C528" t="s">
        <v>20</v>
      </c>
      <c r="D528" t="s">
        <v>13</v>
      </c>
      <c r="E528">
        <v>500</v>
      </c>
      <c r="F528" t="s">
        <v>32</v>
      </c>
      <c r="G528" t="s">
        <v>15</v>
      </c>
      <c r="H528" t="s">
        <v>16</v>
      </c>
      <c r="I528" t="s">
        <v>17</v>
      </c>
      <c r="J528" t="s">
        <v>25</v>
      </c>
      <c r="K528">
        <v>0</v>
      </c>
    </row>
    <row r="529" spans="1:11" x14ac:dyDescent="0.25">
      <c r="A529" t="s">
        <v>567</v>
      </c>
      <c r="B529" s="1">
        <v>45384</v>
      </c>
      <c r="C529" t="s">
        <v>31</v>
      </c>
      <c r="D529" t="s">
        <v>13</v>
      </c>
      <c r="E529">
        <v>1000</v>
      </c>
      <c r="F529" t="s">
        <v>21</v>
      </c>
      <c r="G529" t="s">
        <v>24</v>
      </c>
      <c r="H529" t="s">
        <v>33</v>
      </c>
      <c r="I529" t="s">
        <v>34</v>
      </c>
      <c r="J529" t="s">
        <v>18</v>
      </c>
      <c r="K529">
        <v>0</v>
      </c>
    </row>
    <row r="530" spans="1:11" x14ac:dyDescent="0.25">
      <c r="A530" t="s">
        <v>568</v>
      </c>
      <c r="B530" s="1">
        <v>45254</v>
      </c>
      <c r="C530" t="s">
        <v>31</v>
      </c>
      <c r="D530" t="s">
        <v>13</v>
      </c>
      <c r="E530">
        <v>1000</v>
      </c>
      <c r="F530" t="s">
        <v>32</v>
      </c>
      <c r="G530" t="s">
        <v>24</v>
      </c>
      <c r="H530" t="s">
        <v>33</v>
      </c>
      <c r="I530" t="s">
        <v>34</v>
      </c>
      <c r="J530" t="s">
        <v>35</v>
      </c>
      <c r="K530">
        <v>0</v>
      </c>
    </row>
    <row r="531" spans="1:11" x14ac:dyDescent="0.25">
      <c r="A531" t="s">
        <v>569</v>
      </c>
      <c r="B531" s="1">
        <v>45174</v>
      </c>
      <c r="C531" t="s">
        <v>12</v>
      </c>
      <c r="D531" t="s">
        <v>27</v>
      </c>
      <c r="E531">
        <v>16200</v>
      </c>
      <c r="F531" t="s">
        <v>49</v>
      </c>
      <c r="G531" t="s">
        <v>28</v>
      </c>
      <c r="H531" t="s">
        <v>33</v>
      </c>
      <c r="I531" t="s">
        <v>34</v>
      </c>
      <c r="J531" t="s">
        <v>25</v>
      </c>
      <c r="K531">
        <v>0.1</v>
      </c>
    </row>
    <row r="532" spans="1:11" x14ac:dyDescent="0.25">
      <c r="A532" t="s">
        <v>570</v>
      </c>
      <c r="B532" s="1">
        <v>45637</v>
      </c>
      <c r="C532" t="s">
        <v>31</v>
      </c>
      <c r="D532" t="s">
        <v>13</v>
      </c>
      <c r="E532">
        <v>1000</v>
      </c>
      <c r="F532" t="s">
        <v>14</v>
      </c>
      <c r="G532" t="s">
        <v>28</v>
      </c>
      <c r="H532" t="s">
        <v>33</v>
      </c>
      <c r="I532" t="s">
        <v>34</v>
      </c>
      <c r="J532" t="s">
        <v>37</v>
      </c>
      <c r="K532">
        <v>0</v>
      </c>
    </row>
    <row r="533" spans="1:11" x14ac:dyDescent="0.25">
      <c r="A533" t="s">
        <v>571</v>
      </c>
      <c r="B533" s="1">
        <v>45017</v>
      </c>
      <c r="C533" t="s">
        <v>12</v>
      </c>
      <c r="D533" t="s">
        <v>27</v>
      </c>
      <c r="E533">
        <v>16200</v>
      </c>
      <c r="F533" t="s">
        <v>49</v>
      </c>
      <c r="G533" t="s">
        <v>28</v>
      </c>
      <c r="H533" t="s">
        <v>33</v>
      </c>
      <c r="I533" t="s">
        <v>34</v>
      </c>
      <c r="J533" t="s">
        <v>58</v>
      </c>
      <c r="K533">
        <v>0.1</v>
      </c>
    </row>
    <row r="534" spans="1:11" x14ac:dyDescent="0.25">
      <c r="A534" t="s">
        <v>572</v>
      </c>
      <c r="B534" s="1">
        <v>45292</v>
      </c>
      <c r="C534" t="s">
        <v>20</v>
      </c>
      <c r="D534" t="s">
        <v>27</v>
      </c>
      <c r="E534">
        <v>5400</v>
      </c>
      <c r="F534" t="s">
        <v>32</v>
      </c>
      <c r="G534" t="s">
        <v>28</v>
      </c>
      <c r="H534" t="s">
        <v>16</v>
      </c>
      <c r="I534" t="s">
        <v>17</v>
      </c>
      <c r="J534" t="s">
        <v>25</v>
      </c>
      <c r="K534">
        <v>0.1</v>
      </c>
    </row>
    <row r="535" spans="1:11" x14ac:dyDescent="0.25">
      <c r="A535" t="s">
        <v>573</v>
      </c>
      <c r="B535" s="1">
        <v>45281</v>
      </c>
      <c r="C535" t="s">
        <v>31</v>
      </c>
      <c r="D535" t="s">
        <v>27</v>
      </c>
      <c r="E535">
        <v>10800</v>
      </c>
      <c r="F535" t="s">
        <v>49</v>
      </c>
      <c r="G535" t="s">
        <v>24</v>
      </c>
      <c r="H535" t="s">
        <v>16</v>
      </c>
      <c r="I535" t="s">
        <v>17</v>
      </c>
      <c r="J535" t="s">
        <v>58</v>
      </c>
      <c r="K535">
        <v>0.1</v>
      </c>
    </row>
    <row r="536" spans="1:11" x14ac:dyDescent="0.25">
      <c r="A536" t="s">
        <v>574</v>
      </c>
      <c r="B536" s="1">
        <v>45467</v>
      </c>
      <c r="C536" t="s">
        <v>20</v>
      </c>
      <c r="D536" t="s">
        <v>27</v>
      </c>
      <c r="E536">
        <v>5400</v>
      </c>
      <c r="F536" t="s">
        <v>49</v>
      </c>
      <c r="G536" t="s">
        <v>28</v>
      </c>
      <c r="H536" t="s">
        <v>33</v>
      </c>
      <c r="I536" t="s">
        <v>34</v>
      </c>
      <c r="J536" t="s">
        <v>58</v>
      </c>
      <c r="K536">
        <v>0.1</v>
      </c>
    </row>
    <row r="537" spans="1:11" x14ac:dyDescent="0.25">
      <c r="A537" t="s">
        <v>575</v>
      </c>
      <c r="B537" s="1">
        <v>45007</v>
      </c>
      <c r="C537" t="s">
        <v>12</v>
      </c>
      <c r="D537" t="s">
        <v>13</v>
      </c>
      <c r="E537">
        <v>1500</v>
      </c>
      <c r="F537" t="s">
        <v>32</v>
      </c>
      <c r="G537" t="s">
        <v>28</v>
      </c>
      <c r="H537" t="s">
        <v>16</v>
      </c>
      <c r="I537" t="s">
        <v>17</v>
      </c>
      <c r="J537" t="s">
        <v>66</v>
      </c>
      <c r="K537">
        <v>0</v>
      </c>
    </row>
    <row r="538" spans="1:11" x14ac:dyDescent="0.25">
      <c r="A538" t="s">
        <v>576</v>
      </c>
      <c r="B538" s="1">
        <v>44960</v>
      </c>
      <c r="C538" t="s">
        <v>12</v>
      </c>
      <c r="D538" t="s">
        <v>13</v>
      </c>
      <c r="E538">
        <v>1500</v>
      </c>
      <c r="F538" t="s">
        <v>21</v>
      </c>
      <c r="G538" t="s">
        <v>28</v>
      </c>
      <c r="H538" t="s">
        <v>33</v>
      </c>
      <c r="I538" t="s">
        <v>34</v>
      </c>
      <c r="J538" t="s">
        <v>25</v>
      </c>
      <c r="K538">
        <v>0</v>
      </c>
    </row>
    <row r="539" spans="1:11" x14ac:dyDescent="0.25">
      <c r="A539" t="s">
        <v>577</v>
      </c>
      <c r="B539" s="1">
        <v>45544</v>
      </c>
      <c r="C539" t="s">
        <v>12</v>
      </c>
      <c r="D539" t="s">
        <v>27</v>
      </c>
      <c r="E539">
        <v>16200</v>
      </c>
      <c r="F539" t="s">
        <v>49</v>
      </c>
      <c r="G539" t="s">
        <v>24</v>
      </c>
      <c r="H539" t="s">
        <v>16</v>
      </c>
      <c r="I539" t="s">
        <v>17</v>
      </c>
      <c r="J539" t="s">
        <v>18</v>
      </c>
      <c r="K539">
        <v>0.1</v>
      </c>
    </row>
    <row r="540" spans="1:11" x14ac:dyDescent="0.25">
      <c r="A540" t="s">
        <v>578</v>
      </c>
      <c r="B540" s="1">
        <v>45227</v>
      </c>
      <c r="C540" t="s">
        <v>12</v>
      </c>
      <c r="D540" t="s">
        <v>27</v>
      </c>
      <c r="E540">
        <v>16200</v>
      </c>
      <c r="F540" t="s">
        <v>32</v>
      </c>
      <c r="G540" t="s">
        <v>24</v>
      </c>
      <c r="H540" t="s">
        <v>33</v>
      </c>
      <c r="I540" t="s">
        <v>34</v>
      </c>
      <c r="J540" t="s">
        <v>66</v>
      </c>
      <c r="K540">
        <v>0.1</v>
      </c>
    </row>
    <row r="541" spans="1:11" x14ac:dyDescent="0.25">
      <c r="A541" t="s">
        <v>579</v>
      </c>
      <c r="B541" s="1">
        <v>45092</v>
      </c>
      <c r="C541" t="s">
        <v>31</v>
      </c>
      <c r="D541" t="s">
        <v>27</v>
      </c>
      <c r="E541">
        <v>10800</v>
      </c>
      <c r="F541" t="s">
        <v>21</v>
      </c>
      <c r="G541" t="s">
        <v>15</v>
      </c>
      <c r="H541" t="s">
        <v>16</v>
      </c>
      <c r="I541" t="s">
        <v>17</v>
      </c>
      <c r="J541" t="s">
        <v>29</v>
      </c>
      <c r="K541">
        <v>0.1</v>
      </c>
    </row>
    <row r="542" spans="1:11" x14ac:dyDescent="0.25">
      <c r="A542" t="s">
        <v>580</v>
      </c>
      <c r="B542" s="1">
        <v>45107</v>
      </c>
      <c r="C542" t="s">
        <v>31</v>
      </c>
      <c r="D542" t="s">
        <v>27</v>
      </c>
      <c r="E542">
        <v>10800</v>
      </c>
      <c r="F542" t="s">
        <v>14</v>
      </c>
      <c r="G542" t="s">
        <v>28</v>
      </c>
      <c r="H542" t="s">
        <v>16</v>
      </c>
      <c r="I542" t="s">
        <v>17</v>
      </c>
      <c r="J542" t="s">
        <v>55</v>
      </c>
      <c r="K542">
        <v>0.1</v>
      </c>
    </row>
    <row r="543" spans="1:11" x14ac:dyDescent="0.25">
      <c r="A543" t="s">
        <v>581</v>
      </c>
      <c r="B543" s="1">
        <v>45170</v>
      </c>
      <c r="C543" t="s">
        <v>20</v>
      </c>
      <c r="D543" t="s">
        <v>13</v>
      </c>
      <c r="E543">
        <v>500</v>
      </c>
      <c r="F543" t="s">
        <v>14</v>
      </c>
      <c r="G543" t="s">
        <v>24</v>
      </c>
      <c r="H543" t="s">
        <v>16</v>
      </c>
      <c r="I543" t="s">
        <v>17</v>
      </c>
      <c r="J543" t="s">
        <v>37</v>
      </c>
      <c r="K543">
        <v>0</v>
      </c>
    </row>
    <row r="544" spans="1:11" x14ac:dyDescent="0.25">
      <c r="A544" t="s">
        <v>582</v>
      </c>
      <c r="B544" s="1">
        <v>45431</v>
      </c>
      <c r="C544" t="s">
        <v>12</v>
      </c>
      <c r="D544" t="s">
        <v>27</v>
      </c>
      <c r="E544">
        <v>16200</v>
      </c>
      <c r="F544" t="s">
        <v>49</v>
      </c>
      <c r="G544" t="s">
        <v>15</v>
      </c>
      <c r="H544" t="s">
        <v>16</v>
      </c>
      <c r="I544" t="s">
        <v>17</v>
      </c>
      <c r="J544" t="s">
        <v>25</v>
      </c>
      <c r="K544">
        <v>0.1</v>
      </c>
    </row>
    <row r="545" spans="1:11" x14ac:dyDescent="0.25">
      <c r="A545" t="s">
        <v>583</v>
      </c>
      <c r="B545" s="1">
        <v>45275</v>
      </c>
      <c r="C545" t="s">
        <v>31</v>
      </c>
      <c r="D545" t="s">
        <v>27</v>
      </c>
      <c r="E545">
        <v>10800</v>
      </c>
      <c r="F545" t="s">
        <v>14</v>
      </c>
      <c r="G545" t="s">
        <v>15</v>
      </c>
      <c r="H545" t="s">
        <v>16</v>
      </c>
      <c r="I545" t="s">
        <v>17</v>
      </c>
      <c r="J545" t="s">
        <v>55</v>
      </c>
      <c r="K545">
        <v>0.1</v>
      </c>
    </row>
    <row r="546" spans="1:11" x14ac:dyDescent="0.25">
      <c r="A546" t="s">
        <v>584</v>
      </c>
      <c r="B546" s="1">
        <v>44932</v>
      </c>
      <c r="C546" t="s">
        <v>31</v>
      </c>
      <c r="D546" t="s">
        <v>27</v>
      </c>
      <c r="E546">
        <v>10800</v>
      </c>
      <c r="F546" t="s">
        <v>14</v>
      </c>
      <c r="G546" t="s">
        <v>24</v>
      </c>
      <c r="H546" t="s">
        <v>33</v>
      </c>
      <c r="I546" t="s">
        <v>34</v>
      </c>
      <c r="J546" t="s">
        <v>55</v>
      </c>
      <c r="K546">
        <v>0.1</v>
      </c>
    </row>
    <row r="547" spans="1:11" x14ac:dyDescent="0.25">
      <c r="A547" t="s">
        <v>585</v>
      </c>
      <c r="B547" s="1">
        <v>45225</v>
      </c>
      <c r="C547" t="s">
        <v>31</v>
      </c>
      <c r="D547" t="s">
        <v>27</v>
      </c>
      <c r="E547">
        <v>10800</v>
      </c>
      <c r="F547" t="s">
        <v>49</v>
      </c>
      <c r="G547" t="s">
        <v>28</v>
      </c>
      <c r="H547" t="s">
        <v>33</v>
      </c>
      <c r="I547" t="s">
        <v>34</v>
      </c>
      <c r="J547" t="s">
        <v>35</v>
      </c>
      <c r="K547">
        <v>0.1</v>
      </c>
    </row>
    <row r="548" spans="1:11" x14ac:dyDescent="0.25">
      <c r="A548" t="s">
        <v>586</v>
      </c>
      <c r="B548" s="1">
        <v>45476</v>
      </c>
      <c r="C548" t="s">
        <v>20</v>
      </c>
      <c r="D548" t="s">
        <v>13</v>
      </c>
      <c r="E548">
        <v>500</v>
      </c>
      <c r="F548" t="s">
        <v>21</v>
      </c>
      <c r="G548" t="s">
        <v>24</v>
      </c>
      <c r="H548" t="s">
        <v>33</v>
      </c>
      <c r="I548" t="s">
        <v>34</v>
      </c>
      <c r="J548" t="s">
        <v>29</v>
      </c>
      <c r="K548">
        <v>0</v>
      </c>
    </row>
    <row r="549" spans="1:11" x14ac:dyDescent="0.25">
      <c r="A549" t="s">
        <v>587</v>
      </c>
      <c r="B549" s="1">
        <v>45438</v>
      </c>
      <c r="C549" t="s">
        <v>12</v>
      </c>
      <c r="D549" t="s">
        <v>13</v>
      </c>
      <c r="E549">
        <v>1500</v>
      </c>
      <c r="F549" t="s">
        <v>49</v>
      </c>
      <c r="G549" t="s">
        <v>24</v>
      </c>
      <c r="H549" t="s">
        <v>33</v>
      </c>
      <c r="I549" t="s">
        <v>34</v>
      </c>
      <c r="J549" t="s">
        <v>35</v>
      </c>
      <c r="K549">
        <v>0</v>
      </c>
    </row>
    <row r="550" spans="1:11" x14ac:dyDescent="0.25">
      <c r="A550" t="s">
        <v>588</v>
      </c>
      <c r="B550" s="1">
        <v>45054</v>
      </c>
      <c r="C550" t="s">
        <v>31</v>
      </c>
      <c r="D550" t="s">
        <v>13</v>
      </c>
      <c r="E550">
        <v>1000</v>
      </c>
      <c r="F550" t="s">
        <v>49</v>
      </c>
      <c r="G550" t="s">
        <v>28</v>
      </c>
      <c r="H550" t="s">
        <v>33</v>
      </c>
      <c r="I550" t="s">
        <v>34</v>
      </c>
      <c r="J550" t="s">
        <v>58</v>
      </c>
      <c r="K550">
        <v>0</v>
      </c>
    </row>
    <row r="551" spans="1:11" x14ac:dyDescent="0.25">
      <c r="A551" t="s">
        <v>589</v>
      </c>
      <c r="B551" s="1">
        <v>45472</v>
      </c>
      <c r="C551" t="s">
        <v>20</v>
      </c>
      <c r="D551" t="s">
        <v>13</v>
      </c>
      <c r="E551">
        <v>500</v>
      </c>
      <c r="F551" t="s">
        <v>14</v>
      </c>
      <c r="G551" t="s">
        <v>24</v>
      </c>
      <c r="H551" t="s">
        <v>16</v>
      </c>
      <c r="I551" t="s">
        <v>17</v>
      </c>
      <c r="J551" t="s">
        <v>37</v>
      </c>
      <c r="K551">
        <v>0</v>
      </c>
    </row>
    <row r="552" spans="1:11" x14ac:dyDescent="0.25">
      <c r="A552" t="s">
        <v>590</v>
      </c>
      <c r="B552" s="1">
        <v>45374</v>
      </c>
      <c r="C552" t="s">
        <v>31</v>
      </c>
      <c r="D552" t="s">
        <v>27</v>
      </c>
      <c r="E552">
        <v>10800</v>
      </c>
      <c r="F552" t="s">
        <v>32</v>
      </c>
      <c r="G552" t="s">
        <v>28</v>
      </c>
      <c r="H552" t="s">
        <v>33</v>
      </c>
      <c r="I552" t="s">
        <v>34</v>
      </c>
      <c r="J552" t="s">
        <v>35</v>
      </c>
      <c r="K552">
        <v>0.1</v>
      </c>
    </row>
    <row r="553" spans="1:11" x14ac:dyDescent="0.25">
      <c r="A553" t="s">
        <v>591</v>
      </c>
      <c r="B553" s="1">
        <v>45520</v>
      </c>
      <c r="C553" t="s">
        <v>12</v>
      </c>
      <c r="D553" t="s">
        <v>13</v>
      </c>
      <c r="E553">
        <v>1500</v>
      </c>
      <c r="F553" t="s">
        <v>49</v>
      </c>
      <c r="G553" t="s">
        <v>28</v>
      </c>
      <c r="H553" t="s">
        <v>33</v>
      </c>
      <c r="I553" t="s">
        <v>34</v>
      </c>
      <c r="J553" t="s">
        <v>25</v>
      </c>
      <c r="K553">
        <v>0</v>
      </c>
    </row>
    <row r="554" spans="1:11" x14ac:dyDescent="0.25">
      <c r="A554" t="s">
        <v>592</v>
      </c>
      <c r="B554" s="1">
        <v>45186</v>
      </c>
      <c r="C554" t="s">
        <v>12</v>
      </c>
      <c r="D554" t="s">
        <v>13</v>
      </c>
      <c r="E554">
        <v>1500</v>
      </c>
      <c r="F554" t="s">
        <v>32</v>
      </c>
      <c r="G554" t="s">
        <v>15</v>
      </c>
      <c r="H554" t="s">
        <v>16</v>
      </c>
      <c r="I554" t="s">
        <v>17</v>
      </c>
      <c r="J554" t="s">
        <v>44</v>
      </c>
      <c r="K554">
        <v>0</v>
      </c>
    </row>
    <row r="555" spans="1:11" x14ac:dyDescent="0.25">
      <c r="A555" t="s">
        <v>593</v>
      </c>
      <c r="B555" s="1">
        <v>45183</v>
      </c>
      <c r="C555" t="s">
        <v>20</v>
      </c>
      <c r="D555" t="s">
        <v>13</v>
      </c>
      <c r="E555">
        <v>500</v>
      </c>
      <c r="F555" t="s">
        <v>49</v>
      </c>
      <c r="G555" t="s">
        <v>15</v>
      </c>
      <c r="H555" t="s">
        <v>16</v>
      </c>
      <c r="I555" t="s">
        <v>17</v>
      </c>
      <c r="J555" t="s">
        <v>18</v>
      </c>
      <c r="K555">
        <v>0</v>
      </c>
    </row>
    <row r="556" spans="1:11" x14ac:dyDescent="0.25">
      <c r="A556" t="s">
        <v>594</v>
      </c>
      <c r="B556" s="1">
        <v>45474</v>
      </c>
      <c r="C556" t="s">
        <v>12</v>
      </c>
      <c r="D556" t="s">
        <v>27</v>
      </c>
      <c r="E556">
        <v>16200</v>
      </c>
      <c r="F556" t="s">
        <v>21</v>
      </c>
      <c r="G556" t="s">
        <v>24</v>
      </c>
      <c r="H556" t="s">
        <v>33</v>
      </c>
      <c r="I556" t="s">
        <v>34</v>
      </c>
      <c r="J556" t="s">
        <v>18</v>
      </c>
      <c r="K556">
        <v>0.1</v>
      </c>
    </row>
    <row r="557" spans="1:11" x14ac:dyDescent="0.25">
      <c r="A557" t="s">
        <v>595</v>
      </c>
      <c r="B557" s="1">
        <v>45277</v>
      </c>
      <c r="C557" t="s">
        <v>31</v>
      </c>
      <c r="D557" t="s">
        <v>13</v>
      </c>
      <c r="E557">
        <v>1000</v>
      </c>
      <c r="F557" t="s">
        <v>21</v>
      </c>
      <c r="G557" t="s">
        <v>15</v>
      </c>
      <c r="H557" t="s">
        <v>16</v>
      </c>
      <c r="I557" t="s">
        <v>17</v>
      </c>
      <c r="J557" t="s">
        <v>29</v>
      </c>
      <c r="K557">
        <v>0</v>
      </c>
    </row>
    <row r="558" spans="1:11" x14ac:dyDescent="0.25">
      <c r="A558" t="s">
        <v>596</v>
      </c>
      <c r="B558" s="1">
        <v>45451</v>
      </c>
      <c r="C558" t="s">
        <v>12</v>
      </c>
      <c r="D558" t="s">
        <v>13</v>
      </c>
      <c r="E558">
        <v>1500</v>
      </c>
      <c r="F558" t="s">
        <v>14</v>
      </c>
      <c r="G558" t="s">
        <v>24</v>
      </c>
      <c r="H558" t="s">
        <v>33</v>
      </c>
      <c r="I558" t="s">
        <v>34</v>
      </c>
      <c r="J558" t="s">
        <v>37</v>
      </c>
      <c r="K558">
        <v>0</v>
      </c>
    </row>
    <row r="559" spans="1:11" x14ac:dyDescent="0.25">
      <c r="A559" t="s">
        <v>597</v>
      </c>
      <c r="B559" s="1">
        <v>45197</v>
      </c>
      <c r="C559" t="s">
        <v>20</v>
      </c>
      <c r="D559" t="s">
        <v>13</v>
      </c>
      <c r="E559">
        <v>500</v>
      </c>
      <c r="F559" t="s">
        <v>14</v>
      </c>
      <c r="G559" t="s">
        <v>24</v>
      </c>
      <c r="H559" t="s">
        <v>33</v>
      </c>
      <c r="I559" t="s">
        <v>34</v>
      </c>
      <c r="J559" t="s">
        <v>37</v>
      </c>
      <c r="K559">
        <v>0</v>
      </c>
    </row>
    <row r="560" spans="1:11" x14ac:dyDescent="0.25">
      <c r="A560" t="s">
        <v>598</v>
      </c>
      <c r="B560" s="1">
        <v>45271</v>
      </c>
      <c r="C560" t="s">
        <v>12</v>
      </c>
      <c r="D560" t="s">
        <v>13</v>
      </c>
      <c r="E560">
        <v>1500</v>
      </c>
      <c r="F560" t="s">
        <v>21</v>
      </c>
      <c r="G560" t="s">
        <v>28</v>
      </c>
      <c r="H560" t="s">
        <v>33</v>
      </c>
      <c r="I560" t="s">
        <v>34</v>
      </c>
      <c r="J560" t="s">
        <v>29</v>
      </c>
      <c r="K560">
        <v>0</v>
      </c>
    </row>
    <row r="561" spans="1:11" x14ac:dyDescent="0.25">
      <c r="A561" t="s">
        <v>599</v>
      </c>
      <c r="B561" s="1">
        <v>45617</v>
      </c>
      <c r="C561" t="s">
        <v>31</v>
      </c>
      <c r="D561" t="s">
        <v>13</v>
      </c>
      <c r="E561">
        <v>1000</v>
      </c>
      <c r="F561" t="s">
        <v>14</v>
      </c>
      <c r="G561" t="s">
        <v>24</v>
      </c>
      <c r="H561" t="s">
        <v>16</v>
      </c>
      <c r="I561" t="s">
        <v>17</v>
      </c>
      <c r="J561" t="s">
        <v>22</v>
      </c>
      <c r="K561">
        <v>0</v>
      </c>
    </row>
    <row r="562" spans="1:11" x14ac:dyDescent="0.25">
      <c r="A562" t="s">
        <v>600</v>
      </c>
      <c r="B562" s="1">
        <v>45383</v>
      </c>
      <c r="C562" t="s">
        <v>31</v>
      </c>
      <c r="D562" t="s">
        <v>27</v>
      </c>
      <c r="E562">
        <v>10800</v>
      </c>
      <c r="F562" t="s">
        <v>21</v>
      </c>
      <c r="G562" t="s">
        <v>24</v>
      </c>
      <c r="H562" t="s">
        <v>33</v>
      </c>
      <c r="I562" t="s">
        <v>34</v>
      </c>
      <c r="J562" t="s">
        <v>18</v>
      </c>
      <c r="K562">
        <v>0.1</v>
      </c>
    </row>
    <row r="563" spans="1:11" x14ac:dyDescent="0.25">
      <c r="A563" t="s">
        <v>601</v>
      </c>
      <c r="B563" s="1">
        <v>45603</v>
      </c>
      <c r="C563" t="s">
        <v>31</v>
      </c>
      <c r="D563" t="s">
        <v>27</v>
      </c>
      <c r="E563">
        <v>10800</v>
      </c>
      <c r="F563" t="s">
        <v>21</v>
      </c>
      <c r="G563" t="s">
        <v>15</v>
      </c>
      <c r="H563" t="s">
        <v>16</v>
      </c>
      <c r="I563" t="s">
        <v>17</v>
      </c>
      <c r="J563" t="s">
        <v>29</v>
      </c>
      <c r="K563">
        <v>0.1</v>
      </c>
    </row>
    <row r="564" spans="1:11" x14ac:dyDescent="0.25">
      <c r="A564" t="s">
        <v>602</v>
      </c>
      <c r="B564" s="1">
        <v>45074</v>
      </c>
      <c r="C564" t="s">
        <v>31</v>
      </c>
      <c r="D564" t="s">
        <v>13</v>
      </c>
      <c r="E564">
        <v>1000</v>
      </c>
      <c r="F564" t="s">
        <v>49</v>
      </c>
      <c r="G564" t="s">
        <v>28</v>
      </c>
      <c r="H564" t="s">
        <v>33</v>
      </c>
      <c r="I564" t="s">
        <v>34</v>
      </c>
      <c r="J564" t="s">
        <v>50</v>
      </c>
      <c r="K564">
        <v>0</v>
      </c>
    </row>
    <row r="565" spans="1:11" x14ac:dyDescent="0.25">
      <c r="A565" t="s">
        <v>603</v>
      </c>
      <c r="B565" s="1">
        <v>45113</v>
      </c>
      <c r="C565" t="s">
        <v>12</v>
      </c>
      <c r="D565" t="s">
        <v>27</v>
      </c>
      <c r="E565">
        <v>16200</v>
      </c>
      <c r="F565" t="s">
        <v>49</v>
      </c>
      <c r="G565" t="s">
        <v>28</v>
      </c>
      <c r="H565" t="s">
        <v>16</v>
      </c>
      <c r="I565" t="s">
        <v>17</v>
      </c>
      <c r="J565" t="s">
        <v>25</v>
      </c>
      <c r="K565">
        <v>0.1</v>
      </c>
    </row>
    <row r="566" spans="1:11" x14ac:dyDescent="0.25">
      <c r="A566" t="s">
        <v>604</v>
      </c>
      <c r="B566" s="1">
        <v>45531</v>
      </c>
      <c r="C566" t="s">
        <v>20</v>
      </c>
      <c r="D566" t="s">
        <v>27</v>
      </c>
      <c r="E566">
        <v>5400</v>
      </c>
      <c r="F566" t="s">
        <v>21</v>
      </c>
      <c r="G566" t="s">
        <v>15</v>
      </c>
      <c r="H566" t="s">
        <v>16</v>
      </c>
      <c r="I566" t="s">
        <v>17</v>
      </c>
      <c r="J566" t="s">
        <v>29</v>
      </c>
      <c r="K566">
        <v>0.1</v>
      </c>
    </row>
    <row r="567" spans="1:11" x14ac:dyDescent="0.25">
      <c r="A567" t="s">
        <v>605</v>
      </c>
      <c r="B567" s="1">
        <v>45392</v>
      </c>
      <c r="C567" t="s">
        <v>31</v>
      </c>
      <c r="D567" t="s">
        <v>27</v>
      </c>
      <c r="E567">
        <v>10800</v>
      </c>
      <c r="F567" t="s">
        <v>32</v>
      </c>
      <c r="G567" t="s">
        <v>15</v>
      </c>
      <c r="H567" t="s">
        <v>16</v>
      </c>
      <c r="I567" t="s">
        <v>17</v>
      </c>
      <c r="J567" t="s">
        <v>39</v>
      </c>
      <c r="K567">
        <v>0.1</v>
      </c>
    </row>
    <row r="568" spans="1:11" x14ac:dyDescent="0.25">
      <c r="A568" t="s">
        <v>606</v>
      </c>
      <c r="B568" s="1">
        <v>45163</v>
      </c>
      <c r="C568" t="s">
        <v>31</v>
      </c>
      <c r="D568" t="s">
        <v>27</v>
      </c>
      <c r="E568">
        <v>10800</v>
      </c>
      <c r="F568" t="s">
        <v>14</v>
      </c>
      <c r="G568" t="s">
        <v>28</v>
      </c>
      <c r="H568" t="s">
        <v>16</v>
      </c>
      <c r="I568" t="s">
        <v>17</v>
      </c>
      <c r="J568" t="s">
        <v>41</v>
      </c>
      <c r="K568">
        <v>0.1</v>
      </c>
    </row>
    <row r="569" spans="1:11" x14ac:dyDescent="0.25">
      <c r="A569" t="s">
        <v>607</v>
      </c>
      <c r="B569" s="1">
        <v>45263</v>
      </c>
      <c r="C569" t="s">
        <v>31</v>
      </c>
      <c r="D569" t="s">
        <v>13</v>
      </c>
      <c r="E569">
        <v>1000</v>
      </c>
      <c r="F569" t="s">
        <v>32</v>
      </c>
      <c r="G569" t="s">
        <v>24</v>
      </c>
      <c r="H569" t="s">
        <v>33</v>
      </c>
      <c r="I569" t="s">
        <v>34</v>
      </c>
      <c r="J569" t="s">
        <v>35</v>
      </c>
      <c r="K569">
        <v>0</v>
      </c>
    </row>
    <row r="570" spans="1:11" x14ac:dyDescent="0.25">
      <c r="A570" t="s">
        <v>608</v>
      </c>
      <c r="B570" s="1">
        <v>45538</v>
      </c>
      <c r="C570" t="s">
        <v>12</v>
      </c>
      <c r="D570" t="s">
        <v>13</v>
      </c>
      <c r="E570">
        <v>1500</v>
      </c>
      <c r="F570" t="s">
        <v>32</v>
      </c>
      <c r="G570" t="s">
        <v>24</v>
      </c>
      <c r="H570" t="s">
        <v>33</v>
      </c>
      <c r="I570" t="s">
        <v>34</v>
      </c>
      <c r="J570" t="s">
        <v>66</v>
      </c>
      <c r="K570">
        <v>0</v>
      </c>
    </row>
    <row r="571" spans="1:11" x14ac:dyDescent="0.25">
      <c r="A571" t="s">
        <v>609</v>
      </c>
      <c r="B571" s="1">
        <v>45240</v>
      </c>
      <c r="C571" t="s">
        <v>12</v>
      </c>
      <c r="D571" t="s">
        <v>27</v>
      </c>
      <c r="E571">
        <v>16200</v>
      </c>
      <c r="F571" t="s">
        <v>21</v>
      </c>
      <c r="G571" t="s">
        <v>24</v>
      </c>
      <c r="H571" t="s">
        <v>16</v>
      </c>
      <c r="I571" t="s">
        <v>17</v>
      </c>
      <c r="J571" t="s">
        <v>18</v>
      </c>
      <c r="K571">
        <v>0.1</v>
      </c>
    </row>
    <row r="572" spans="1:11" x14ac:dyDescent="0.25">
      <c r="A572" t="s">
        <v>610</v>
      </c>
      <c r="B572" s="1">
        <v>45217</v>
      </c>
      <c r="C572" t="s">
        <v>31</v>
      </c>
      <c r="D572" t="s">
        <v>13</v>
      </c>
      <c r="E572">
        <v>1000</v>
      </c>
      <c r="F572" t="s">
        <v>49</v>
      </c>
      <c r="G572" t="s">
        <v>28</v>
      </c>
      <c r="H572" t="s">
        <v>33</v>
      </c>
      <c r="I572" t="s">
        <v>34</v>
      </c>
      <c r="J572" t="s">
        <v>25</v>
      </c>
      <c r="K572">
        <v>0</v>
      </c>
    </row>
    <row r="573" spans="1:11" x14ac:dyDescent="0.25">
      <c r="A573" t="s">
        <v>611</v>
      </c>
      <c r="B573" s="1">
        <v>45377</v>
      </c>
      <c r="C573" t="s">
        <v>12</v>
      </c>
      <c r="D573" t="s">
        <v>13</v>
      </c>
      <c r="E573">
        <v>1500</v>
      </c>
      <c r="F573" t="s">
        <v>14</v>
      </c>
      <c r="G573" t="s">
        <v>24</v>
      </c>
      <c r="H573" t="s">
        <v>33</v>
      </c>
      <c r="I573" t="s">
        <v>34</v>
      </c>
      <c r="J573" t="s">
        <v>37</v>
      </c>
      <c r="K573">
        <v>0</v>
      </c>
    </row>
    <row r="574" spans="1:11" x14ac:dyDescent="0.25">
      <c r="A574" t="s">
        <v>612</v>
      </c>
      <c r="B574" s="1">
        <v>45415</v>
      </c>
      <c r="C574" t="s">
        <v>20</v>
      </c>
      <c r="D574" t="s">
        <v>27</v>
      </c>
      <c r="E574">
        <v>5400</v>
      </c>
      <c r="F574" t="s">
        <v>14</v>
      </c>
      <c r="G574" t="s">
        <v>28</v>
      </c>
      <c r="H574" t="s">
        <v>16</v>
      </c>
      <c r="I574" t="s">
        <v>17</v>
      </c>
      <c r="J574" t="s">
        <v>18</v>
      </c>
      <c r="K574">
        <v>0.1</v>
      </c>
    </row>
    <row r="575" spans="1:11" x14ac:dyDescent="0.25">
      <c r="A575" t="s">
        <v>613</v>
      </c>
      <c r="B575" s="1">
        <v>45276</v>
      </c>
      <c r="C575" t="s">
        <v>20</v>
      </c>
      <c r="D575" t="s">
        <v>13</v>
      </c>
      <c r="E575">
        <v>500</v>
      </c>
      <c r="F575" t="s">
        <v>49</v>
      </c>
      <c r="G575" t="s">
        <v>28</v>
      </c>
      <c r="H575" t="s">
        <v>33</v>
      </c>
      <c r="I575" t="s">
        <v>34</v>
      </c>
      <c r="J575" t="s">
        <v>50</v>
      </c>
      <c r="K575">
        <v>0</v>
      </c>
    </row>
    <row r="576" spans="1:11" x14ac:dyDescent="0.25">
      <c r="A576" t="s">
        <v>614</v>
      </c>
      <c r="B576" s="1">
        <v>45167</v>
      </c>
      <c r="C576" t="s">
        <v>20</v>
      </c>
      <c r="D576" t="s">
        <v>27</v>
      </c>
      <c r="E576">
        <v>5400</v>
      </c>
      <c r="F576" t="s">
        <v>49</v>
      </c>
      <c r="G576" t="s">
        <v>24</v>
      </c>
      <c r="H576" t="s">
        <v>33</v>
      </c>
      <c r="I576" t="s">
        <v>34</v>
      </c>
      <c r="J576" t="s">
        <v>25</v>
      </c>
      <c r="K576">
        <v>0.1</v>
      </c>
    </row>
    <row r="577" spans="1:11" x14ac:dyDescent="0.25">
      <c r="A577" t="s">
        <v>615</v>
      </c>
      <c r="B577" s="1">
        <v>44991</v>
      </c>
      <c r="C577" t="s">
        <v>20</v>
      </c>
      <c r="D577" t="s">
        <v>13</v>
      </c>
      <c r="E577">
        <v>500</v>
      </c>
      <c r="F577" t="s">
        <v>49</v>
      </c>
      <c r="G577" t="s">
        <v>28</v>
      </c>
      <c r="H577" t="s">
        <v>33</v>
      </c>
      <c r="I577" t="s">
        <v>34</v>
      </c>
      <c r="J577" t="s">
        <v>25</v>
      </c>
      <c r="K577">
        <v>0</v>
      </c>
    </row>
    <row r="578" spans="1:11" x14ac:dyDescent="0.25">
      <c r="A578" t="s">
        <v>616</v>
      </c>
      <c r="B578" s="1">
        <v>45175</v>
      </c>
      <c r="C578" t="s">
        <v>20</v>
      </c>
      <c r="D578" t="s">
        <v>27</v>
      </c>
      <c r="E578">
        <v>5400</v>
      </c>
      <c r="F578" t="s">
        <v>14</v>
      </c>
      <c r="G578" t="s">
        <v>15</v>
      </c>
      <c r="H578" t="s">
        <v>16</v>
      </c>
      <c r="I578" t="s">
        <v>17</v>
      </c>
      <c r="J578" t="s">
        <v>37</v>
      </c>
      <c r="K578">
        <v>0.1</v>
      </c>
    </row>
    <row r="579" spans="1:11" x14ac:dyDescent="0.25">
      <c r="A579" t="s">
        <v>617</v>
      </c>
      <c r="B579" s="1">
        <v>45483</v>
      </c>
      <c r="C579" t="s">
        <v>12</v>
      </c>
      <c r="D579" t="s">
        <v>13</v>
      </c>
      <c r="E579">
        <v>1500</v>
      </c>
      <c r="F579" t="s">
        <v>21</v>
      </c>
      <c r="G579" t="s">
        <v>15</v>
      </c>
      <c r="H579" t="s">
        <v>16</v>
      </c>
      <c r="I579" t="s">
        <v>17</v>
      </c>
      <c r="J579" t="s">
        <v>29</v>
      </c>
      <c r="K579">
        <v>0</v>
      </c>
    </row>
    <row r="580" spans="1:11" x14ac:dyDescent="0.25">
      <c r="A580" t="s">
        <v>618</v>
      </c>
      <c r="B580" s="1">
        <v>45630</v>
      </c>
      <c r="C580" t="s">
        <v>12</v>
      </c>
      <c r="D580" t="s">
        <v>27</v>
      </c>
      <c r="E580">
        <v>16200</v>
      </c>
      <c r="F580" t="s">
        <v>14</v>
      </c>
      <c r="G580" t="s">
        <v>24</v>
      </c>
      <c r="H580" t="s">
        <v>16</v>
      </c>
      <c r="I580" t="s">
        <v>17</v>
      </c>
      <c r="J580" t="s">
        <v>37</v>
      </c>
      <c r="K580">
        <v>0.1</v>
      </c>
    </row>
    <row r="581" spans="1:11" x14ac:dyDescent="0.25">
      <c r="A581" t="s">
        <v>619</v>
      </c>
      <c r="B581" s="1">
        <v>45407</v>
      </c>
      <c r="C581" t="s">
        <v>31</v>
      </c>
      <c r="D581" t="s">
        <v>13</v>
      </c>
      <c r="E581">
        <v>1000</v>
      </c>
      <c r="F581" t="s">
        <v>21</v>
      </c>
      <c r="G581" t="s">
        <v>24</v>
      </c>
      <c r="H581" t="s">
        <v>16</v>
      </c>
      <c r="I581" t="s">
        <v>17</v>
      </c>
      <c r="J581" t="s">
        <v>29</v>
      </c>
      <c r="K581">
        <v>0</v>
      </c>
    </row>
    <row r="582" spans="1:11" x14ac:dyDescent="0.25">
      <c r="A582" t="s">
        <v>620</v>
      </c>
      <c r="B582" s="1">
        <v>45611</v>
      </c>
      <c r="C582" t="s">
        <v>31</v>
      </c>
      <c r="D582" t="s">
        <v>27</v>
      </c>
      <c r="E582">
        <v>10800</v>
      </c>
      <c r="F582" t="s">
        <v>32</v>
      </c>
      <c r="G582" t="s">
        <v>28</v>
      </c>
      <c r="H582" t="s">
        <v>16</v>
      </c>
      <c r="I582" t="s">
        <v>17</v>
      </c>
      <c r="J582" t="s">
        <v>25</v>
      </c>
      <c r="K582">
        <v>0.1</v>
      </c>
    </row>
    <row r="583" spans="1:11" x14ac:dyDescent="0.25">
      <c r="A583" t="s">
        <v>621</v>
      </c>
      <c r="B583" s="1">
        <v>45435</v>
      </c>
      <c r="C583" t="s">
        <v>20</v>
      </c>
      <c r="D583" t="s">
        <v>13</v>
      </c>
      <c r="E583">
        <v>500</v>
      </c>
      <c r="F583" t="s">
        <v>49</v>
      </c>
      <c r="G583" t="s">
        <v>24</v>
      </c>
      <c r="H583" t="s">
        <v>33</v>
      </c>
      <c r="I583" t="s">
        <v>34</v>
      </c>
      <c r="J583" t="s">
        <v>22</v>
      </c>
      <c r="K583">
        <v>0</v>
      </c>
    </row>
    <row r="584" spans="1:11" x14ac:dyDescent="0.25">
      <c r="A584" t="s">
        <v>622</v>
      </c>
      <c r="B584" s="1">
        <v>45010</v>
      </c>
      <c r="C584" t="s">
        <v>31</v>
      </c>
      <c r="D584" t="s">
        <v>27</v>
      </c>
      <c r="E584">
        <v>10800</v>
      </c>
      <c r="F584" t="s">
        <v>14</v>
      </c>
      <c r="G584" t="s">
        <v>24</v>
      </c>
      <c r="H584" t="s">
        <v>33</v>
      </c>
      <c r="I584" t="s">
        <v>34</v>
      </c>
      <c r="J584" t="s">
        <v>22</v>
      </c>
      <c r="K584">
        <v>0.1</v>
      </c>
    </row>
    <row r="585" spans="1:11" x14ac:dyDescent="0.25">
      <c r="A585" t="s">
        <v>623</v>
      </c>
      <c r="B585" s="1">
        <v>45598</v>
      </c>
      <c r="C585" t="s">
        <v>31</v>
      </c>
      <c r="D585" t="s">
        <v>27</v>
      </c>
      <c r="E585">
        <v>10800</v>
      </c>
      <c r="F585" t="s">
        <v>21</v>
      </c>
      <c r="G585" t="s">
        <v>28</v>
      </c>
      <c r="H585" t="s">
        <v>16</v>
      </c>
      <c r="I585" t="s">
        <v>17</v>
      </c>
      <c r="J585" t="s">
        <v>25</v>
      </c>
      <c r="K585">
        <v>0.1</v>
      </c>
    </row>
    <row r="586" spans="1:11" x14ac:dyDescent="0.25">
      <c r="A586" t="s">
        <v>624</v>
      </c>
      <c r="B586" s="1">
        <v>45567</v>
      </c>
      <c r="C586" t="s">
        <v>20</v>
      </c>
      <c r="D586" t="s">
        <v>27</v>
      </c>
      <c r="E586">
        <v>5400</v>
      </c>
      <c r="F586" t="s">
        <v>14</v>
      </c>
      <c r="G586" t="s">
        <v>24</v>
      </c>
      <c r="H586" t="s">
        <v>16</v>
      </c>
      <c r="I586" t="s">
        <v>17</v>
      </c>
      <c r="J586" t="s">
        <v>41</v>
      </c>
      <c r="K586">
        <v>0.1</v>
      </c>
    </row>
    <row r="587" spans="1:11" x14ac:dyDescent="0.25">
      <c r="A587" t="s">
        <v>625</v>
      </c>
      <c r="B587" s="1">
        <v>45012</v>
      </c>
      <c r="C587" t="s">
        <v>31</v>
      </c>
      <c r="D587" t="s">
        <v>13</v>
      </c>
      <c r="E587">
        <v>1000</v>
      </c>
      <c r="F587" t="s">
        <v>14</v>
      </c>
      <c r="G587" t="s">
        <v>15</v>
      </c>
      <c r="H587" t="s">
        <v>16</v>
      </c>
      <c r="I587" t="s">
        <v>17</v>
      </c>
      <c r="J587" t="s">
        <v>37</v>
      </c>
      <c r="K587">
        <v>0</v>
      </c>
    </row>
    <row r="588" spans="1:11" x14ac:dyDescent="0.25">
      <c r="A588" t="s">
        <v>626</v>
      </c>
      <c r="B588" s="1">
        <v>45134</v>
      </c>
      <c r="C588" t="s">
        <v>31</v>
      </c>
      <c r="D588" t="s">
        <v>27</v>
      </c>
      <c r="E588">
        <v>10800</v>
      </c>
      <c r="F588" t="s">
        <v>32</v>
      </c>
      <c r="G588" t="s">
        <v>24</v>
      </c>
      <c r="H588" t="s">
        <v>33</v>
      </c>
      <c r="I588" t="s">
        <v>34</v>
      </c>
      <c r="J588" t="s">
        <v>25</v>
      </c>
      <c r="K588">
        <v>0.1</v>
      </c>
    </row>
    <row r="589" spans="1:11" x14ac:dyDescent="0.25">
      <c r="A589" t="s">
        <v>627</v>
      </c>
      <c r="B589" s="1">
        <v>45189</v>
      </c>
      <c r="C589" t="s">
        <v>31</v>
      </c>
      <c r="D589" t="s">
        <v>13</v>
      </c>
      <c r="E589">
        <v>1000</v>
      </c>
      <c r="F589" t="s">
        <v>21</v>
      </c>
      <c r="G589" t="s">
        <v>24</v>
      </c>
      <c r="H589" t="s">
        <v>33</v>
      </c>
      <c r="I589" t="s">
        <v>34</v>
      </c>
      <c r="J589" t="s">
        <v>22</v>
      </c>
      <c r="K589">
        <v>0</v>
      </c>
    </row>
    <row r="590" spans="1:11" x14ac:dyDescent="0.25">
      <c r="A590" t="s">
        <v>628</v>
      </c>
      <c r="B590" s="1">
        <v>44936</v>
      </c>
      <c r="C590" t="s">
        <v>12</v>
      </c>
      <c r="D590" t="s">
        <v>13</v>
      </c>
      <c r="E590">
        <v>1500</v>
      </c>
      <c r="F590" t="s">
        <v>21</v>
      </c>
      <c r="G590" t="s">
        <v>28</v>
      </c>
      <c r="H590" t="s">
        <v>33</v>
      </c>
      <c r="I590" t="s">
        <v>34</v>
      </c>
      <c r="J590" t="s">
        <v>18</v>
      </c>
      <c r="K590">
        <v>0</v>
      </c>
    </row>
    <row r="591" spans="1:11" x14ac:dyDescent="0.25">
      <c r="A591" t="s">
        <v>629</v>
      </c>
      <c r="B591" s="1">
        <v>44928</v>
      </c>
      <c r="C591" t="s">
        <v>20</v>
      </c>
      <c r="D591" t="s">
        <v>13</v>
      </c>
      <c r="E591">
        <v>500</v>
      </c>
      <c r="F591" t="s">
        <v>14</v>
      </c>
      <c r="G591" t="s">
        <v>24</v>
      </c>
      <c r="H591" t="s">
        <v>33</v>
      </c>
      <c r="I591" t="s">
        <v>34</v>
      </c>
      <c r="J591" t="s">
        <v>37</v>
      </c>
      <c r="K591">
        <v>0</v>
      </c>
    </row>
    <row r="592" spans="1:11" x14ac:dyDescent="0.25">
      <c r="A592" t="s">
        <v>630</v>
      </c>
      <c r="B592" s="1">
        <v>44964</v>
      </c>
      <c r="C592" t="s">
        <v>12</v>
      </c>
      <c r="D592" t="s">
        <v>27</v>
      </c>
      <c r="E592">
        <v>16200</v>
      </c>
      <c r="F592" t="s">
        <v>14</v>
      </c>
      <c r="G592" t="s">
        <v>24</v>
      </c>
      <c r="H592" t="s">
        <v>33</v>
      </c>
      <c r="I592" t="s">
        <v>34</v>
      </c>
      <c r="J592" t="s">
        <v>55</v>
      </c>
      <c r="K592">
        <v>0.1</v>
      </c>
    </row>
    <row r="593" spans="1:11" x14ac:dyDescent="0.25">
      <c r="A593" t="s">
        <v>631</v>
      </c>
      <c r="B593" s="1">
        <v>45066</v>
      </c>
      <c r="C593" t="s">
        <v>20</v>
      </c>
      <c r="D593" t="s">
        <v>27</v>
      </c>
      <c r="E593">
        <v>5400</v>
      </c>
      <c r="F593" t="s">
        <v>49</v>
      </c>
      <c r="G593" t="s">
        <v>15</v>
      </c>
      <c r="H593" t="s">
        <v>16</v>
      </c>
      <c r="I593" t="s">
        <v>17</v>
      </c>
      <c r="J593" t="s">
        <v>50</v>
      </c>
      <c r="K593">
        <v>0.1</v>
      </c>
    </row>
    <row r="594" spans="1:11" x14ac:dyDescent="0.25">
      <c r="A594" t="s">
        <v>632</v>
      </c>
      <c r="B594" s="1">
        <v>44952</v>
      </c>
      <c r="C594" t="s">
        <v>12</v>
      </c>
      <c r="D594" t="s">
        <v>27</v>
      </c>
      <c r="E594">
        <v>16200</v>
      </c>
      <c r="F594" t="s">
        <v>14</v>
      </c>
      <c r="G594" t="s">
        <v>28</v>
      </c>
      <c r="H594" t="s">
        <v>16</v>
      </c>
      <c r="I594" t="s">
        <v>17</v>
      </c>
      <c r="J594" t="s">
        <v>22</v>
      </c>
      <c r="K594">
        <v>0.1</v>
      </c>
    </row>
    <row r="595" spans="1:11" x14ac:dyDescent="0.25">
      <c r="A595" t="s">
        <v>633</v>
      </c>
      <c r="B595" s="1">
        <v>45152</v>
      </c>
      <c r="C595" t="s">
        <v>31</v>
      </c>
      <c r="D595" t="s">
        <v>13</v>
      </c>
      <c r="E595">
        <v>1000</v>
      </c>
      <c r="F595" t="s">
        <v>49</v>
      </c>
      <c r="G595" t="s">
        <v>28</v>
      </c>
      <c r="H595" t="s">
        <v>16</v>
      </c>
      <c r="I595" t="s">
        <v>17</v>
      </c>
      <c r="J595" t="s">
        <v>35</v>
      </c>
      <c r="K595">
        <v>0</v>
      </c>
    </row>
    <row r="596" spans="1:11" x14ac:dyDescent="0.25">
      <c r="A596" t="s">
        <v>634</v>
      </c>
      <c r="B596" s="1">
        <v>45617</v>
      </c>
      <c r="C596" t="s">
        <v>12</v>
      </c>
      <c r="D596" t="s">
        <v>27</v>
      </c>
      <c r="E596">
        <v>16200</v>
      </c>
      <c r="F596" t="s">
        <v>14</v>
      </c>
      <c r="G596" t="s">
        <v>15</v>
      </c>
      <c r="H596" t="s">
        <v>16</v>
      </c>
      <c r="I596" t="s">
        <v>17</v>
      </c>
      <c r="J596" t="s">
        <v>55</v>
      </c>
      <c r="K596">
        <v>0.1</v>
      </c>
    </row>
    <row r="597" spans="1:11" x14ac:dyDescent="0.25">
      <c r="A597" t="s">
        <v>635</v>
      </c>
      <c r="B597" s="1">
        <v>45203</v>
      </c>
      <c r="C597" t="s">
        <v>31</v>
      </c>
      <c r="D597" t="s">
        <v>27</v>
      </c>
      <c r="E597">
        <v>10800</v>
      </c>
      <c r="F597" t="s">
        <v>49</v>
      </c>
      <c r="G597" t="s">
        <v>24</v>
      </c>
      <c r="H597" t="s">
        <v>33</v>
      </c>
      <c r="I597" t="s">
        <v>34</v>
      </c>
      <c r="J597" t="s">
        <v>18</v>
      </c>
      <c r="K597">
        <v>0.1</v>
      </c>
    </row>
    <row r="598" spans="1:11" x14ac:dyDescent="0.25">
      <c r="A598" t="s">
        <v>636</v>
      </c>
      <c r="B598" s="1">
        <v>45218</v>
      </c>
      <c r="C598" t="s">
        <v>12</v>
      </c>
      <c r="D598" t="s">
        <v>27</v>
      </c>
      <c r="E598">
        <v>16200</v>
      </c>
      <c r="F598" t="s">
        <v>49</v>
      </c>
      <c r="G598" t="s">
        <v>24</v>
      </c>
      <c r="H598" t="s">
        <v>33</v>
      </c>
      <c r="I598" t="s">
        <v>34</v>
      </c>
      <c r="J598" t="s">
        <v>58</v>
      </c>
      <c r="K598">
        <v>0.1</v>
      </c>
    </row>
    <row r="599" spans="1:11" x14ac:dyDescent="0.25">
      <c r="A599" t="s">
        <v>637</v>
      </c>
      <c r="B599" s="1">
        <v>45102</v>
      </c>
      <c r="C599" t="s">
        <v>12</v>
      </c>
      <c r="D599" t="s">
        <v>27</v>
      </c>
      <c r="E599">
        <v>16200</v>
      </c>
      <c r="F599" t="s">
        <v>32</v>
      </c>
      <c r="G599" t="s">
        <v>15</v>
      </c>
      <c r="H599" t="s">
        <v>16</v>
      </c>
      <c r="I599" t="s">
        <v>17</v>
      </c>
      <c r="J599" t="s">
        <v>44</v>
      </c>
      <c r="K599">
        <v>0.1</v>
      </c>
    </row>
    <row r="600" spans="1:11" x14ac:dyDescent="0.25">
      <c r="A600" t="s">
        <v>638</v>
      </c>
      <c r="B600" s="1">
        <v>45305</v>
      </c>
      <c r="C600" t="s">
        <v>31</v>
      </c>
      <c r="D600" t="s">
        <v>27</v>
      </c>
      <c r="E600">
        <v>10800</v>
      </c>
      <c r="F600" t="s">
        <v>49</v>
      </c>
      <c r="G600" t="s">
        <v>15</v>
      </c>
      <c r="H600" t="s">
        <v>16</v>
      </c>
      <c r="I600" t="s">
        <v>17</v>
      </c>
      <c r="J600" t="s">
        <v>22</v>
      </c>
      <c r="K600">
        <v>0.1</v>
      </c>
    </row>
    <row r="601" spans="1:11" x14ac:dyDescent="0.25">
      <c r="A601" t="s">
        <v>639</v>
      </c>
      <c r="B601" s="1">
        <v>45450</v>
      </c>
      <c r="C601" t="s">
        <v>12</v>
      </c>
      <c r="D601" t="s">
        <v>27</v>
      </c>
      <c r="E601">
        <v>16200</v>
      </c>
      <c r="F601" t="s">
        <v>49</v>
      </c>
      <c r="G601" t="s">
        <v>24</v>
      </c>
      <c r="H601" t="s">
        <v>33</v>
      </c>
      <c r="I601" t="s">
        <v>34</v>
      </c>
      <c r="J601" t="s">
        <v>50</v>
      </c>
      <c r="K601">
        <v>0.1</v>
      </c>
    </row>
    <row r="602" spans="1:11" x14ac:dyDescent="0.25">
      <c r="A602" t="s">
        <v>640</v>
      </c>
      <c r="B602" s="1">
        <v>45364</v>
      </c>
      <c r="C602" t="s">
        <v>20</v>
      </c>
      <c r="D602" t="s">
        <v>13</v>
      </c>
      <c r="E602">
        <v>500</v>
      </c>
      <c r="F602" t="s">
        <v>32</v>
      </c>
      <c r="G602" t="s">
        <v>15</v>
      </c>
      <c r="H602" t="s">
        <v>16</v>
      </c>
      <c r="I602" t="s">
        <v>17</v>
      </c>
      <c r="J602" t="s">
        <v>66</v>
      </c>
      <c r="K602">
        <v>0</v>
      </c>
    </row>
    <row r="603" spans="1:11" x14ac:dyDescent="0.25">
      <c r="A603" t="s">
        <v>641</v>
      </c>
      <c r="B603" s="1">
        <v>45246</v>
      </c>
      <c r="C603" t="s">
        <v>20</v>
      </c>
      <c r="D603" t="s">
        <v>13</v>
      </c>
      <c r="E603">
        <v>500</v>
      </c>
      <c r="F603" t="s">
        <v>49</v>
      </c>
      <c r="G603" t="s">
        <v>28</v>
      </c>
      <c r="H603" t="s">
        <v>16</v>
      </c>
      <c r="I603" t="s">
        <v>17</v>
      </c>
      <c r="J603" t="s">
        <v>25</v>
      </c>
      <c r="K603">
        <v>0</v>
      </c>
    </row>
    <row r="604" spans="1:11" x14ac:dyDescent="0.25">
      <c r="A604" t="s">
        <v>642</v>
      </c>
      <c r="B604" s="1">
        <v>45199</v>
      </c>
      <c r="C604" t="s">
        <v>12</v>
      </c>
      <c r="D604" t="s">
        <v>27</v>
      </c>
      <c r="E604">
        <v>16200</v>
      </c>
      <c r="F604" t="s">
        <v>49</v>
      </c>
      <c r="G604" t="s">
        <v>24</v>
      </c>
      <c r="H604" t="s">
        <v>33</v>
      </c>
      <c r="I604" t="s">
        <v>34</v>
      </c>
      <c r="J604" t="s">
        <v>25</v>
      </c>
      <c r="K604">
        <v>0.1</v>
      </c>
    </row>
    <row r="605" spans="1:11" x14ac:dyDescent="0.25">
      <c r="A605" t="s">
        <v>643</v>
      </c>
      <c r="B605" s="1">
        <v>45315</v>
      </c>
      <c r="C605" t="s">
        <v>20</v>
      </c>
      <c r="D605" t="s">
        <v>27</v>
      </c>
      <c r="E605">
        <v>5400</v>
      </c>
      <c r="F605" t="s">
        <v>21</v>
      </c>
      <c r="G605" t="s">
        <v>15</v>
      </c>
      <c r="H605" t="s">
        <v>16</v>
      </c>
      <c r="I605" t="s">
        <v>17</v>
      </c>
      <c r="J605" t="s">
        <v>18</v>
      </c>
      <c r="K605">
        <v>0.1</v>
      </c>
    </row>
    <row r="606" spans="1:11" x14ac:dyDescent="0.25">
      <c r="A606" t="s">
        <v>644</v>
      </c>
      <c r="B606" s="1">
        <v>45444</v>
      </c>
      <c r="C606" t="s">
        <v>31</v>
      </c>
      <c r="D606" t="s">
        <v>13</v>
      </c>
      <c r="E606">
        <v>1000</v>
      </c>
      <c r="F606" t="s">
        <v>21</v>
      </c>
      <c r="G606" t="s">
        <v>28</v>
      </c>
      <c r="H606" t="s">
        <v>16</v>
      </c>
      <c r="I606" t="s">
        <v>17</v>
      </c>
      <c r="J606" t="s">
        <v>29</v>
      </c>
      <c r="K606">
        <v>0</v>
      </c>
    </row>
    <row r="607" spans="1:11" x14ac:dyDescent="0.25">
      <c r="A607" t="s">
        <v>645</v>
      </c>
      <c r="B607" s="1">
        <v>45472</v>
      </c>
      <c r="C607" t="s">
        <v>31</v>
      </c>
      <c r="D607" t="s">
        <v>13</v>
      </c>
      <c r="E607">
        <v>1000</v>
      </c>
      <c r="F607" t="s">
        <v>21</v>
      </c>
      <c r="G607" t="s">
        <v>24</v>
      </c>
      <c r="H607" t="s">
        <v>16</v>
      </c>
      <c r="I607" t="s">
        <v>17</v>
      </c>
      <c r="J607" t="s">
        <v>29</v>
      </c>
      <c r="K607">
        <v>0</v>
      </c>
    </row>
    <row r="608" spans="1:11" x14ac:dyDescent="0.25">
      <c r="A608" t="s">
        <v>646</v>
      </c>
      <c r="B608" s="1">
        <v>45073</v>
      </c>
      <c r="C608" t="s">
        <v>20</v>
      </c>
      <c r="D608" t="s">
        <v>27</v>
      </c>
      <c r="E608">
        <v>5400</v>
      </c>
      <c r="F608" t="s">
        <v>49</v>
      </c>
      <c r="G608" t="s">
        <v>28</v>
      </c>
      <c r="H608" t="s">
        <v>33</v>
      </c>
      <c r="I608" t="s">
        <v>34</v>
      </c>
      <c r="J608" t="s">
        <v>18</v>
      </c>
      <c r="K608">
        <v>0.1</v>
      </c>
    </row>
    <row r="609" spans="1:11" x14ac:dyDescent="0.25">
      <c r="A609" t="s">
        <v>647</v>
      </c>
      <c r="B609" s="1">
        <v>45514</v>
      </c>
      <c r="C609" t="s">
        <v>20</v>
      </c>
      <c r="D609" t="s">
        <v>27</v>
      </c>
      <c r="E609">
        <v>5400</v>
      </c>
      <c r="F609" t="s">
        <v>21</v>
      </c>
      <c r="G609" t="s">
        <v>28</v>
      </c>
      <c r="H609" t="s">
        <v>33</v>
      </c>
      <c r="I609" t="s">
        <v>34</v>
      </c>
      <c r="J609" t="s">
        <v>29</v>
      </c>
      <c r="K609">
        <v>0.1</v>
      </c>
    </row>
    <row r="610" spans="1:11" x14ac:dyDescent="0.25">
      <c r="A610" t="s">
        <v>648</v>
      </c>
      <c r="B610" s="1">
        <v>45013</v>
      </c>
      <c r="C610" t="s">
        <v>20</v>
      </c>
      <c r="D610" t="s">
        <v>27</v>
      </c>
      <c r="E610">
        <v>5400</v>
      </c>
      <c r="F610" t="s">
        <v>49</v>
      </c>
      <c r="G610" t="s">
        <v>28</v>
      </c>
      <c r="H610" t="s">
        <v>33</v>
      </c>
      <c r="I610" t="s">
        <v>34</v>
      </c>
      <c r="J610" t="s">
        <v>25</v>
      </c>
      <c r="K610">
        <v>0.1</v>
      </c>
    </row>
    <row r="611" spans="1:11" x14ac:dyDescent="0.25">
      <c r="A611" t="s">
        <v>649</v>
      </c>
      <c r="B611" s="1">
        <v>45078</v>
      </c>
      <c r="C611" t="s">
        <v>20</v>
      </c>
      <c r="D611" t="s">
        <v>27</v>
      </c>
      <c r="E611">
        <v>5400</v>
      </c>
      <c r="F611" t="s">
        <v>49</v>
      </c>
      <c r="G611" t="s">
        <v>24</v>
      </c>
      <c r="H611" t="s">
        <v>16</v>
      </c>
      <c r="I611" t="s">
        <v>17</v>
      </c>
      <c r="J611" t="s">
        <v>58</v>
      </c>
      <c r="K611">
        <v>0.1</v>
      </c>
    </row>
    <row r="612" spans="1:11" x14ac:dyDescent="0.25">
      <c r="A612" t="s">
        <v>650</v>
      </c>
      <c r="B612" s="1">
        <v>45100</v>
      </c>
      <c r="C612" t="s">
        <v>31</v>
      </c>
      <c r="D612" t="s">
        <v>13</v>
      </c>
      <c r="E612">
        <v>1000</v>
      </c>
      <c r="F612" t="s">
        <v>21</v>
      </c>
      <c r="G612" t="s">
        <v>24</v>
      </c>
      <c r="H612" t="s">
        <v>33</v>
      </c>
      <c r="I612" t="s">
        <v>34</v>
      </c>
      <c r="J612" t="s">
        <v>22</v>
      </c>
      <c r="K612">
        <v>0</v>
      </c>
    </row>
    <row r="613" spans="1:11" x14ac:dyDescent="0.25">
      <c r="A613" t="s">
        <v>651</v>
      </c>
      <c r="B613" s="1">
        <v>45061</v>
      </c>
      <c r="C613" t="s">
        <v>31</v>
      </c>
      <c r="D613" t="s">
        <v>13</v>
      </c>
      <c r="E613">
        <v>1000</v>
      </c>
      <c r="F613" t="s">
        <v>21</v>
      </c>
      <c r="G613" t="s">
        <v>24</v>
      </c>
      <c r="H613" t="s">
        <v>33</v>
      </c>
      <c r="I613" t="s">
        <v>34</v>
      </c>
      <c r="J613" t="s">
        <v>29</v>
      </c>
      <c r="K613">
        <v>0</v>
      </c>
    </row>
    <row r="614" spans="1:11" x14ac:dyDescent="0.25">
      <c r="A614" t="s">
        <v>652</v>
      </c>
      <c r="B614" s="1">
        <v>45212</v>
      </c>
      <c r="C614" t="s">
        <v>20</v>
      </c>
      <c r="D614" t="s">
        <v>13</v>
      </c>
      <c r="E614">
        <v>500</v>
      </c>
      <c r="F614" t="s">
        <v>21</v>
      </c>
      <c r="G614" t="s">
        <v>28</v>
      </c>
      <c r="H614" t="s">
        <v>16</v>
      </c>
      <c r="I614" t="s">
        <v>17</v>
      </c>
      <c r="J614" t="s">
        <v>25</v>
      </c>
      <c r="K614">
        <v>0</v>
      </c>
    </row>
    <row r="615" spans="1:11" x14ac:dyDescent="0.25">
      <c r="A615" t="s">
        <v>653</v>
      </c>
      <c r="B615" s="1">
        <v>45314</v>
      </c>
      <c r="C615" t="s">
        <v>20</v>
      </c>
      <c r="D615" t="s">
        <v>27</v>
      </c>
      <c r="E615">
        <v>5400</v>
      </c>
      <c r="F615" t="s">
        <v>49</v>
      </c>
      <c r="G615" t="s">
        <v>15</v>
      </c>
      <c r="H615" t="s">
        <v>16</v>
      </c>
      <c r="I615" t="s">
        <v>17</v>
      </c>
      <c r="J615" t="s">
        <v>50</v>
      </c>
      <c r="K615">
        <v>0.1</v>
      </c>
    </row>
    <row r="616" spans="1:11" x14ac:dyDescent="0.25">
      <c r="A616" t="s">
        <v>654</v>
      </c>
      <c r="B616" s="1">
        <v>45016</v>
      </c>
      <c r="C616" t="s">
        <v>20</v>
      </c>
      <c r="D616" t="s">
        <v>13</v>
      </c>
      <c r="E616">
        <v>500</v>
      </c>
      <c r="F616" t="s">
        <v>49</v>
      </c>
      <c r="G616" t="s">
        <v>28</v>
      </c>
      <c r="H616" t="s">
        <v>16</v>
      </c>
      <c r="I616" t="s">
        <v>17</v>
      </c>
      <c r="J616" t="s">
        <v>50</v>
      </c>
      <c r="K616">
        <v>0</v>
      </c>
    </row>
    <row r="617" spans="1:11" x14ac:dyDescent="0.25">
      <c r="A617" t="s">
        <v>655</v>
      </c>
      <c r="B617" s="1">
        <v>45421</v>
      </c>
      <c r="C617" t="s">
        <v>31</v>
      </c>
      <c r="D617" t="s">
        <v>27</v>
      </c>
      <c r="E617">
        <v>10800</v>
      </c>
      <c r="F617" t="s">
        <v>21</v>
      </c>
      <c r="G617" t="s">
        <v>24</v>
      </c>
      <c r="H617" t="s">
        <v>16</v>
      </c>
      <c r="I617" t="s">
        <v>17</v>
      </c>
      <c r="J617" t="s">
        <v>22</v>
      </c>
      <c r="K617">
        <v>0.1</v>
      </c>
    </row>
    <row r="618" spans="1:11" x14ac:dyDescent="0.25">
      <c r="A618" t="s">
        <v>656</v>
      </c>
      <c r="B618" s="1">
        <v>44952</v>
      </c>
      <c r="C618" t="s">
        <v>20</v>
      </c>
      <c r="D618" t="s">
        <v>13</v>
      </c>
      <c r="E618">
        <v>500</v>
      </c>
      <c r="F618" t="s">
        <v>32</v>
      </c>
      <c r="G618" t="s">
        <v>24</v>
      </c>
      <c r="H618" t="s">
        <v>16</v>
      </c>
      <c r="I618" t="s">
        <v>17</v>
      </c>
      <c r="J618" t="s">
        <v>39</v>
      </c>
      <c r="K618">
        <v>0</v>
      </c>
    </row>
    <row r="619" spans="1:11" x14ac:dyDescent="0.25">
      <c r="A619" t="s">
        <v>657</v>
      </c>
      <c r="B619" s="1">
        <v>45426</v>
      </c>
      <c r="C619" t="s">
        <v>31</v>
      </c>
      <c r="D619" t="s">
        <v>13</v>
      </c>
      <c r="E619">
        <v>1000</v>
      </c>
      <c r="F619" t="s">
        <v>32</v>
      </c>
      <c r="G619" t="s">
        <v>28</v>
      </c>
      <c r="H619" t="s">
        <v>33</v>
      </c>
      <c r="I619" t="s">
        <v>34</v>
      </c>
      <c r="J619" t="s">
        <v>39</v>
      </c>
      <c r="K619">
        <v>0</v>
      </c>
    </row>
    <row r="620" spans="1:11" x14ac:dyDescent="0.25">
      <c r="A620" t="s">
        <v>658</v>
      </c>
      <c r="B620" s="1">
        <v>45231</v>
      </c>
      <c r="C620" t="s">
        <v>20</v>
      </c>
      <c r="D620" t="s">
        <v>13</v>
      </c>
      <c r="E620">
        <v>500</v>
      </c>
      <c r="F620" t="s">
        <v>32</v>
      </c>
      <c r="G620" t="s">
        <v>24</v>
      </c>
      <c r="H620" t="s">
        <v>33</v>
      </c>
      <c r="I620" t="s">
        <v>34</v>
      </c>
      <c r="J620" t="s">
        <v>44</v>
      </c>
      <c r="K620">
        <v>0</v>
      </c>
    </row>
    <row r="621" spans="1:11" x14ac:dyDescent="0.25">
      <c r="A621" t="s">
        <v>659</v>
      </c>
      <c r="B621" s="1">
        <v>45341</v>
      </c>
      <c r="C621" t="s">
        <v>20</v>
      </c>
      <c r="D621" t="s">
        <v>27</v>
      </c>
      <c r="E621">
        <v>5400</v>
      </c>
      <c r="F621" t="s">
        <v>21</v>
      </c>
      <c r="G621" t="s">
        <v>24</v>
      </c>
      <c r="H621" t="s">
        <v>33</v>
      </c>
      <c r="I621" t="s">
        <v>34</v>
      </c>
      <c r="J621" t="s">
        <v>18</v>
      </c>
      <c r="K621">
        <v>0.1</v>
      </c>
    </row>
    <row r="622" spans="1:11" x14ac:dyDescent="0.25">
      <c r="A622" t="s">
        <v>660</v>
      </c>
      <c r="B622" s="1">
        <v>45341</v>
      </c>
      <c r="C622" t="s">
        <v>31</v>
      </c>
      <c r="D622" t="s">
        <v>27</v>
      </c>
      <c r="E622">
        <v>10800</v>
      </c>
      <c r="F622" t="s">
        <v>49</v>
      </c>
      <c r="G622" t="s">
        <v>24</v>
      </c>
      <c r="H622" t="s">
        <v>33</v>
      </c>
      <c r="I622" t="s">
        <v>34</v>
      </c>
      <c r="J622" t="s">
        <v>58</v>
      </c>
      <c r="K622">
        <v>0.1</v>
      </c>
    </row>
    <row r="623" spans="1:11" x14ac:dyDescent="0.25">
      <c r="A623" t="s">
        <v>661</v>
      </c>
      <c r="B623" s="1">
        <v>45430</v>
      </c>
      <c r="C623" t="s">
        <v>20</v>
      </c>
      <c r="D623" t="s">
        <v>27</v>
      </c>
      <c r="E623">
        <v>5400</v>
      </c>
      <c r="F623" t="s">
        <v>21</v>
      </c>
      <c r="G623" t="s">
        <v>24</v>
      </c>
      <c r="H623" t="s">
        <v>16</v>
      </c>
      <c r="I623" t="s">
        <v>17</v>
      </c>
      <c r="J623" t="s">
        <v>18</v>
      </c>
      <c r="K623">
        <v>0.1</v>
      </c>
    </row>
    <row r="624" spans="1:11" x14ac:dyDescent="0.25">
      <c r="A624" t="s">
        <v>662</v>
      </c>
      <c r="B624" s="1">
        <v>45040</v>
      </c>
      <c r="C624" t="s">
        <v>20</v>
      </c>
      <c r="D624" t="s">
        <v>27</v>
      </c>
      <c r="E624">
        <v>5400</v>
      </c>
      <c r="F624" t="s">
        <v>21</v>
      </c>
      <c r="G624" t="s">
        <v>15</v>
      </c>
      <c r="H624" t="s">
        <v>16</v>
      </c>
      <c r="I624" t="s">
        <v>17</v>
      </c>
      <c r="J624" t="s">
        <v>29</v>
      </c>
      <c r="K624">
        <v>0.1</v>
      </c>
    </row>
    <row r="625" spans="1:11" x14ac:dyDescent="0.25">
      <c r="A625" t="s">
        <v>663</v>
      </c>
      <c r="B625" s="1">
        <v>45066</v>
      </c>
      <c r="C625" t="s">
        <v>31</v>
      </c>
      <c r="D625" t="s">
        <v>13</v>
      </c>
      <c r="E625">
        <v>1000</v>
      </c>
      <c r="F625" t="s">
        <v>32</v>
      </c>
      <c r="G625" t="s">
        <v>28</v>
      </c>
      <c r="H625" t="s">
        <v>33</v>
      </c>
      <c r="I625" t="s">
        <v>34</v>
      </c>
      <c r="J625" t="s">
        <v>44</v>
      </c>
      <c r="K625">
        <v>0</v>
      </c>
    </row>
    <row r="626" spans="1:11" x14ac:dyDescent="0.25">
      <c r="A626" t="s">
        <v>664</v>
      </c>
      <c r="B626" s="1">
        <v>45222</v>
      </c>
      <c r="C626" t="s">
        <v>31</v>
      </c>
      <c r="D626" t="s">
        <v>27</v>
      </c>
      <c r="E626">
        <v>10800</v>
      </c>
      <c r="F626" t="s">
        <v>14</v>
      </c>
      <c r="G626" t="s">
        <v>24</v>
      </c>
      <c r="H626" t="s">
        <v>33</v>
      </c>
      <c r="I626" t="s">
        <v>34</v>
      </c>
      <c r="J626" t="s">
        <v>37</v>
      </c>
      <c r="K626">
        <v>0.1</v>
      </c>
    </row>
    <row r="627" spans="1:11" x14ac:dyDescent="0.25">
      <c r="A627" t="s">
        <v>665</v>
      </c>
      <c r="B627" s="1">
        <v>45126</v>
      </c>
      <c r="C627" t="s">
        <v>20</v>
      </c>
      <c r="D627" t="s">
        <v>13</v>
      </c>
      <c r="E627">
        <v>500</v>
      </c>
      <c r="F627" t="s">
        <v>32</v>
      </c>
      <c r="G627" t="s">
        <v>24</v>
      </c>
      <c r="H627" t="s">
        <v>33</v>
      </c>
      <c r="I627" t="s">
        <v>34</v>
      </c>
      <c r="J627" t="s">
        <v>35</v>
      </c>
      <c r="K627">
        <v>0</v>
      </c>
    </row>
    <row r="628" spans="1:11" x14ac:dyDescent="0.25">
      <c r="A628" t="s">
        <v>666</v>
      </c>
      <c r="B628" s="1">
        <v>45563</v>
      </c>
      <c r="C628" t="s">
        <v>20</v>
      </c>
      <c r="D628" t="s">
        <v>13</v>
      </c>
      <c r="E628">
        <v>500</v>
      </c>
      <c r="F628" t="s">
        <v>32</v>
      </c>
      <c r="G628" t="s">
        <v>24</v>
      </c>
      <c r="H628" t="s">
        <v>16</v>
      </c>
      <c r="I628" t="s">
        <v>17</v>
      </c>
      <c r="J628" t="s">
        <v>39</v>
      </c>
      <c r="K628">
        <v>0</v>
      </c>
    </row>
    <row r="629" spans="1:11" x14ac:dyDescent="0.25">
      <c r="A629" t="s">
        <v>667</v>
      </c>
      <c r="B629" s="1">
        <v>45498</v>
      </c>
      <c r="C629" t="s">
        <v>12</v>
      </c>
      <c r="D629" t="s">
        <v>27</v>
      </c>
      <c r="E629">
        <v>16200</v>
      </c>
      <c r="F629" t="s">
        <v>21</v>
      </c>
      <c r="G629" t="s">
        <v>24</v>
      </c>
      <c r="H629" t="s">
        <v>33</v>
      </c>
      <c r="I629" t="s">
        <v>34</v>
      </c>
      <c r="J629" t="s">
        <v>25</v>
      </c>
      <c r="K629">
        <v>0.1</v>
      </c>
    </row>
    <row r="630" spans="1:11" x14ac:dyDescent="0.25">
      <c r="A630" t="s">
        <v>668</v>
      </c>
      <c r="B630" s="1">
        <v>45293</v>
      </c>
      <c r="C630" t="s">
        <v>12</v>
      </c>
      <c r="D630" t="s">
        <v>13</v>
      </c>
      <c r="E630">
        <v>1500</v>
      </c>
      <c r="F630" t="s">
        <v>32</v>
      </c>
      <c r="G630" t="s">
        <v>28</v>
      </c>
      <c r="H630" t="s">
        <v>33</v>
      </c>
      <c r="I630" t="s">
        <v>34</v>
      </c>
      <c r="J630" t="s">
        <v>25</v>
      </c>
      <c r="K630">
        <v>0</v>
      </c>
    </row>
    <row r="631" spans="1:11" x14ac:dyDescent="0.25">
      <c r="A631" t="s">
        <v>669</v>
      </c>
      <c r="B631" s="1">
        <v>44996</v>
      </c>
      <c r="C631" t="s">
        <v>31</v>
      </c>
      <c r="D631" t="s">
        <v>27</v>
      </c>
      <c r="E631">
        <v>10800</v>
      </c>
      <c r="F631" t="s">
        <v>49</v>
      </c>
      <c r="G631" t="s">
        <v>24</v>
      </c>
      <c r="H631" t="s">
        <v>33</v>
      </c>
      <c r="I631" t="s">
        <v>34</v>
      </c>
      <c r="J631" t="s">
        <v>18</v>
      </c>
      <c r="K631">
        <v>0.1</v>
      </c>
    </row>
    <row r="632" spans="1:11" x14ac:dyDescent="0.25">
      <c r="A632" t="s">
        <v>670</v>
      </c>
      <c r="B632" s="1">
        <v>44952</v>
      </c>
      <c r="C632" t="s">
        <v>20</v>
      </c>
      <c r="D632" t="s">
        <v>27</v>
      </c>
      <c r="E632">
        <v>5400</v>
      </c>
      <c r="F632" t="s">
        <v>32</v>
      </c>
      <c r="G632" t="s">
        <v>15</v>
      </c>
      <c r="H632" t="s">
        <v>16</v>
      </c>
      <c r="I632" t="s">
        <v>17</v>
      </c>
      <c r="J632" t="s">
        <v>25</v>
      </c>
      <c r="K632">
        <v>0.1</v>
      </c>
    </row>
    <row r="633" spans="1:11" x14ac:dyDescent="0.25">
      <c r="A633" t="s">
        <v>671</v>
      </c>
      <c r="B633" s="1">
        <v>45621</v>
      </c>
      <c r="C633" t="s">
        <v>31</v>
      </c>
      <c r="D633" t="s">
        <v>13</v>
      </c>
      <c r="E633">
        <v>1000</v>
      </c>
      <c r="F633" t="s">
        <v>21</v>
      </c>
      <c r="G633" t="s">
        <v>28</v>
      </c>
      <c r="H633" t="s">
        <v>16</v>
      </c>
      <c r="I633" t="s">
        <v>17</v>
      </c>
      <c r="J633" t="s">
        <v>22</v>
      </c>
      <c r="K633">
        <v>0</v>
      </c>
    </row>
    <row r="634" spans="1:11" x14ac:dyDescent="0.25">
      <c r="A634" t="s">
        <v>672</v>
      </c>
      <c r="B634" s="1">
        <v>45122</v>
      </c>
      <c r="C634" t="s">
        <v>31</v>
      </c>
      <c r="D634" t="s">
        <v>13</v>
      </c>
      <c r="E634">
        <v>1000</v>
      </c>
      <c r="F634" t="s">
        <v>21</v>
      </c>
      <c r="G634" t="s">
        <v>28</v>
      </c>
      <c r="H634" t="s">
        <v>16</v>
      </c>
      <c r="I634" t="s">
        <v>17</v>
      </c>
      <c r="J634" t="s">
        <v>18</v>
      </c>
      <c r="K634">
        <v>0</v>
      </c>
    </row>
    <row r="635" spans="1:11" x14ac:dyDescent="0.25">
      <c r="A635" t="s">
        <v>673</v>
      </c>
      <c r="B635" s="1">
        <v>45155</v>
      </c>
      <c r="C635" t="s">
        <v>20</v>
      </c>
      <c r="D635" t="s">
        <v>27</v>
      </c>
      <c r="E635">
        <v>5400</v>
      </c>
      <c r="F635" t="s">
        <v>32</v>
      </c>
      <c r="G635" t="s">
        <v>15</v>
      </c>
      <c r="H635" t="s">
        <v>16</v>
      </c>
      <c r="I635" t="s">
        <v>17</v>
      </c>
      <c r="J635" t="s">
        <v>66</v>
      </c>
      <c r="K635">
        <v>0.1</v>
      </c>
    </row>
    <row r="636" spans="1:11" x14ac:dyDescent="0.25">
      <c r="A636" t="s">
        <v>674</v>
      </c>
      <c r="B636" s="1">
        <v>45439</v>
      </c>
      <c r="C636" t="s">
        <v>12</v>
      </c>
      <c r="D636" t="s">
        <v>13</v>
      </c>
      <c r="E636">
        <v>1500</v>
      </c>
      <c r="F636" t="s">
        <v>32</v>
      </c>
      <c r="G636" t="s">
        <v>28</v>
      </c>
      <c r="H636" t="s">
        <v>16</v>
      </c>
      <c r="I636" t="s">
        <v>17</v>
      </c>
      <c r="J636" t="s">
        <v>25</v>
      </c>
      <c r="K636">
        <v>0</v>
      </c>
    </row>
    <row r="637" spans="1:11" x14ac:dyDescent="0.25">
      <c r="A637" t="s">
        <v>675</v>
      </c>
      <c r="B637" s="1">
        <v>45218</v>
      </c>
      <c r="C637" t="s">
        <v>20</v>
      </c>
      <c r="D637" t="s">
        <v>13</v>
      </c>
      <c r="E637">
        <v>500</v>
      </c>
      <c r="F637" t="s">
        <v>32</v>
      </c>
      <c r="G637" t="s">
        <v>24</v>
      </c>
      <c r="H637" t="s">
        <v>33</v>
      </c>
      <c r="I637" t="s">
        <v>34</v>
      </c>
      <c r="J637" t="s">
        <v>25</v>
      </c>
      <c r="K637">
        <v>0</v>
      </c>
    </row>
    <row r="638" spans="1:11" x14ac:dyDescent="0.25">
      <c r="A638" t="s">
        <v>676</v>
      </c>
      <c r="B638" s="1">
        <v>45491</v>
      </c>
      <c r="C638" t="s">
        <v>20</v>
      </c>
      <c r="D638" t="s">
        <v>13</v>
      </c>
      <c r="E638">
        <v>500</v>
      </c>
      <c r="F638" t="s">
        <v>32</v>
      </c>
      <c r="G638" t="s">
        <v>28</v>
      </c>
      <c r="H638" t="s">
        <v>33</v>
      </c>
      <c r="I638" t="s">
        <v>34</v>
      </c>
      <c r="J638" t="s">
        <v>44</v>
      </c>
      <c r="K638">
        <v>0</v>
      </c>
    </row>
    <row r="639" spans="1:11" x14ac:dyDescent="0.25">
      <c r="A639" t="s">
        <v>677</v>
      </c>
      <c r="B639" s="1">
        <v>45206</v>
      </c>
      <c r="C639" t="s">
        <v>20</v>
      </c>
      <c r="D639" t="s">
        <v>27</v>
      </c>
      <c r="E639">
        <v>5400</v>
      </c>
      <c r="F639" t="s">
        <v>21</v>
      </c>
      <c r="G639" t="s">
        <v>24</v>
      </c>
      <c r="H639" t="s">
        <v>33</v>
      </c>
      <c r="I639" t="s">
        <v>34</v>
      </c>
      <c r="J639" t="s">
        <v>22</v>
      </c>
      <c r="K639">
        <v>0.1</v>
      </c>
    </row>
    <row r="640" spans="1:11" x14ac:dyDescent="0.25">
      <c r="A640" t="s">
        <v>678</v>
      </c>
      <c r="B640" s="1">
        <v>45315</v>
      </c>
      <c r="C640" t="s">
        <v>31</v>
      </c>
      <c r="D640" t="s">
        <v>27</v>
      </c>
      <c r="E640">
        <v>10800</v>
      </c>
      <c r="F640" t="s">
        <v>14</v>
      </c>
      <c r="G640" t="s">
        <v>28</v>
      </c>
      <c r="H640" t="s">
        <v>33</v>
      </c>
      <c r="I640" t="s">
        <v>34</v>
      </c>
      <c r="J640" t="s">
        <v>18</v>
      </c>
      <c r="K640">
        <v>0.1</v>
      </c>
    </row>
    <row r="641" spans="1:11" x14ac:dyDescent="0.25">
      <c r="A641" t="s">
        <v>679</v>
      </c>
      <c r="B641" s="1">
        <v>45498</v>
      </c>
      <c r="C641" t="s">
        <v>31</v>
      </c>
      <c r="D641" t="s">
        <v>13</v>
      </c>
      <c r="E641">
        <v>1000</v>
      </c>
      <c r="F641" t="s">
        <v>49</v>
      </c>
      <c r="G641" t="s">
        <v>15</v>
      </c>
      <c r="H641" t="s">
        <v>16</v>
      </c>
      <c r="I641" t="s">
        <v>17</v>
      </c>
      <c r="J641" t="s">
        <v>25</v>
      </c>
      <c r="K641">
        <v>0</v>
      </c>
    </row>
    <row r="642" spans="1:11" x14ac:dyDescent="0.25">
      <c r="A642" t="s">
        <v>680</v>
      </c>
      <c r="B642" s="1">
        <v>45365</v>
      </c>
      <c r="C642" t="s">
        <v>12</v>
      </c>
      <c r="D642" t="s">
        <v>13</v>
      </c>
      <c r="E642">
        <v>1500</v>
      </c>
      <c r="F642" t="s">
        <v>49</v>
      </c>
      <c r="G642" t="s">
        <v>24</v>
      </c>
      <c r="H642" t="s">
        <v>33</v>
      </c>
      <c r="I642" t="s">
        <v>34</v>
      </c>
      <c r="J642" t="s">
        <v>22</v>
      </c>
      <c r="K642">
        <v>0</v>
      </c>
    </row>
    <row r="643" spans="1:11" x14ac:dyDescent="0.25">
      <c r="A643" t="s">
        <v>681</v>
      </c>
      <c r="B643" s="1">
        <v>45425</v>
      </c>
      <c r="C643" t="s">
        <v>31</v>
      </c>
      <c r="D643" t="s">
        <v>13</v>
      </c>
      <c r="E643">
        <v>1000</v>
      </c>
      <c r="F643" t="s">
        <v>32</v>
      </c>
      <c r="G643" t="s">
        <v>28</v>
      </c>
      <c r="H643" t="s">
        <v>33</v>
      </c>
      <c r="I643" t="s">
        <v>34</v>
      </c>
      <c r="J643" t="s">
        <v>66</v>
      </c>
      <c r="K643">
        <v>0</v>
      </c>
    </row>
    <row r="644" spans="1:11" x14ac:dyDescent="0.25">
      <c r="A644" t="s">
        <v>682</v>
      </c>
      <c r="B644" s="1">
        <v>45435</v>
      </c>
      <c r="C644" t="s">
        <v>12</v>
      </c>
      <c r="D644" t="s">
        <v>27</v>
      </c>
      <c r="E644">
        <v>16200</v>
      </c>
      <c r="F644" t="s">
        <v>49</v>
      </c>
      <c r="G644" t="s">
        <v>24</v>
      </c>
      <c r="H644" t="s">
        <v>16</v>
      </c>
      <c r="I644" t="s">
        <v>17</v>
      </c>
      <c r="J644" t="s">
        <v>58</v>
      </c>
      <c r="K644">
        <v>0.1</v>
      </c>
    </row>
    <row r="645" spans="1:11" x14ac:dyDescent="0.25">
      <c r="A645" t="s">
        <v>683</v>
      </c>
      <c r="B645" s="1">
        <v>45033</v>
      </c>
      <c r="C645" t="s">
        <v>20</v>
      </c>
      <c r="D645" t="s">
        <v>13</v>
      </c>
      <c r="E645">
        <v>500</v>
      </c>
      <c r="F645" t="s">
        <v>14</v>
      </c>
      <c r="G645" t="s">
        <v>24</v>
      </c>
      <c r="H645" t="s">
        <v>33</v>
      </c>
      <c r="I645" t="s">
        <v>34</v>
      </c>
      <c r="J645" t="s">
        <v>18</v>
      </c>
      <c r="K645">
        <v>0</v>
      </c>
    </row>
    <row r="646" spans="1:11" x14ac:dyDescent="0.25">
      <c r="A646" t="s">
        <v>684</v>
      </c>
      <c r="B646" s="1">
        <v>45607</v>
      </c>
      <c r="C646" t="s">
        <v>31</v>
      </c>
      <c r="D646" t="s">
        <v>13</v>
      </c>
      <c r="E646">
        <v>1000</v>
      </c>
      <c r="F646" t="s">
        <v>32</v>
      </c>
      <c r="G646" t="s">
        <v>24</v>
      </c>
      <c r="H646" t="s">
        <v>33</v>
      </c>
      <c r="I646" t="s">
        <v>34</v>
      </c>
      <c r="J646" t="s">
        <v>35</v>
      </c>
      <c r="K646">
        <v>0</v>
      </c>
    </row>
    <row r="647" spans="1:11" x14ac:dyDescent="0.25">
      <c r="A647" t="s">
        <v>685</v>
      </c>
      <c r="B647" s="1">
        <v>45027</v>
      </c>
      <c r="C647" t="s">
        <v>12</v>
      </c>
      <c r="D647" t="s">
        <v>27</v>
      </c>
      <c r="E647">
        <v>16200</v>
      </c>
      <c r="F647" t="s">
        <v>21</v>
      </c>
      <c r="G647" t="s">
        <v>15</v>
      </c>
      <c r="H647" t="s">
        <v>16</v>
      </c>
      <c r="I647" t="s">
        <v>17</v>
      </c>
      <c r="J647" t="s">
        <v>29</v>
      </c>
      <c r="K647">
        <v>0.1</v>
      </c>
    </row>
    <row r="648" spans="1:11" x14ac:dyDescent="0.25">
      <c r="A648" t="s">
        <v>686</v>
      </c>
      <c r="B648" s="1">
        <v>45299</v>
      </c>
      <c r="C648" t="s">
        <v>20</v>
      </c>
      <c r="D648" t="s">
        <v>27</v>
      </c>
      <c r="E648">
        <v>5400</v>
      </c>
      <c r="F648" t="s">
        <v>32</v>
      </c>
      <c r="G648" t="s">
        <v>24</v>
      </c>
      <c r="H648" t="s">
        <v>16</v>
      </c>
      <c r="I648" t="s">
        <v>17</v>
      </c>
      <c r="J648" t="s">
        <v>25</v>
      </c>
      <c r="K648">
        <v>0.1</v>
      </c>
    </row>
    <row r="649" spans="1:11" x14ac:dyDescent="0.25">
      <c r="A649" t="s">
        <v>687</v>
      </c>
      <c r="B649" s="1">
        <v>45159</v>
      </c>
      <c r="C649" t="s">
        <v>12</v>
      </c>
      <c r="D649" t="s">
        <v>27</v>
      </c>
      <c r="E649">
        <v>16200</v>
      </c>
      <c r="F649" t="s">
        <v>32</v>
      </c>
      <c r="G649" t="s">
        <v>28</v>
      </c>
      <c r="H649" t="s">
        <v>33</v>
      </c>
      <c r="I649" t="s">
        <v>34</v>
      </c>
      <c r="J649" t="s">
        <v>25</v>
      </c>
      <c r="K649">
        <v>0.1</v>
      </c>
    </row>
    <row r="650" spans="1:11" x14ac:dyDescent="0.25">
      <c r="A650" t="s">
        <v>688</v>
      </c>
      <c r="B650" s="1">
        <v>45073</v>
      </c>
      <c r="C650" t="s">
        <v>12</v>
      </c>
      <c r="D650" t="s">
        <v>27</v>
      </c>
      <c r="E650">
        <v>16200</v>
      </c>
      <c r="F650" t="s">
        <v>49</v>
      </c>
      <c r="G650" t="s">
        <v>28</v>
      </c>
      <c r="H650" t="s">
        <v>16</v>
      </c>
      <c r="I650" t="s">
        <v>17</v>
      </c>
      <c r="J650" t="s">
        <v>35</v>
      </c>
      <c r="K650">
        <v>0.1</v>
      </c>
    </row>
    <row r="651" spans="1:11" x14ac:dyDescent="0.25">
      <c r="A651" t="s">
        <v>689</v>
      </c>
      <c r="B651" s="1">
        <v>45389</v>
      </c>
      <c r="C651" t="s">
        <v>12</v>
      </c>
      <c r="D651" t="s">
        <v>27</v>
      </c>
      <c r="E651">
        <v>16200</v>
      </c>
      <c r="F651" t="s">
        <v>14</v>
      </c>
      <c r="G651" t="s">
        <v>15</v>
      </c>
      <c r="H651" t="s">
        <v>16</v>
      </c>
      <c r="I651" t="s">
        <v>17</v>
      </c>
      <c r="J651" t="s">
        <v>22</v>
      </c>
      <c r="K651">
        <v>0.1</v>
      </c>
    </row>
    <row r="652" spans="1:11" x14ac:dyDescent="0.25">
      <c r="A652" t="s">
        <v>690</v>
      </c>
      <c r="B652" s="1">
        <v>45358</v>
      </c>
      <c r="C652" t="s">
        <v>31</v>
      </c>
      <c r="D652" t="s">
        <v>13</v>
      </c>
      <c r="E652">
        <v>1000</v>
      </c>
      <c r="F652" t="s">
        <v>32</v>
      </c>
      <c r="G652" t="s">
        <v>24</v>
      </c>
      <c r="H652" t="s">
        <v>33</v>
      </c>
      <c r="I652" t="s">
        <v>34</v>
      </c>
      <c r="J652" t="s">
        <v>35</v>
      </c>
      <c r="K652">
        <v>0</v>
      </c>
    </row>
    <row r="653" spans="1:11" x14ac:dyDescent="0.25">
      <c r="A653" t="s">
        <v>691</v>
      </c>
      <c r="B653" s="1">
        <v>45033</v>
      </c>
      <c r="C653" t="s">
        <v>20</v>
      </c>
      <c r="D653" t="s">
        <v>27</v>
      </c>
      <c r="E653">
        <v>5400</v>
      </c>
      <c r="F653" t="s">
        <v>32</v>
      </c>
      <c r="G653" t="s">
        <v>28</v>
      </c>
      <c r="H653" t="s">
        <v>33</v>
      </c>
      <c r="I653" t="s">
        <v>34</v>
      </c>
      <c r="J653" t="s">
        <v>25</v>
      </c>
      <c r="K653">
        <v>0.1</v>
      </c>
    </row>
    <row r="654" spans="1:11" x14ac:dyDescent="0.25">
      <c r="A654" t="s">
        <v>692</v>
      </c>
      <c r="B654" s="1">
        <v>45125</v>
      </c>
      <c r="C654" t="s">
        <v>31</v>
      </c>
      <c r="D654" t="s">
        <v>27</v>
      </c>
      <c r="E654">
        <v>10800</v>
      </c>
      <c r="F654" t="s">
        <v>14</v>
      </c>
      <c r="G654" t="s">
        <v>24</v>
      </c>
      <c r="H654" t="s">
        <v>33</v>
      </c>
      <c r="I654" t="s">
        <v>34</v>
      </c>
      <c r="J654" t="s">
        <v>55</v>
      </c>
      <c r="K654">
        <v>0.1</v>
      </c>
    </row>
    <row r="655" spans="1:11" x14ac:dyDescent="0.25">
      <c r="A655" t="s">
        <v>693</v>
      </c>
      <c r="B655" s="1">
        <v>45269</v>
      </c>
      <c r="C655" t="s">
        <v>20</v>
      </c>
      <c r="D655" t="s">
        <v>27</v>
      </c>
      <c r="E655">
        <v>5400</v>
      </c>
      <c r="F655" t="s">
        <v>21</v>
      </c>
      <c r="G655" t="s">
        <v>24</v>
      </c>
      <c r="H655" t="s">
        <v>33</v>
      </c>
      <c r="I655" t="s">
        <v>34</v>
      </c>
      <c r="J655" t="s">
        <v>18</v>
      </c>
      <c r="K655">
        <v>0.1</v>
      </c>
    </row>
    <row r="656" spans="1:11" x14ac:dyDescent="0.25">
      <c r="A656" t="s">
        <v>694</v>
      </c>
      <c r="B656" s="1">
        <v>45012</v>
      </c>
      <c r="C656" t="s">
        <v>31</v>
      </c>
      <c r="D656" t="s">
        <v>27</v>
      </c>
      <c r="E656">
        <v>10800</v>
      </c>
      <c r="F656" t="s">
        <v>32</v>
      </c>
      <c r="G656" t="s">
        <v>28</v>
      </c>
      <c r="H656" t="s">
        <v>16</v>
      </c>
      <c r="I656" t="s">
        <v>17</v>
      </c>
      <c r="J656" t="s">
        <v>35</v>
      </c>
      <c r="K656">
        <v>0.1</v>
      </c>
    </row>
    <row r="657" spans="1:11" x14ac:dyDescent="0.25">
      <c r="A657" t="s">
        <v>695</v>
      </c>
      <c r="B657" s="1">
        <v>45082</v>
      </c>
      <c r="C657" t="s">
        <v>12</v>
      </c>
      <c r="D657" t="s">
        <v>13</v>
      </c>
      <c r="E657">
        <v>1500</v>
      </c>
      <c r="F657" t="s">
        <v>49</v>
      </c>
      <c r="G657" t="s">
        <v>24</v>
      </c>
      <c r="H657" t="s">
        <v>33</v>
      </c>
      <c r="I657" t="s">
        <v>34</v>
      </c>
      <c r="J657" t="s">
        <v>35</v>
      </c>
      <c r="K657">
        <v>0</v>
      </c>
    </row>
    <row r="658" spans="1:11" x14ac:dyDescent="0.25">
      <c r="A658" t="s">
        <v>696</v>
      </c>
      <c r="B658" s="1">
        <v>45088</v>
      </c>
      <c r="C658" t="s">
        <v>12</v>
      </c>
      <c r="D658" t="s">
        <v>13</v>
      </c>
      <c r="E658">
        <v>1500</v>
      </c>
      <c r="F658" t="s">
        <v>49</v>
      </c>
      <c r="G658" t="s">
        <v>24</v>
      </c>
      <c r="H658" t="s">
        <v>16</v>
      </c>
      <c r="I658" t="s">
        <v>17</v>
      </c>
      <c r="J658" t="s">
        <v>35</v>
      </c>
      <c r="K658">
        <v>0</v>
      </c>
    </row>
    <row r="659" spans="1:11" x14ac:dyDescent="0.25">
      <c r="A659" t="s">
        <v>697</v>
      </c>
      <c r="B659" s="1">
        <v>45448</v>
      </c>
      <c r="C659" t="s">
        <v>31</v>
      </c>
      <c r="D659" t="s">
        <v>27</v>
      </c>
      <c r="E659">
        <v>10800</v>
      </c>
      <c r="F659" t="s">
        <v>21</v>
      </c>
      <c r="G659" t="s">
        <v>15</v>
      </c>
      <c r="H659" t="s">
        <v>16</v>
      </c>
      <c r="I659" t="s">
        <v>17</v>
      </c>
      <c r="J659" t="s">
        <v>29</v>
      </c>
      <c r="K659">
        <v>0.1</v>
      </c>
    </row>
    <row r="660" spans="1:11" x14ac:dyDescent="0.25">
      <c r="A660" t="s">
        <v>698</v>
      </c>
      <c r="B660" s="1">
        <v>44965</v>
      </c>
      <c r="C660" t="s">
        <v>20</v>
      </c>
      <c r="D660" t="s">
        <v>27</v>
      </c>
      <c r="E660">
        <v>5400</v>
      </c>
      <c r="F660" t="s">
        <v>14</v>
      </c>
      <c r="G660" t="s">
        <v>24</v>
      </c>
      <c r="H660" t="s">
        <v>16</v>
      </c>
      <c r="I660" t="s">
        <v>17</v>
      </c>
      <c r="J660" t="s">
        <v>55</v>
      </c>
      <c r="K660">
        <v>0.1</v>
      </c>
    </row>
    <row r="661" spans="1:11" x14ac:dyDescent="0.25">
      <c r="A661" t="s">
        <v>699</v>
      </c>
      <c r="B661" s="1">
        <v>45211</v>
      </c>
      <c r="C661" t="s">
        <v>31</v>
      </c>
      <c r="D661" t="s">
        <v>13</v>
      </c>
      <c r="E661">
        <v>1000</v>
      </c>
      <c r="F661" t="s">
        <v>21</v>
      </c>
      <c r="G661" t="s">
        <v>24</v>
      </c>
      <c r="H661" t="s">
        <v>33</v>
      </c>
      <c r="I661" t="s">
        <v>34</v>
      </c>
      <c r="J661" t="s">
        <v>25</v>
      </c>
      <c r="K661">
        <v>0</v>
      </c>
    </row>
    <row r="662" spans="1:11" x14ac:dyDescent="0.25">
      <c r="A662" t="s">
        <v>700</v>
      </c>
      <c r="B662" s="1">
        <v>45249</v>
      </c>
      <c r="C662" t="s">
        <v>12</v>
      </c>
      <c r="D662" t="s">
        <v>13</v>
      </c>
      <c r="E662">
        <v>1500</v>
      </c>
      <c r="F662" t="s">
        <v>49</v>
      </c>
      <c r="G662" t="s">
        <v>28</v>
      </c>
      <c r="H662" t="s">
        <v>16</v>
      </c>
      <c r="I662" t="s">
        <v>17</v>
      </c>
      <c r="J662" t="s">
        <v>18</v>
      </c>
      <c r="K662">
        <v>0</v>
      </c>
    </row>
    <row r="663" spans="1:11" x14ac:dyDescent="0.25">
      <c r="A663" t="s">
        <v>701</v>
      </c>
      <c r="B663" s="1">
        <v>45478</v>
      </c>
      <c r="C663" t="s">
        <v>12</v>
      </c>
      <c r="D663" t="s">
        <v>13</v>
      </c>
      <c r="E663">
        <v>1500</v>
      </c>
      <c r="F663" t="s">
        <v>14</v>
      </c>
      <c r="G663" t="s">
        <v>24</v>
      </c>
      <c r="H663" t="s">
        <v>16</v>
      </c>
      <c r="I663" t="s">
        <v>17</v>
      </c>
      <c r="J663" t="s">
        <v>41</v>
      </c>
      <c r="K663">
        <v>0</v>
      </c>
    </row>
    <row r="664" spans="1:11" x14ac:dyDescent="0.25">
      <c r="A664" t="s">
        <v>702</v>
      </c>
      <c r="B664" s="1">
        <v>45167</v>
      </c>
      <c r="C664" t="s">
        <v>20</v>
      </c>
      <c r="D664" t="s">
        <v>13</v>
      </c>
      <c r="E664">
        <v>500</v>
      </c>
      <c r="F664" t="s">
        <v>49</v>
      </c>
      <c r="G664" t="s">
        <v>28</v>
      </c>
      <c r="H664" t="s">
        <v>16</v>
      </c>
      <c r="I664" t="s">
        <v>17</v>
      </c>
      <c r="J664" t="s">
        <v>22</v>
      </c>
      <c r="K664">
        <v>0</v>
      </c>
    </row>
    <row r="665" spans="1:11" x14ac:dyDescent="0.25">
      <c r="A665" t="s">
        <v>703</v>
      </c>
      <c r="B665" s="1">
        <v>45656</v>
      </c>
      <c r="C665" t="s">
        <v>12</v>
      </c>
      <c r="D665" t="s">
        <v>27</v>
      </c>
      <c r="E665">
        <v>16200</v>
      </c>
      <c r="F665" t="s">
        <v>32</v>
      </c>
      <c r="G665" t="s">
        <v>24</v>
      </c>
      <c r="H665" t="s">
        <v>16</v>
      </c>
      <c r="I665" t="s">
        <v>17</v>
      </c>
      <c r="J665" t="s">
        <v>25</v>
      </c>
      <c r="K665">
        <v>0.1</v>
      </c>
    </row>
    <row r="666" spans="1:11" x14ac:dyDescent="0.25">
      <c r="A666" t="s">
        <v>704</v>
      </c>
      <c r="B666" s="1">
        <v>45518</v>
      </c>
      <c r="C666" t="s">
        <v>20</v>
      </c>
      <c r="D666" t="s">
        <v>13</v>
      </c>
      <c r="E666">
        <v>500</v>
      </c>
      <c r="F666" t="s">
        <v>14</v>
      </c>
      <c r="G666" t="s">
        <v>24</v>
      </c>
      <c r="H666" t="s">
        <v>16</v>
      </c>
      <c r="I666" t="s">
        <v>17</v>
      </c>
      <c r="J666" t="s">
        <v>41</v>
      </c>
      <c r="K666">
        <v>0</v>
      </c>
    </row>
    <row r="667" spans="1:11" x14ac:dyDescent="0.25">
      <c r="A667" t="s">
        <v>705</v>
      </c>
      <c r="B667" s="1">
        <v>45176</v>
      </c>
      <c r="C667" t="s">
        <v>20</v>
      </c>
      <c r="D667" t="s">
        <v>13</v>
      </c>
      <c r="E667">
        <v>500</v>
      </c>
      <c r="F667" t="s">
        <v>49</v>
      </c>
      <c r="G667" t="s">
        <v>24</v>
      </c>
      <c r="H667" t="s">
        <v>33</v>
      </c>
      <c r="I667" t="s">
        <v>34</v>
      </c>
      <c r="J667" t="s">
        <v>22</v>
      </c>
      <c r="K667">
        <v>0</v>
      </c>
    </row>
    <row r="668" spans="1:11" x14ac:dyDescent="0.25">
      <c r="A668" t="s">
        <v>706</v>
      </c>
      <c r="B668" s="1">
        <v>45487</v>
      </c>
      <c r="C668" t="s">
        <v>31</v>
      </c>
      <c r="D668" t="s">
        <v>13</v>
      </c>
      <c r="E668">
        <v>1000</v>
      </c>
      <c r="F668" t="s">
        <v>32</v>
      </c>
      <c r="G668" t="s">
        <v>15</v>
      </c>
      <c r="H668" t="s">
        <v>16</v>
      </c>
      <c r="I668" t="s">
        <v>17</v>
      </c>
      <c r="J668" t="s">
        <v>35</v>
      </c>
      <c r="K668">
        <v>0</v>
      </c>
    </row>
    <row r="669" spans="1:11" x14ac:dyDescent="0.25">
      <c r="A669" t="s">
        <v>707</v>
      </c>
      <c r="B669" s="1">
        <v>45597</v>
      </c>
      <c r="C669" t="s">
        <v>20</v>
      </c>
      <c r="D669" t="s">
        <v>13</v>
      </c>
      <c r="E669">
        <v>500</v>
      </c>
      <c r="F669" t="s">
        <v>49</v>
      </c>
      <c r="G669" t="s">
        <v>24</v>
      </c>
      <c r="H669" t="s">
        <v>33</v>
      </c>
      <c r="I669" t="s">
        <v>34</v>
      </c>
      <c r="J669" t="s">
        <v>22</v>
      </c>
      <c r="K669">
        <v>0</v>
      </c>
    </row>
    <row r="670" spans="1:11" x14ac:dyDescent="0.25">
      <c r="A670" t="s">
        <v>708</v>
      </c>
      <c r="B670" s="1">
        <v>45360</v>
      </c>
      <c r="C670" t="s">
        <v>12</v>
      </c>
      <c r="D670" t="s">
        <v>13</v>
      </c>
      <c r="E670">
        <v>1500</v>
      </c>
      <c r="F670" t="s">
        <v>14</v>
      </c>
      <c r="G670" t="s">
        <v>15</v>
      </c>
      <c r="H670" t="s">
        <v>16</v>
      </c>
      <c r="I670" t="s">
        <v>17</v>
      </c>
      <c r="J670" t="s">
        <v>41</v>
      </c>
      <c r="K670">
        <v>0</v>
      </c>
    </row>
    <row r="671" spans="1:11" x14ac:dyDescent="0.25">
      <c r="A671" t="s">
        <v>709</v>
      </c>
      <c r="B671" s="1">
        <v>45577</v>
      </c>
      <c r="C671" t="s">
        <v>12</v>
      </c>
      <c r="D671" t="s">
        <v>27</v>
      </c>
      <c r="E671">
        <v>16200</v>
      </c>
      <c r="F671" t="s">
        <v>49</v>
      </c>
      <c r="G671" t="s">
        <v>28</v>
      </c>
      <c r="H671" t="s">
        <v>33</v>
      </c>
      <c r="I671" t="s">
        <v>34</v>
      </c>
      <c r="J671" t="s">
        <v>50</v>
      </c>
      <c r="K671">
        <v>0.1</v>
      </c>
    </row>
    <row r="672" spans="1:11" x14ac:dyDescent="0.25">
      <c r="A672" t="s">
        <v>710</v>
      </c>
      <c r="B672" s="1">
        <v>45087</v>
      </c>
      <c r="C672" t="s">
        <v>31</v>
      </c>
      <c r="D672" t="s">
        <v>27</v>
      </c>
      <c r="E672">
        <v>10800</v>
      </c>
      <c r="F672" t="s">
        <v>32</v>
      </c>
      <c r="G672" t="s">
        <v>15</v>
      </c>
      <c r="H672" t="s">
        <v>16</v>
      </c>
      <c r="I672" t="s">
        <v>17</v>
      </c>
      <c r="J672" t="s">
        <v>44</v>
      </c>
      <c r="K672">
        <v>0.1</v>
      </c>
    </row>
    <row r="673" spans="1:11" x14ac:dyDescent="0.25">
      <c r="A673" t="s">
        <v>711</v>
      </c>
      <c r="B673" s="1">
        <v>45453</v>
      </c>
      <c r="C673" t="s">
        <v>20</v>
      </c>
      <c r="D673" t="s">
        <v>13</v>
      </c>
      <c r="E673">
        <v>500</v>
      </c>
      <c r="F673" t="s">
        <v>32</v>
      </c>
      <c r="G673" t="s">
        <v>24</v>
      </c>
      <c r="H673" t="s">
        <v>33</v>
      </c>
      <c r="I673" t="s">
        <v>34</v>
      </c>
      <c r="J673" t="s">
        <v>39</v>
      </c>
      <c r="K673">
        <v>0</v>
      </c>
    </row>
    <row r="674" spans="1:11" x14ac:dyDescent="0.25">
      <c r="A674" t="s">
        <v>712</v>
      </c>
      <c r="B674" s="1">
        <v>45490</v>
      </c>
      <c r="C674" t="s">
        <v>12</v>
      </c>
      <c r="D674" t="s">
        <v>13</v>
      </c>
      <c r="E674">
        <v>1500</v>
      </c>
      <c r="F674" t="s">
        <v>21</v>
      </c>
      <c r="G674" t="s">
        <v>24</v>
      </c>
      <c r="H674" t="s">
        <v>16</v>
      </c>
      <c r="I674" t="s">
        <v>17</v>
      </c>
      <c r="J674" t="s">
        <v>29</v>
      </c>
      <c r="K674">
        <v>0</v>
      </c>
    </row>
    <row r="675" spans="1:11" x14ac:dyDescent="0.25">
      <c r="A675" t="s">
        <v>713</v>
      </c>
      <c r="B675" s="1">
        <v>45305</v>
      </c>
      <c r="C675" t="s">
        <v>12</v>
      </c>
      <c r="D675" t="s">
        <v>13</v>
      </c>
      <c r="E675">
        <v>1500</v>
      </c>
      <c r="F675" t="s">
        <v>32</v>
      </c>
      <c r="G675" t="s">
        <v>24</v>
      </c>
      <c r="H675" t="s">
        <v>16</v>
      </c>
      <c r="I675" t="s">
        <v>17</v>
      </c>
      <c r="J675" t="s">
        <v>44</v>
      </c>
      <c r="K675">
        <v>0</v>
      </c>
    </row>
    <row r="676" spans="1:11" x14ac:dyDescent="0.25">
      <c r="A676" t="s">
        <v>714</v>
      </c>
      <c r="B676" s="1">
        <v>45027</v>
      </c>
      <c r="C676" t="s">
        <v>12</v>
      </c>
      <c r="D676" t="s">
        <v>27</v>
      </c>
      <c r="E676">
        <v>16200</v>
      </c>
      <c r="F676" t="s">
        <v>49</v>
      </c>
      <c r="G676" t="s">
        <v>24</v>
      </c>
      <c r="H676" t="s">
        <v>33</v>
      </c>
      <c r="I676" t="s">
        <v>34</v>
      </c>
      <c r="J676" t="s">
        <v>18</v>
      </c>
      <c r="K676">
        <v>0.1</v>
      </c>
    </row>
    <row r="677" spans="1:11" x14ac:dyDescent="0.25">
      <c r="A677" t="s">
        <v>715</v>
      </c>
      <c r="B677" s="1">
        <v>45022</v>
      </c>
      <c r="C677" t="s">
        <v>20</v>
      </c>
      <c r="D677" t="s">
        <v>27</v>
      </c>
      <c r="E677">
        <v>5400</v>
      </c>
      <c r="F677" t="s">
        <v>49</v>
      </c>
      <c r="G677" t="s">
        <v>28</v>
      </c>
      <c r="H677" t="s">
        <v>33</v>
      </c>
      <c r="I677" t="s">
        <v>34</v>
      </c>
      <c r="J677" t="s">
        <v>35</v>
      </c>
      <c r="K677">
        <v>0.1</v>
      </c>
    </row>
    <row r="678" spans="1:11" x14ac:dyDescent="0.25">
      <c r="A678" t="s">
        <v>716</v>
      </c>
      <c r="B678" s="1">
        <v>44950</v>
      </c>
      <c r="C678" t="s">
        <v>31</v>
      </c>
      <c r="D678" t="s">
        <v>13</v>
      </c>
      <c r="E678">
        <v>1000</v>
      </c>
      <c r="F678" t="s">
        <v>32</v>
      </c>
      <c r="G678" t="s">
        <v>24</v>
      </c>
      <c r="H678" t="s">
        <v>33</v>
      </c>
      <c r="I678" t="s">
        <v>34</v>
      </c>
      <c r="J678" t="s">
        <v>44</v>
      </c>
      <c r="K678">
        <v>0</v>
      </c>
    </row>
    <row r="679" spans="1:11" x14ac:dyDescent="0.25">
      <c r="A679" t="s">
        <v>717</v>
      </c>
      <c r="B679" s="1">
        <v>45376</v>
      </c>
      <c r="C679" t="s">
        <v>20</v>
      </c>
      <c r="D679" t="s">
        <v>13</v>
      </c>
      <c r="E679">
        <v>500</v>
      </c>
      <c r="F679" t="s">
        <v>14</v>
      </c>
      <c r="G679" t="s">
        <v>28</v>
      </c>
      <c r="H679" t="s">
        <v>16</v>
      </c>
      <c r="I679" t="s">
        <v>17</v>
      </c>
      <c r="J679" t="s">
        <v>55</v>
      </c>
      <c r="K679">
        <v>0</v>
      </c>
    </row>
    <row r="680" spans="1:11" x14ac:dyDescent="0.25">
      <c r="A680" t="s">
        <v>718</v>
      </c>
      <c r="B680" s="1">
        <v>45628</v>
      </c>
      <c r="C680" t="s">
        <v>31</v>
      </c>
      <c r="D680" t="s">
        <v>13</v>
      </c>
      <c r="E680">
        <v>1000</v>
      </c>
      <c r="F680" t="s">
        <v>21</v>
      </c>
      <c r="G680" t="s">
        <v>28</v>
      </c>
      <c r="H680" t="s">
        <v>16</v>
      </c>
      <c r="I680" t="s">
        <v>17</v>
      </c>
      <c r="J680" t="s">
        <v>22</v>
      </c>
      <c r="K680">
        <v>0</v>
      </c>
    </row>
    <row r="681" spans="1:11" x14ac:dyDescent="0.25">
      <c r="A681" t="s">
        <v>719</v>
      </c>
      <c r="B681" s="1">
        <v>45389</v>
      </c>
      <c r="C681" t="s">
        <v>20</v>
      </c>
      <c r="D681" t="s">
        <v>27</v>
      </c>
      <c r="E681">
        <v>5400</v>
      </c>
      <c r="F681" t="s">
        <v>14</v>
      </c>
      <c r="G681" t="s">
        <v>15</v>
      </c>
      <c r="H681" t="s">
        <v>16</v>
      </c>
      <c r="I681" t="s">
        <v>17</v>
      </c>
      <c r="J681" t="s">
        <v>22</v>
      </c>
      <c r="K681">
        <v>0.1</v>
      </c>
    </row>
    <row r="682" spans="1:11" x14ac:dyDescent="0.25">
      <c r="A682" t="s">
        <v>720</v>
      </c>
      <c r="B682" s="1">
        <v>45304</v>
      </c>
      <c r="C682" t="s">
        <v>20</v>
      </c>
      <c r="D682" t="s">
        <v>27</v>
      </c>
      <c r="E682">
        <v>5400</v>
      </c>
      <c r="F682" t="s">
        <v>14</v>
      </c>
      <c r="G682" t="s">
        <v>28</v>
      </c>
      <c r="H682" t="s">
        <v>16</v>
      </c>
      <c r="I682" t="s">
        <v>17</v>
      </c>
      <c r="J682" t="s">
        <v>41</v>
      </c>
      <c r="K682">
        <v>0.1</v>
      </c>
    </row>
    <row r="683" spans="1:11" x14ac:dyDescent="0.25">
      <c r="A683" t="s">
        <v>721</v>
      </c>
      <c r="B683" s="1">
        <v>45407</v>
      </c>
      <c r="C683" t="s">
        <v>12</v>
      </c>
      <c r="D683" t="s">
        <v>13</v>
      </c>
      <c r="E683">
        <v>1500</v>
      </c>
      <c r="F683" t="s">
        <v>21</v>
      </c>
      <c r="G683" t="s">
        <v>28</v>
      </c>
      <c r="H683" t="s">
        <v>33</v>
      </c>
      <c r="I683" t="s">
        <v>34</v>
      </c>
      <c r="J683" t="s">
        <v>18</v>
      </c>
      <c r="K683">
        <v>0</v>
      </c>
    </row>
    <row r="684" spans="1:11" x14ac:dyDescent="0.25">
      <c r="A684" t="s">
        <v>722</v>
      </c>
      <c r="B684" s="1">
        <v>45019</v>
      </c>
      <c r="C684" t="s">
        <v>12</v>
      </c>
      <c r="D684" t="s">
        <v>13</v>
      </c>
      <c r="E684">
        <v>1500</v>
      </c>
      <c r="F684" t="s">
        <v>14</v>
      </c>
      <c r="G684" t="s">
        <v>24</v>
      </c>
      <c r="H684" t="s">
        <v>33</v>
      </c>
      <c r="I684" t="s">
        <v>34</v>
      </c>
      <c r="J684" t="s">
        <v>55</v>
      </c>
      <c r="K684">
        <v>0</v>
      </c>
    </row>
    <row r="685" spans="1:11" x14ac:dyDescent="0.25">
      <c r="A685" t="s">
        <v>723</v>
      </c>
      <c r="B685" s="1">
        <v>45593</v>
      </c>
      <c r="C685" t="s">
        <v>12</v>
      </c>
      <c r="D685" t="s">
        <v>27</v>
      </c>
      <c r="E685">
        <v>16200</v>
      </c>
      <c r="F685" t="s">
        <v>21</v>
      </c>
      <c r="G685" t="s">
        <v>24</v>
      </c>
      <c r="H685" t="s">
        <v>33</v>
      </c>
      <c r="I685" t="s">
        <v>34</v>
      </c>
      <c r="J685" t="s">
        <v>18</v>
      </c>
      <c r="K685">
        <v>0.1</v>
      </c>
    </row>
    <row r="686" spans="1:11" x14ac:dyDescent="0.25">
      <c r="A686" t="s">
        <v>724</v>
      </c>
      <c r="B686" s="1">
        <v>45131</v>
      </c>
      <c r="C686" t="s">
        <v>20</v>
      </c>
      <c r="D686" t="s">
        <v>13</v>
      </c>
      <c r="E686">
        <v>500</v>
      </c>
      <c r="F686" t="s">
        <v>21</v>
      </c>
      <c r="G686" t="s">
        <v>28</v>
      </c>
      <c r="H686" t="s">
        <v>16</v>
      </c>
      <c r="I686" t="s">
        <v>17</v>
      </c>
      <c r="J686" t="s">
        <v>18</v>
      </c>
      <c r="K686">
        <v>0</v>
      </c>
    </row>
    <row r="687" spans="1:11" x14ac:dyDescent="0.25">
      <c r="A687" t="s">
        <v>725</v>
      </c>
      <c r="B687" s="1">
        <v>44958</v>
      </c>
      <c r="C687" t="s">
        <v>12</v>
      </c>
      <c r="D687" t="s">
        <v>27</v>
      </c>
      <c r="E687">
        <v>16200</v>
      </c>
      <c r="F687" t="s">
        <v>49</v>
      </c>
      <c r="G687" t="s">
        <v>28</v>
      </c>
      <c r="H687" t="s">
        <v>16</v>
      </c>
      <c r="I687" t="s">
        <v>17</v>
      </c>
      <c r="J687" t="s">
        <v>50</v>
      </c>
      <c r="K687">
        <v>0.1</v>
      </c>
    </row>
    <row r="688" spans="1:11" x14ac:dyDescent="0.25">
      <c r="A688" t="s">
        <v>726</v>
      </c>
      <c r="B688" s="1">
        <v>45079</v>
      </c>
      <c r="C688" t="s">
        <v>31</v>
      </c>
      <c r="D688" t="s">
        <v>13</v>
      </c>
      <c r="E688">
        <v>1000</v>
      </c>
      <c r="F688" t="s">
        <v>21</v>
      </c>
      <c r="G688" t="s">
        <v>28</v>
      </c>
      <c r="H688" t="s">
        <v>33</v>
      </c>
      <c r="I688" t="s">
        <v>34</v>
      </c>
      <c r="J688" t="s">
        <v>18</v>
      </c>
      <c r="K688">
        <v>0</v>
      </c>
    </row>
    <row r="689" spans="1:11" x14ac:dyDescent="0.25">
      <c r="A689" t="s">
        <v>727</v>
      </c>
      <c r="B689" s="1">
        <v>45055</v>
      </c>
      <c r="C689" t="s">
        <v>20</v>
      </c>
      <c r="D689" t="s">
        <v>13</v>
      </c>
      <c r="E689">
        <v>500</v>
      </c>
      <c r="F689" t="s">
        <v>32</v>
      </c>
      <c r="G689" t="s">
        <v>28</v>
      </c>
      <c r="H689" t="s">
        <v>16</v>
      </c>
      <c r="I689" t="s">
        <v>17</v>
      </c>
      <c r="J689" t="s">
        <v>39</v>
      </c>
      <c r="K689">
        <v>0</v>
      </c>
    </row>
    <row r="690" spans="1:11" x14ac:dyDescent="0.25">
      <c r="A690" t="s">
        <v>728</v>
      </c>
      <c r="B690" s="1">
        <v>45527</v>
      </c>
      <c r="C690" t="s">
        <v>12</v>
      </c>
      <c r="D690" t="s">
        <v>27</v>
      </c>
      <c r="E690">
        <v>16200</v>
      </c>
      <c r="F690" t="s">
        <v>14</v>
      </c>
      <c r="G690" t="s">
        <v>24</v>
      </c>
      <c r="H690" t="s">
        <v>33</v>
      </c>
      <c r="I690" t="s">
        <v>34</v>
      </c>
      <c r="J690" t="s">
        <v>55</v>
      </c>
      <c r="K690">
        <v>0.1</v>
      </c>
    </row>
    <row r="691" spans="1:11" x14ac:dyDescent="0.25">
      <c r="A691" t="s">
        <v>729</v>
      </c>
      <c r="B691" s="1">
        <v>45361</v>
      </c>
      <c r="C691" t="s">
        <v>12</v>
      </c>
      <c r="D691" t="s">
        <v>27</v>
      </c>
      <c r="E691">
        <v>16200</v>
      </c>
      <c r="F691" t="s">
        <v>32</v>
      </c>
      <c r="G691" t="s">
        <v>28</v>
      </c>
      <c r="H691" t="s">
        <v>33</v>
      </c>
      <c r="I691" t="s">
        <v>34</v>
      </c>
      <c r="J691" t="s">
        <v>25</v>
      </c>
      <c r="K691">
        <v>0.1</v>
      </c>
    </row>
    <row r="692" spans="1:11" x14ac:dyDescent="0.25">
      <c r="A692" t="s">
        <v>730</v>
      </c>
      <c r="B692" s="1">
        <v>45340</v>
      </c>
      <c r="C692" t="s">
        <v>20</v>
      </c>
      <c r="D692" t="s">
        <v>13</v>
      </c>
      <c r="E692">
        <v>500</v>
      </c>
      <c r="F692" t="s">
        <v>32</v>
      </c>
      <c r="G692" t="s">
        <v>24</v>
      </c>
      <c r="H692" t="s">
        <v>33</v>
      </c>
      <c r="I692" t="s">
        <v>34</v>
      </c>
      <c r="J692" t="s">
        <v>39</v>
      </c>
      <c r="K692">
        <v>0</v>
      </c>
    </row>
    <row r="693" spans="1:11" x14ac:dyDescent="0.25">
      <c r="A693" t="s">
        <v>731</v>
      </c>
      <c r="B693" s="1">
        <v>45154</v>
      </c>
      <c r="C693" t="s">
        <v>12</v>
      </c>
      <c r="D693" t="s">
        <v>27</v>
      </c>
      <c r="E693">
        <v>16200</v>
      </c>
      <c r="F693" t="s">
        <v>32</v>
      </c>
      <c r="G693" t="s">
        <v>24</v>
      </c>
      <c r="H693" t="s">
        <v>33</v>
      </c>
      <c r="I693" t="s">
        <v>34</v>
      </c>
      <c r="J693" t="s">
        <v>35</v>
      </c>
      <c r="K693">
        <v>0.1</v>
      </c>
    </row>
    <row r="694" spans="1:11" x14ac:dyDescent="0.25">
      <c r="A694" t="s">
        <v>732</v>
      </c>
      <c r="B694" s="1">
        <v>45049</v>
      </c>
      <c r="C694" t="s">
        <v>12</v>
      </c>
      <c r="D694" t="s">
        <v>13</v>
      </c>
      <c r="E694">
        <v>1500</v>
      </c>
      <c r="F694" t="s">
        <v>14</v>
      </c>
      <c r="G694" t="s">
        <v>24</v>
      </c>
      <c r="H694" t="s">
        <v>33</v>
      </c>
      <c r="I694" t="s">
        <v>34</v>
      </c>
      <c r="J694" t="s">
        <v>55</v>
      </c>
      <c r="K694">
        <v>0</v>
      </c>
    </row>
    <row r="695" spans="1:11" x14ac:dyDescent="0.25">
      <c r="A695" t="s">
        <v>733</v>
      </c>
      <c r="B695" s="1">
        <v>45590</v>
      </c>
      <c r="C695" t="s">
        <v>20</v>
      </c>
      <c r="D695" t="s">
        <v>27</v>
      </c>
      <c r="E695">
        <v>5400</v>
      </c>
      <c r="F695" t="s">
        <v>14</v>
      </c>
      <c r="G695" t="s">
        <v>24</v>
      </c>
      <c r="H695" t="s">
        <v>33</v>
      </c>
      <c r="I695" t="s">
        <v>34</v>
      </c>
      <c r="J695" t="s">
        <v>37</v>
      </c>
      <c r="K695">
        <v>0.1</v>
      </c>
    </row>
    <row r="696" spans="1:11" x14ac:dyDescent="0.25">
      <c r="A696" t="s">
        <v>734</v>
      </c>
      <c r="B696" s="1">
        <v>45311</v>
      </c>
      <c r="C696" t="s">
        <v>20</v>
      </c>
      <c r="D696" t="s">
        <v>13</v>
      </c>
      <c r="E696">
        <v>500</v>
      </c>
      <c r="F696" t="s">
        <v>49</v>
      </c>
      <c r="G696" t="s">
        <v>28</v>
      </c>
      <c r="H696" t="s">
        <v>33</v>
      </c>
      <c r="I696" t="s">
        <v>34</v>
      </c>
      <c r="J696" t="s">
        <v>58</v>
      </c>
      <c r="K696">
        <v>0</v>
      </c>
    </row>
    <row r="697" spans="1:11" x14ac:dyDescent="0.25">
      <c r="A697" t="s">
        <v>735</v>
      </c>
      <c r="B697" s="1">
        <v>45619</v>
      </c>
      <c r="C697" t="s">
        <v>31</v>
      </c>
      <c r="D697" t="s">
        <v>13</v>
      </c>
      <c r="E697">
        <v>1000</v>
      </c>
      <c r="F697" t="s">
        <v>21</v>
      </c>
      <c r="G697" t="s">
        <v>24</v>
      </c>
      <c r="H697" t="s">
        <v>33</v>
      </c>
      <c r="I697" t="s">
        <v>34</v>
      </c>
      <c r="J697" t="s">
        <v>18</v>
      </c>
      <c r="K697">
        <v>0</v>
      </c>
    </row>
    <row r="698" spans="1:11" x14ac:dyDescent="0.25">
      <c r="A698" t="s">
        <v>736</v>
      </c>
      <c r="B698" s="1">
        <v>45199</v>
      </c>
      <c r="C698" t="s">
        <v>31</v>
      </c>
      <c r="D698" t="s">
        <v>27</v>
      </c>
      <c r="E698">
        <v>10800</v>
      </c>
      <c r="F698" t="s">
        <v>49</v>
      </c>
      <c r="G698" t="s">
        <v>28</v>
      </c>
      <c r="H698" t="s">
        <v>33</v>
      </c>
      <c r="I698" t="s">
        <v>34</v>
      </c>
      <c r="J698" t="s">
        <v>58</v>
      </c>
      <c r="K698">
        <v>0.1</v>
      </c>
    </row>
    <row r="699" spans="1:11" x14ac:dyDescent="0.25">
      <c r="A699" t="s">
        <v>737</v>
      </c>
      <c r="B699" s="1">
        <v>45467</v>
      </c>
      <c r="C699" t="s">
        <v>12</v>
      </c>
      <c r="D699" t="s">
        <v>13</v>
      </c>
      <c r="E699">
        <v>1500</v>
      </c>
      <c r="F699" t="s">
        <v>32</v>
      </c>
      <c r="G699" t="s">
        <v>24</v>
      </c>
      <c r="H699" t="s">
        <v>16</v>
      </c>
      <c r="I699" t="s">
        <v>17</v>
      </c>
      <c r="J699" t="s">
        <v>25</v>
      </c>
      <c r="K699">
        <v>0</v>
      </c>
    </row>
    <row r="700" spans="1:11" x14ac:dyDescent="0.25">
      <c r="A700" t="s">
        <v>738</v>
      </c>
      <c r="B700" s="1">
        <v>45414</v>
      </c>
      <c r="C700" t="s">
        <v>31</v>
      </c>
      <c r="D700" t="s">
        <v>13</v>
      </c>
      <c r="E700">
        <v>1000</v>
      </c>
      <c r="F700" t="s">
        <v>14</v>
      </c>
      <c r="G700" t="s">
        <v>28</v>
      </c>
      <c r="H700" t="s">
        <v>33</v>
      </c>
      <c r="I700" t="s">
        <v>34</v>
      </c>
      <c r="J700" t="s">
        <v>55</v>
      </c>
      <c r="K700">
        <v>0</v>
      </c>
    </row>
    <row r="701" spans="1:11" x14ac:dyDescent="0.25">
      <c r="A701" t="s">
        <v>739</v>
      </c>
      <c r="B701" s="1">
        <v>45332</v>
      </c>
      <c r="C701" t="s">
        <v>31</v>
      </c>
      <c r="D701" t="s">
        <v>27</v>
      </c>
      <c r="E701">
        <v>10800</v>
      </c>
      <c r="F701" t="s">
        <v>21</v>
      </c>
      <c r="G701" t="s">
        <v>24</v>
      </c>
      <c r="H701" t="s">
        <v>33</v>
      </c>
      <c r="I701" t="s">
        <v>34</v>
      </c>
      <c r="J701" t="s">
        <v>29</v>
      </c>
      <c r="K701">
        <v>0.1</v>
      </c>
    </row>
    <row r="702" spans="1:11" x14ac:dyDescent="0.25">
      <c r="A702" t="s">
        <v>740</v>
      </c>
      <c r="B702" s="1">
        <v>45018</v>
      </c>
      <c r="C702" t="s">
        <v>12</v>
      </c>
      <c r="D702" t="s">
        <v>27</v>
      </c>
      <c r="E702">
        <v>16200</v>
      </c>
      <c r="F702" t="s">
        <v>32</v>
      </c>
      <c r="G702" t="s">
        <v>28</v>
      </c>
      <c r="H702" t="s">
        <v>16</v>
      </c>
      <c r="I702" t="s">
        <v>17</v>
      </c>
      <c r="J702" t="s">
        <v>25</v>
      </c>
      <c r="K702">
        <v>0.1</v>
      </c>
    </row>
    <row r="703" spans="1:11" x14ac:dyDescent="0.25">
      <c r="A703" t="s">
        <v>741</v>
      </c>
      <c r="B703" s="1">
        <v>45630</v>
      </c>
      <c r="C703" t="s">
        <v>31</v>
      </c>
      <c r="D703" t="s">
        <v>13</v>
      </c>
      <c r="E703">
        <v>1000</v>
      </c>
      <c r="F703" t="s">
        <v>49</v>
      </c>
      <c r="G703" t="s">
        <v>24</v>
      </c>
      <c r="H703" t="s">
        <v>33</v>
      </c>
      <c r="I703" t="s">
        <v>34</v>
      </c>
      <c r="J703" t="s">
        <v>22</v>
      </c>
      <c r="K703">
        <v>0</v>
      </c>
    </row>
    <row r="704" spans="1:11" x14ac:dyDescent="0.25">
      <c r="A704" t="s">
        <v>742</v>
      </c>
      <c r="B704" s="1">
        <v>45197</v>
      </c>
      <c r="C704" t="s">
        <v>31</v>
      </c>
      <c r="D704" t="s">
        <v>27</v>
      </c>
      <c r="E704">
        <v>10800</v>
      </c>
      <c r="F704" t="s">
        <v>14</v>
      </c>
      <c r="G704" t="s">
        <v>28</v>
      </c>
      <c r="H704" t="s">
        <v>33</v>
      </c>
      <c r="I704" t="s">
        <v>34</v>
      </c>
      <c r="J704" t="s">
        <v>37</v>
      </c>
      <c r="K704">
        <v>0.1</v>
      </c>
    </row>
    <row r="705" spans="1:11" x14ac:dyDescent="0.25">
      <c r="A705" t="s">
        <v>743</v>
      </c>
      <c r="B705" s="1">
        <v>45141</v>
      </c>
      <c r="C705" t="s">
        <v>31</v>
      </c>
      <c r="D705" t="s">
        <v>27</v>
      </c>
      <c r="E705">
        <v>10800</v>
      </c>
      <c r="F705" t="s">
        <v>49</v>
      </c>
      <c r="G705" t="s">
        <v>24</v>
      </c>
      <c r="H705" t="s">
        <v>33</v>
      </c>
      <c r="I705" t="s">
        <v>34</v>
      </c>
      <c r="J705" t="s">
        <v>18</v>
      </c>
      <c r="K705">
        <v>0.1</v>
      </c>
    </row>
    <row r="706" spans="1:11" x14ac:dyDescent="0.25">
      <c r="A706" t="s">
        <v>744</v>
      </c>
      <c r="B706" s="1">
        <v>45432</v>
      </c>
      <c r="C706" t="s">
        <v>31</v>
      </c>
      <c r="D706" t="s">
        <v>13</v>
      </c>
      <c r="E706">
        <v>1000</v>
      </c>
      <c r="F706" t="s">
        <v>32</v>
      </c>
      <c r="G706" t="s">
        <v>24</v>
      </c>
      <c r="H706" t="s">
        <v>33</v>
      </c>
      <c r="I706" t="s">
        <v>34</v>
      </c>
      <c r="J706" t="s">
        <v>35</v>
      </c>
      <c r="K706">
        <v>0</v>
      </c>
    </row>
    <row r="707" spans="1:11" x14ac:dyDescent="0.25">
      <c r="A707" t="s">
        <v>745</v>
      </c>
      <c r="B707" s="1">
        <v>45052</v>
      </c>
      <c r="C707" t="s">
        <v>31</v>
      </c>
      <c r="D707" t="s">
        <v>13</v>
      </c>
      <c r="E707">
        <v>1000</v>
      </c>
      <c r="F707" t="s">
        <v>49</v>
      </c>
      <c r="G707" t="s">
        <v>28</v>
      </c>
      <c r="H707" t="s">
        <v>16</v>
      </c>
      <c r="I707" t="s">
        <v>17</v>
      </c>
      <c r="J707" t="s">
        <v>22</v>
      </c>
      <c r="K707">
        <v>0</v>
      </c>
    </row>
    <row r="708" spans="1:11" x14ac:dyDescent="0.25">
      <c r="A708" t="s">
        <v>746</v>
      </c>
      <c r="B708" s="1">
        <v>45165</v>
      </c>
      <c r="C708" t="s">
        <v>31</v>
      </c>
      <c r="D708" t="s">
        <v>27</v>
      </c>
      <c r="E708">
        <v>10800</v>
      </c>
      <c r="F708" t="s">
        <v>21</v>
      </c>
      <c r="G708" t="s">
        <v>24</v>
      </c>
      <c r="H708" t="s">
        <v>33</v>
      </c>
      <c r="I708" t="s">
        <v>34</v>
      </c>
      <c r="J708" t="s">
        <v>29</v>
      </c>
      <c r="K708">
        <v>0.1</v>
      </c>
    </row>
    <row r="709" spans="1:11" x14ac:dyDescent="0.25">
      <c r="A709" t="s">
        <v>747</v>
      </c>
      <c r="B709" s="1">
        <v>45160</v>
      </c>
      <c r="C709" t="s">
        <v>31</v>
      </c>
      <c r="D709" t="s">
        <v>13</v>
      </c>
      <c r="E709">
        <v>1000</v>
      </c>
      <c r="F709" t="s">
        <v>21</v>
      </c>
      <c r="G709" t="s">
        <v>28</v>
      </c>
      <c r="H709" t="s">
        <v>16</v>
      </c>
      <c r="I709" t="s">
        <v>17</v>
      </c>
      <c r="J709" t="s">
        <v>29</v>
      </c>
      <c r="K709">
        <v>0</v>
      </c>
    </row>
    <row r="710" spans="1:11" x14ac:dyDescent="0.25">
      <c r="A710" t="s">
        <v>748</v>
      </c>
      <c r="B710" s="1">
        <v>45016</v>
      </c>
      <c r="C710" t="s">
        <v>31</v>
      </c>
      <c r="D710" t="s">
        <v>27</v>
      </c>
      <c r="E710">
        <v>10800</v>
      </c>
      <c r="F710" t="s">
        <v>14</v>
      </c>
      <c r="G710" t="s">
        <v>24</v>
      </c>
      <c r="H710" t="s">
        <v>16</v>
      </c>
      <c r="I710" t="s">
        <v>17</v>
      </c>
      <c r="J710" t="s">
        <v>18</v>
      </c>
      <c r="K710">
        <v>0.1</v>
      </c>
    </row>
    <row r="711" spans="1:11" x14ac:dyDescent="0.25">
      <c r="A711" t="s">
        <v>749</v>
      </c>
      <c r="B711" s="1">
        <v>45360</v>
      </c>
      <c r="C711" t="s">
        <v>20</v>
      </c>
      <c r="D711" t="s">
        <v>27</v>
      </c>
      <c r="E711">
        <v>5400</v>
      </c>
      <c r="F711" t="s">
        <v>49</v>
      </c>
      <c r="G711" t="s">
        <v>15</v>
      </c>
      <c r="H711" t="s">
        <v>16</v>
      </c>
      <c r="I711" t="s">
        <v>17</v>
      </c>
      <c r="J711" t="s">
        <v>18</v>
      </c>
      <c r="K711">
        <v>0.1</v>
      </c>
    </row>
    <row r="712" spans="1:11" x14ac:dyDescent="0.25">
      <c r="A712" t="s">
        <v>750</v>
      </c>
      <c r="B712" s="1">
        <v>44968</v>
      </c>
      <c r="C712" t="s">
        <v>12</v>
      </c>
      <c r="D712" t="s">
        <v>27</v>
      </c>
      <c r="E712">
        <v>16200</v>
      </c>
      <c r="F712" t="s">
        <v>21</v>
      </c>
      <c r="G712" t="s">
        <v>24</v>
      </c>
      <c r="H712" t="s">
        <v>33</v>
      </c>
      <c r="I712" t="s">
        <v>34</v>
      </c>
      <c r="J712" t="s">
        <v>18</v>
      </c>
      <c r="K712">
        <v>0.1</v>
      </c>
    </row>
    <row r="713" spans="1:11" x14ac:dyDescent="0.25">
      <c r="A713" t="s">
        <v>751</v>
      </c>
      <c r="B713" s="1">
        <v>45195</v>
      </c>
      <c r="C713" t="s">
        <v>31</v>
      </c>
      <c r="D713" t="s">
        <v>27</v>
      </c>
      <c r="E713">
        <v>10800</v>
      </c>
      <c r="F713" t="s">
        <v>32</v>
      </c>
      <c r="G713" t="s">
        <v>15</v>
      </c>
      <c r="H713" t="s">
        <v>16</v>
      </c>
      <c r="I713" t="s">
        <v>17</v>
      </c>
      <c r="J713" t="s">
        <v>35</v>
      </c>
      <c r="K713">
        <v>0.1</v>
      </c>
    </row>
    <row r="714" spans="1:11" x14ac:dyDescent="0.25">
      <c r="A714" t="s">
        <v>752</v>
      </c>
      <c r="B714" s="1">
        <v>45466</v>
      </c>
      <c r="C714" t="s">
        <v>20</v>
      </c>
      <c r="D714" t="s">
        <v>27</v>
      </c>
      <c r="E714">
        <v>5400</v>
      </c>
      <c r="F714" t="s">
        <v>21</v>
      </c>
      <c r="G714" t="s">
        <v>24</v>
      </c>
      <c r="H714" t="s">
        <v>33</v>
      </c>
      <c r="I714" t="s">
        <v>34</v>
      </c>
      <c r="J714" t="s">
        <v>22</v>
      </c>
      <c r="K714">
        <v>0.1</v>
      </c>
    </row>
    <row r="715" spans="1:11" x14ac:dyDescent="0.25">
      <c r="A715" t="s">
        <v>753</v>
      </c>
      <c r="B715" s="1">
        <v>45030</v>
      </c>
      <c r="C715" t="s">
        <v>31</v>
      </c>
      <c r="D715" t="s">
        <v>13</v>
      </c>
      <c r="E715">
        <v>1000</v>
      </c>
      <c r="F715" t="s">
        <v>32</v>
      </c>
      <c r="G715" t="s">
        <v>24</v>
      </c>
      <c r="H715" t="s">
        <v>33</v>
      </c>
      <c r="I715" t="s">
        <v>34</v>
      </c>
      <c r="J715" t="s">
        <v>35</v>
      </c>
      <c r="K715">
        <v>0</v>
      </c>
    </row>
    <row r="716" spans="1:11" x14ac:dyDescent="0.25">
      <c r="A716" t="s">
        <v>754</v>
      </c>
      <c r="B716" s="1">
        <v>45096</v>
      </c>
      <c r="C716" t="s">
        <v>12</v>
      </c>
      <c r="D716" t="s">
        <v>13</v>
      </c>
      <c r="E716">
        <v>1500</v>
      </c>
      <c r="F716" t="s">
        <v>21</v>
      </c>
      <c r="G716" t="s">
        <v>24</v>
      </c>
      <c r="H716" t="s">
        <v>16</v>
      </c>
      <c r="I716" t="s">
        <v>17</v>
      </c>
      <c r="J716" t="s">
        <v>29</v>
      </c>
      <c r="K716">
        <v>0</v>
      </c>
    </row>
    <row r="717" spans="1:11" x14ac:dyDescent="0.25">
      <c r="A717" t="s">
        <v>755</v>
      </c>
      <c r="B717" s="1">
        <v>45162</v>
      </c>
      <c r="C717" t="s">
        <v>31</v>
      </c>
      <c r="D717" t="s">
        <v>13</v>
      </c>
      <c r="E717">
        <v>1000</v>
      </c>
      <c r="F717" t="s">
        <v>21</v>
      </c>
      <c r="G717" t="s">
        <v>28</v>
      </c>
      <c r="H717" t="s">
        <v>16</v>
      </c>
      <c r="I717" t="s">
        <v>17</v>
      </c>
      <c r="J717" t="s">
        <v>29</v>
      </c>
      <c r="K717">
        <v>0</v>
      </c>
    </row>
    <row r="718" spans="1:11" x14ac:dyDescent="0.25">
      <c r="A718" t="s">
        <v>756</v>
      </c>
      <c r="B718" s="1">
        <v>45150</v>
      </c>
      <c r="C718" t="s">
        <v>31</v>
      </c>
      <c r="D718" t="s">
        <v>13</v>
      </c>
      <c r="E718">
        <v>1000</v>
      </c>
      <c r="F718" t="s">
        <v>14</v>
      </c>
      <c r="G718" t="s">
        <v>15</v>
      </c>
      <c r="H718" t="s">
        <v>16</v>
      </c>
      <c r="I718" t="s">
        <v>17</v>
      </c>
      <c r="J718" t="s">
        <v>22</v>
      </c>
      <c r="K718">
        <v>0</v>
      </c>
    </row>
    <row r="719" spans="1:11" x14ac:dyDescent="0.25">
      <c r="A719" t="s">
        <v>757</v>
      </c>
      <c r="B719" s="1">
        <v>44944</v>
      </c>
      <c r="C719" t="s">
        <v>31</v>
      </c>
      <c r="D719" t="s">
        <v>27</v>
      </c>
      <c r="E719">
        <v>10800</v>
      </c>
      <c r="F719" t="s">
        <v>21</v>
      </c>
      <c r="G719" t="s">
        <v>24</v>
      </c>
      <c r="H719" t="s">
        <v>33</v>
      </c>
      <c r="I719" t="s">
        <v>34</v>
      </c>
      <c r="J719" t="s">
        <v>18</v>
      </c>
      <c r="K719">
        <v>0.1</v>
      </c>
    </row>
    <row r="720" spans="1:11" x14ac:dyDescent="0.25">
      <c r="A720" t="s">
        <v>758</v>
      </c>
      <c r="B720" s="1">
        <v>45405</v>
      </c>
      <c r="C720" t="s">
        <v>31</v>
      </c>
      <c r="D720" t="s">
        <v>13</v>
      </c>
      <c r="E720">
        <v>1000</v>
      </c>
      <c r="F720" t="s">
        <v>49</v>
      </c>
      <c r="G720" t="s">
        <v>28</v>
      </c>
      <c r="H720" t="s">
        <v>33</v>
      </c>
      <c r="I720" t="s">
        <v>34</v>
      </c>
      <c r="J720" t="s">
        <v>50</v>
      </c>
      <c r="K720">
        <v>0</v>
      </c>
    </row>
    <row r="721" spans="1:11" x14ac:dyDescent="0.25">
      <c r="A721" t="s">
        <v>759</v>
      </c>
      <c r="B721" s="1">
        <v>44933</v>
      </c>
      <c r="C721" t="s">
        <v>31</v>
      </c>
      <c r="D721" t="s">
        <v>27</v>
      </c>
      <c r="E721">
        <v>10800</v>
      </c>
      <c r="F721" t="s">
        <v>32</v>
      </c>
      <c r="G721" t="s">
        <v>15</v>
      </c>
      <c r="H721" t="s">
        <v>16</v>
      </c>
      <c r="I721" t="s">
        <v>17</v>
      </c>
      <c r="J721" t="s">
        <v>35</v>
      </c>
      <c r="K721">
        <v>0.1</v>
      </c>
    </row>
    <row r="722" spans="1:11" x14ac:dyDescent="0.25">
      <c r="A722" t="s">
        <v>760</v>
      </c>
      <c r="B722" s="1">
        <v>44989</v>
      </c>
      <c r="C722" t="s">
        <v>31</v>
      </c>
      <c r="D722" t="s">
        <v>13</v>
      </c>
      <c r="E722">
        <v>1000</v>
      </c>
      <c r="F722" t="s">
        <v>49</v>
      </c>
      <c r="G722" t="s">
        <v>28</v>
      </c>
      <c r="H722" t="s">
        <v>33</v>
      </c>
      <c r="I722" t="s">
        <v>34</v>
      </c>
      <c r="J722" t="s">
        <v>35</v>
      </c>
      <c r="K722">
        <v>0</v>
      </c>
    </row>
    <row r="723" spans="1:11" x14ac:dyDescent="0.25">
      <c r="A723" t="s">
        <v>761</v>
      </c>
      <c r="B723" s="1">
        <v>45634</v>
      </c>
      <c r="C723" t="s">
        <v>20</v>
      </c>
      <c r="D723" t="s">
        <v>13</v>
      </c>
      <c r="E723">
        <v>500</v>
      </c>
      <c r="F723" t="s">
        <v>49</v>
      </c>
      <c r="G723" t="s">
        <v>24</v>
      </c>
      <c r="H723" t="s">
        <v>16</v>
      </c>
      <c r="I723" t="s">
        <v>17</v>
      </c>
      <c r="J723" t="s">
        <v>18</v>
      </c>
      <c r="K723">
        <v>0</v>
      </c>
    </row>
    <row r="724" spans="1:11" x14ac:dyDescent="0.25">
      <c r="A724" t="s">
        <v>762</v>
      </c>
      <c r="B724" s="1">
        <v>45001</v>
      </c>
      <c r="C724" t="s">
        <v>20</v>
      </c>
      <c r="D724" t="s">
        <v>13</v>
      </c>
      <c r="E724">
        <v>500</v>
      </c>
      <c r="F724" t="s">
        <v>21</v>
      </c>
      <c r="G724" t="s">
        <v>24</v>
      </c>
      <c r="H724" t="s">
        <v>16</v>
      </c>
      <c r="I724" t="s">
        <v>17</v>
      </c>
      <c r="J724" t="s">
        <v>22</v>
      </c>
      <c r="K724">
        <v>0</v>
      </c>
    </row>
    <row r="725" spans="1:11" x14ac:dyDescent="0.25">
      <c r="A725" t="s">
        <v>763</v>
      </c>
      <c r="B725" s="1">
        <v>44938</v>
      </c>
      <c r="C725" t="s">
        <v>31</v>
      </c>
      <c r="D725" t="s">
        <v>27</v>
      </c>
      <c r="E725">
        <v>10800</v>
      </c>
      <c r="F725" t="s">
        <v>21</v>
      </c>
      <c r="G725" t="s">
        <v>28</v>
      </c>
      <c r="H725" t="s">
        <v>33</v>
      </c>
      <c r="I725" t="s">
        <v>34</v>
      </c>
      <c r="J725" t="s">
        <v>18</v>
      </c>
      <c r="K725">
        <v>0.1</v>
      </c>
    </row>
    <row r="726" spans="1:11" x14ac:dyDescent="0.25">
      <c r="A726" t="s">
        <v>764</v>
      </c>
      <c r="B726" s="1">
        <v>45049</v>
      </c>
      <c r="C726" t="s">
        <v>31</v>
      </c>
      <c r="D726" t="s">
        <v>13</v>
      </c>
      <c r="E726">
        <v>1000</v>
      </c>
      <c r="F726" t="s">
        <v>32</v>
      </c>
      <c r="G726" t="s">
        <v>24</v>
      </c>
      <c r="H726" t="s">
        <v>16</v>
      </c>
      <c r="I726" t="s">
        <v>17</v>
      </c>
      <c r="J726" t="s">
        <v>25</v>
      </c>
      <c r="K726">
        <v>0</v>
      </c>
    </row>
    <row r="727" spans="1:11" x14ac:dyDescent="0.25">
      <c r="A727" t="s">
        <v>765</v>
      </c>
      <c r="B727" s="1">
        <v>45156</v>
      </c>
      <c r="C727" t="s">
        <v>31</v>
      </c>
      <c r="D727" t="s">
        <v>27</v>
      </c>
      <c r="E727">
        <v>10800</v>
      </c>
      <c r="F727" t="s">
        <v>32</v>
      </c>
      <c r="G727" t="s">
        <v>24</v>
      </c>
      <c r="H727" t="s">
        <v>33</v>
      </c>
      <c r="I727" t="s">
        <v>34</v>
      </c>
      <c r="J727" t="s">
        <v>25</v>
      </c>
      <c r="K727">
        <v>0.1</v>
      </c>
    </row>
    <row r="728" spans="1:11" x14ac:dyDescent="0.25">
      <c r="A728" t="s">
        <v>766</v>
      </c>
      <c r="B728" s="1">
        <v>45607</v>
      </c>
      <c r="C728" t="s">
        <v>12</v>
      </c>
      <c r="D728" t="s">
        <v>13</v>
      </c>
      <c r="E728">
        <v>1500</v>
      </c>
      <c r="F728" t="s">
        <v>14</v>
      </c>
      <c r="G728" t="s">
        <v>28</v>
      </c>
      <c r="H728" t="s">
        <v>16</v>
      </c>
      <c r="I728" t="s">
        <v>17</v>
      </c>
      <c r="J728" t="s">
        <v>18</v>
      </c>
      <c r="K728">
        <v>0</v>
      </c>
    </row>
    <row r="729" spans="1:11" x14ac:dyDescent="0.25">
      <c r="A729" t="s">
        <v>767</v>
      </c>
      <c r="B729" s="1">
        <v>45499</v>
      </c>
      <c r="C729" t="s">
        <v>31</v>
      </c>
      <c r="D729" t="s">
        <v>13</v>
      </c>
      <c r="E729">
        <v>1000</v>
      </c>
      <c r="F729" t="s">
        <v>21</v>
      </c>
      <c r="G729" t="s">
        <v>24</v>
      </c>
      <c r="H729" t="s">
        <v>33</v>
      </c>
      <c r="I729" t="s">
        <v>34</v>
      </c>
      <c r="J729" t="s">
        <v>29</v>
      </c>
      <c r="K729">
        <v>0</v>
      </c>
    </row>
    <row r="730" spans="1:11" x14ac:dyDescent="0.25">
      <c r="A730" t="s">
        <v>768</v>
      </c>
      <c r="B730" s="1">
        <v>44975</v>
      </c>
      <c r="C730" t="s">
        <v>12</v>
      </c>
      <c r="D730" t="s">
        <v>27</v>
      </c>
      <c r="E730">
        <v>16200</v>
      </c>
      <c r="F730" t="s">
        <v>32</v>
      </c>
      <c r="G730" t="s">
        <v>24</v>
      </c>
      <c r="H730" t="s">
        <v>33</v>
      </c>
      <c r="I730" t="s">
        <v>34</v>
      </c>
      <c r="J730" t="s">
        <v>35</v>
      </c>
      <c r="K730">
        <v>0.1</v>
      </c>
    </row>
    <row r="731" spans="1:11" x14ac:dyDescent="0.25">
      <c r="A731" t="s">
        <v>769</v>
      </c>
      <c r="B731" s="1">
        <v>45034</v>
      </c>
      <c r="C731" t="s">
        <v>20</v>
      </c>
      <c r="D731" t="s">
        <v>27</v>
      </c>
      <c r="E731">
        <v>5400</v>
      </c>
      <c r="F731" t="s">
        <v>49</v>
      </c>
      <c r="G731" t="s">
        <v>28</v>
      </c>
      <c r="H731" t="s">
        <v>16</v>
      </c>
      <c r="I731" t="s">
        <v>17</v>
      </c>
      <c r="J731" t="s">
        <v>18</v>
      </c>
      <c r="K731">
        <v>0.1</v>
      </c>
    </row>
    <row r="732" spans="1:11" x14ac:dyDescent="0.25">
      <c r="A732" t="s">
        <v>770</v>
      </c>
      <c r="B732" s="1">
        <v>45371</v>
      </c>
      <c r="C732" t="s">
        <v>12</v>
      </c>
      <c r="D732" t="s">
        <v>27</v>
      </c>
      <c r="E732">
        <v>16200</v>
      </c>
      <c r="F732" t="s">
        <v>14</v>
      </c>
      <c r="G732" t="s">
        <v>24</v>
      </c>
      <c r="H732" t="s">
        <v>33</v>
      </c>
      <c r="I732" t="s">
        <v>34</v>
      </c>
      <c r="J732" t="s">
        <v>41</v>
      </c>
      <c r="K732">
        <v>0.1</v>
      </c>
    </row>
    <row r="733" spans="1:11" x14ac:dyDescent="0.25">
      <c r="A733" t="s">
        <v>771</v>
      </c>
      <c r="B733" s="1">
        <v>45512</v>
      </c>
      <c r="C733" t="s">
        <v>20</v>
      </c>
      <c r="D733" t="s">
        <v>27</v>
      </c>
      <c r="E733">
        <v>5400</v>
      </c>
      <c r="F733" t="s">
        <v>32</v>
      </c>
      <c r="G733" t="s">
        <v>15</v>
      </c>
      <c r="H733" t="s">
        <v>16</v>
      </c>
      <c r="I733" t="s">
        <v>17</v>
      </c>
      <c r="J733" t="s">
        <v>39</v>
      </c>
      <c r="K733">
        <v>0.1</v>
      </c>
    </row>
    <row r="734" spans="1:11" x14ac:dyDescent="0.25">
      <c r="A734" t="s">
        <v>772</v>
      </c>
      <c r="B734" s="1">
        <v>45167</v>
      </c>
      <c r="C734" t="s">
        <v>31</v>
      </c>
      <c r="D734" t="s">
        <v>27</v>
      </c>
      <c r="E734">
        <v>10800</v>
      </c>
      <c r="F734" t="s">
        <v>49</v>
      </c>
      <c r="G734" t="s">
        <v>24</v>
      </c>
      <c r="H734" t="s">
        <v>33</v>
      </c>
      <c r="I734" t="s">
        <v>34</v>
      </c>
      <c r="J734" t="s">
        <v>58</v>
      </c>
      <c r="K734">
        <v>0.1</v>
      </c>
    </row>
    <row r="735" spans="1:11" x14ac:dyDescent="0.25">
      <c r="A735" t="s">
        <v>773</v>
      </c>
      <c r="B735" s="1">
        <v>45431</v>
      </c>
      <c r="C735" t="s">
        <v>12</v>
      </c>
      <c r="D735" t="s">
        <v>13</v>
      </c>
      <c r="E735">
        <v>1500</v>
      </c>
      <c r="F735" t="s">
        <v>14</v>
      </c>
      <c r="G735" t="s">
        <v>28</v>
      </c>
      <c r="H735" t="s">
        <v>16</v>
      </c>
      <c r="I735" t="s">
        <v>17</v>
      </c>
      <c r="J735" t="s">
        <v>37</v>
      </c>
      <c r="K735">
        <v>0</v>
      </c>
    </row>
    <row r="736" spans="1:11" x14ac:dyDescent="0.25">
      <c r="A736" t="s">
        <v>774</v>
      </c>
      <c r="B736" s="1">
        <v>44983</v>
      </c>
      <c r="C736" t="s">
        <v>20</v>
      </c>
      <c r="D736" t="s">
        <v>13</v>
      </c>
      <c r="E736">
        <v>500</v>
      </c>
      <c r="F736" t="s">
        <v>32</v>
      </c>
      <c r="G736" t="s">
        <v>15</v>
      </c>
      <c r="H736" t="s">
        <v>16</v>
      </c>
      <c r="I736" t="s">
        <v>17</v>
      </c>
      <c r="J736" t="s">
        <v>25</v>
      </c>
      <c r="K736">
        <v>0</v>
      </c>
    </row>
    <row r="737" spans="1:11" x14ac:dyDescent="0.25">
      <c r="A737" t="s">
        <v>775</v>
      </c>
      <c r="B737" s="1">
        <v>45338</v>
      </c>
      <c r="C737" t="s">
        <v>31</v>
      </c>
      <c r="D737" t="s">
        <v>27</v>
      </c>
      <c r="E737">
        <v>10800</v>
      </c>
      <c r="F737" t="s">
        <v>21</v>
      </c>
      <c r="G737" t="s">
        <v>24</v>
      </c>
      <c r="H737" t="s">
        <v>33</v>
      </c>
      <c r="I737" t="s">
        <v>34</v>
      </c>
      <c r="J737" t="s">
        <v>18</v>
      </c>
      <c r="K737">
        <v>0.1</v>
      </c>
    </row>
    <row r="738" spans="1:11" x14ac:dyDescent="0.25">
      <c r="A738" t="s">
        <v>776</v>
      </c>
      <c r="B738" s="1">
        <v>45051</v>
      </c>
      <c r="C738" t="s">
        <v>20</v>
      </c>
      <c r="D738" t="s">
        <v>27</v>
      </c>
      <c r="E738">
        <v>5400</v>
      </c>
      <c r="F738" t="s">
        <v>49</v>
      </c>
      <c r="G738" t="s">
        <v>24</v>
      </c>
      <c r="H738" t="s">
        <v>33</v>
      </c>
      <c r="I738" t="s">
        <v>34</v>
      </c>
      <c r="J738" t="s">
        <v>35</v>
      </c>
      <c r="K738">
        <v>0.1</v>
      </c>
    </row>
    <row r="739" spans="1:11" x14ac:dyDescent="0.25">
      <c r="A739" t="s">
        <v>777</v>
      </c>
      <c r="B739" s="1">
        <v>45441</v>
      </c>
      <c r="C739" t="s">
        <v>31</v>
      </c>
      <c r="D739" t="s">
        <v>27</v>
      </c>
      <c r="E739">
        <v>10800</v>
      </c>
      <c r="F739" t="s">
        <v>32</v>
      </c>
      <c r="G739" t="s">
        <v>28</v>
      </c>
      <c r="H739" t="s">
        <v>16</v>
      </c>
      <c r="I739" t="s">
        <v>17</v>
      </c>
      <c r="J739" t="s">
        <v>35</v>
      </c>
      <c r="K739">
        <v>0.1</v>
      </c>
    </row>
    <row r="740" spans="1:11" x14ac:dyDescent="0.25">
      <c r="A740" t="s">
        <v>778</v>
      </c>
      <c r="B740" s="1">
        <v>45374</v>
      </c>
      <c r="C740" t="s">
        <v>12</v>
      </c>
      <c r="D740" t="s">
        <v>13</v>
      </c>
      <c r="E740">
        <v>1500</v>
      </c>
      <c r="F740" t="s">
        <v>49</v>
      </c>
      <c r="G740" t="s">
        <v>24</v>
      </c>
      <c r="H740" t="s">
        <v>33</v>
      </c>
      <c r="I740" t="s">
        <v>34</v>
      </c>
      <c r="J740" t="s">
        <v>18</v>
      </c>
      <c r="K740">
        <v>0</v>
      </c>
    </row>
    <row r="741" spans="1:11" x14ac:dyDescent="0.25">
      <c r="A741" t="s">
        <v>779</v>
      </c>
      <c r="B741" s="1">
        <v>45474</v>
      </c>
      <c r="C741" t="s">
        <v>31</v>
      </c>
      <c r="D741" t="s">
        <v>27</v>
      </c>
      <c r="E741">
        <v>10800</v>
      </c>
      <c r="F741" t="s">
        <v>49</v>
      </c>
      <c r="G741" t="s">
        <v>24</v>
      </c>
      <c r="H741" t="s">
        <v>33</v>
      </c>
      <c r="I741" t="s">
        <v>34</v>
      </c>
      <c r="J741" t="s">
        <v>35</v>
      </c>
      <c r="K741">
        <v>0.1</v>
      </c>
    </row>
    <row r="742" spans="1:11" x14ac:dyDescent="0.25">
      <c r="A742" t="s">
        <v>780</v>
      </c>
      <c r="B742" s="1">
        <v>45606</v>
      </c>
      <c r="C742" t="s">
        <v>20</v>
      </c>
      <c r="D742" t="s">
        <v>27</v>
      </c>
      <c r="E742">
        <v>5400</v>
      </c>
      <c r="F742" t="s">
        <v>14</v>
      </c>
      <c r="G742" t="s">
        <v>28</v>
      </c>
      <c r="H742" t="s">
        <v>16</v>
      </c>
      <c r="I742" t="s">
        <v>17</v>
      </c>
      <c r="J742" t="s">
        <v>41</v>
      </c>
      <c r="K742">
        <v>0.1</v>
      </c>
    </row>
    <row r="743" spans="1:11" x14ac:dyDescent="0.25">
      <c r="A743" t="s">
        <v>781</v>
      </c>
      <c r="B743" s="1">
        <v>45559</v>
      </c>
      <c r="C743" t="s">
        <v>20</v>
      </c>
      <c r="D743" t="s">
        <v>13</v>
      </c>
      <c r="E743">
        <v>500</v>
      </c>
      <c r="F743" t="s">
        <v>14</v>
      </c>
      <c r="G743" t="s">
        <v>15</v>
      </c>
      <c r="H743" t="s">
        <v>16</v>
      </c>
      <c r="I743" t="s">
        <v>17</v>
      </c>
      <c r="J743" t="s">
        <v>18</v>
      </c>
      <c r="K743">
        <v>0</v>
      </c>
    </row>
    <row r="744" spans="1:11" x14ac:dyDescent="0.25">
      <c r="A744" t="s">
        <v>782</v>
      </c>
      <c r="B744" s="1">
        <v>45000</v>
      </c>
      <c r="C744" t="s">
        <v>31</v>
      </c>
      <c r="D744" t="s">
        <v>13</v>
      </c>
      <c r="E744">
        <v>1000</v>
      </c>
      <c r="F744" t="s">
        <v>14</v>
      </c>
      <c r="G744" t="s">
        <v>24</v>
      </c>
      <c r="H744" t="s">
        <v>16</v>
      </c>
      <c r="I744" t="s">
        <v>17</v>
      </c>
      <c r="J744" t="s">
        <v>37</v>
      </c>
      <c r="K744">
        <v>0</v>
      </c>
    </row>
    <row r="745" spans="1:11" x14ac:dyDescent="0.25">
      <c r="A745" t="s">
        <v>783</v>
      </c>
      <c r="B745" s="1">
        <v>45456</v>
      </c>
      <c r="C745" t="s">
        <v>12</v>
      </c>
      <c r="D745" t="s">
        <v>27</v>
      </c>
      <c r="E745">
        <v>16200</v>
      </c>
      <c r="F745" t="s">
        <v>14</v>
      </c>
      <c r="G745" t="s">
        <v>24</v>
      </c>
      <c r="H745" t="s">
        <v>33</v>
      </c>
      <c r="I745" t="s">
        <v>34</v>
      </c>
      <c r="J745" t="s">
        <v>41</v>
      </c>
      <c r="K745">
        <v>0.1</v>
      </c>
    </row>
    <row r="746" spans="1:11" x14ac:dyDescent="0.25">
      <c r="A746" t="s">
        <v>784</v>
      </c>
      <c r="B746" s="1">
        <v>45132</v>
      </c>
      <c r="C746" t="s">
        <v>12</v>
      </c>
      <c r="D746" t="s">
        <v>13</v>
      </c>
      <c r="E746">
        <v>1500</v>
      </c>
      <c r="F746" t="s">
        <v>14</v>
      </c>
      <c r="G746" t="s">
        <v>28</v>
      </c>
      <c r="H746" t="s">
        <v>16</v>
      </c>
      <c r="I746" t="s">
        <v>17</v>
      </c>
      <c r="J746" t="s">
        <v>22</v>
      </c>
      <c r="K746">
        <v>0</v>
      </c>
    </row>
    <row r="747" spans="1:11" x14ac:dyDescent="0.25">
      <c r="A747" t="s">
        <v>785</v>
      </c>
      <c r="B747" s="1">
        <v>45178</v>
      </c>
      <c r="C747" t="s">
        <v>31</v>
      </c>
      <c r="D747" t="s">
        <v>27</v>
      </c>
      <c r="E747">
        <v>10800</v>
      </c>
      <c r="F747" t="s">
        <v>49</v>
      </c>
      <c r="G747" t="s">
        <v>28</v>
      </c>
      <c r="H747" t="s">
        <v>33</v>
      </c>
      <c r="I747" t="s">
        <v>34</v>
      </c>
      <c r="J747" t="s">
        <v>18</v>
      </c>
      <c r="K747">
        <v>0.1</v>
      </c>
    </row>
    <row r="748" spans="1:11" x14ac:dyDescent="0.25">
      <c r="A748" t="s">
        <v>786</v>
      </c>
      <c r="B748" s="1">
        <v>45167</v>
      </c>
      <c r="C748" t="s">
        <v>12</v>
      </c>
      <c r="D748" t="s">
        <v>27</v>
      </c>
      <c r="E748">
        <v>16200</v>
      </c>
      <c r="F748" t="s">
        <v>21</v>
      </c>
      <c r="G748" t="s">
        <v>28</v>
      </c>
      <c r="H748" t="s">
        <v>16</v>
      </c>
      <c r="I748" t="s">
        <v>17</v>
      </c>
      <c r="J748" t="s">
        <v>22</v>
      </c>
      <c r="K748">
        <v>0.1</v>
      </c>
    </row>
    <row r="749" spans="1:11" x14ac:dyDescent="0.25">
      <c r="A749" t="s">
        <v>787</v>
      </c>
      <c r="B749" s="1">
        <v>45056</v>
      </c>
      <c r="C749" t="s">
        <v>31</v>
      </c>
      <c r="D749" t="s">
        <v>13</v>
      </c>
      <c r="E749">
        <v>1000</v>
      </c>
      <c r="F749" t="s">
        <v>21</v>
      </c>
      <c r="G749" t="s">
        <v>24</v>
      </c>
      <c r="H749" t="s">
        <v>33</v>
      </c>
      <c r="I749" t="s">
        <v>34</v>
      </c>
      <c r="J749" t="s">
        <v>18</v>
      </c>
      <c r="K749">
        <v>0</v>
      </c>
    </row>
    <row r="750" spans="1:11" x14ac:dyDescent="0.25">
      <c r="A750" t="s">
        <v>788</v>
      </c>
      <c r="B750" s="1">
        <v>45497</v>
      </c>
      <c r="C750" t="s">
        <v>12</v>
      </c>
      <c r="D750" t="s">
        <v>27</v>
      </c>
      <c r="E750">
        <v>16200</v>
      </c>
      <c r="F750" t="s">
        <v>49</v>
      </c>
      <c r="G750" t="s">
        <v>24</v>
      </c>
      <c r="H750" t="s">
        <v>33</v>
      </c>
      <c r="I750" t="s">
        <v>34</v>
      </c>
      <c r="J750" t="s">
        <v>18</v>
      </c>
      <c r="K750">
        <v>0.1</v>
      </c>
    </row>
    <row r="751" spans="1:11" x14ac:dyDescent="0.25">
      <c r="A751" t="s">
        <v>789</v>
      </c>
      <c r="B751" s="1">
        <v>45560</v>
      </c>
      <c r="C751" t="s">
        <v>20</v>
      </c>
      <c r="D751" t="s">
        <v>13</v>
      </c>
      <c r="E751">
        <v>500</v>
      </c>
      <c r="F751" t="s">
        <v>21</v>
      </c>
      <c r="G751" t="s">
        <v>24</v>
      </c>
      <c r="H751" t="s">
        <v>33</v>
      </c>
      <c r="I751" t="s">
        <v>34</v>
      </c>
      <c r="J751" t="s">
        <v>29</v>
      </c>
      <c r="K751">
        <v>0</v>
      </c>
    </row>
    <row r="752" spans="1:11" x14ac:dyDescent="0.25">
      <c r="A752" t="s">
        <v>790</v>
      </c>
      <c r="B752" s="1">
        <v>45014</v>
      </c>
      <c r="C752" t="s">
        <v>20</v>
      </c>
      <c r="D752" t="s">
        <v>13</v>
      </c>
      <c r="E752">
        <v>500</v>
      </c>
      <c r="F752" t="s">
        <v>49</v>
      </c>
      <c r="G752" t="s">
        <v>24</v>
      </c>
      <c r="H752" t="s">
        <v>33</v>
      </c>
      <c r="I752" t="s">
        <v>34</v>
      </c>
      <c r="J752" t="s">
        <v>58</v>
      </c>
      <c r="K752">
        <v>0</v>
      </c>
    </row>
    <row r="753" spans="1:11" x14ac:dyDescent="0.25">
      <c r="A753" t="s">
        <v>791</v>
      </c>
      <c r="B753" s="1">
        <v>45291</v>
      </c>
      <c r="C753" t="s">
        <v>20</v>
      </c>
      <c r="D753" t="s">
        <v>13</v>
      </c>
      <c r="E753">
        <v>500</v>
      </c>
      <c r="F753" t="s">
        <v>49</v>
      </c>
      <c r="G753" t="s">
        <v>28</v>
      </c>
      <c r="H753" t="s">
        <v>16</v>
      </c>
      <c r="I753" t="s">
        <v>17</v>
      </c>
      <c r="J753" t="s">
        <v>18</v>
      </c>
      <c r="K753">
        <v>0</v>
      </c>
    </row>
    <row r="754" spans="1:11" x14ac:dyDescent="0.25">
      <c r="A754" t="s">
        <v>792</v>
      </c>
      <c r="B754" s="1">
        <v>45555</v>
      </c>
      <c r="C754" t="s">
        <v>20</v>
      </c>
      <c r="D754" t="s">
        <v>13</v>
      </c>
      <c r="E754">
        <v>500</v>
      </c>
      <c r="F754" t="s">
        <v>49</v>
      </c>
      <c r="G754" t="s">
        <v>15</v>
      </c>
      <c r="H754" t="s">
        <v>16</v>
      </c>
      <c r="I754" t="s">
        <v>17</v>
      </c>
      <c r="J754" t="s">
        <v>25</v>
      </c>
      <c r="K754">
        <v>0</v>
      </c>
    </row>
    <row r="755" spans="1:11" x14ac:dyDescent="0.25">
      <c r="A755" t="s">
        <v>793</v>
      </c>
      <c r="B755" s="1">
        <v>45212</v>
      </c>
      <c r="C755" t="s">
        <v>31</v>
      </c>
      <c r="D755" t="s">
        <v>27</v>
      </c>
      <c r="E755">
        <v>10800</v>
      </c>
      <c r="F755" t="s">
        <v>21</v>
      </c>
      <c r="G755" t="s">
        <v>15</v>
      </c>
      <c r="H755" t="s">
        <v>16</v>
      </c>
      <c r="I755" t="s">
        <v>17</v>
      </c>
      <c r="J755" t="s">
        <v>25</v>
      </c>
      <c r="K755">
        <v>0.1</v>
      </c>
    </row>
    <row r="756" spans="1:11" x14ac:dyDescent="0.25">
      <c r="A756" t="s">
        <v>794</v>
      </c>
      <c r="B756" s="1">
        <v>45006</v>
      </c>
      <c r="C756" t="s">
        <v>31</v>
      </c>
      <c r="D756" t="s">
        <v>27</v>
      </c>
      <c r="E756">
        <v>10800</v>
      </c>
      <c r="F756" t="s">
        <v>32</v>
      </c>
      <c r="G756" t="s">
        <v>24</v>
      </c>
      <c r="H756" t="s">
        <v>33</v>
      </c>
      <c r="I756" t="s">
        <v>34</v>
      </c>
      <c r="J756" t="s">
        <v>25</v>
      </c>
      <c r="K756">
        <v>0.1</v>
      </c>
    </row>
    <row r="757" spans="1:11" x14ac:dyDescent="0.25">
      <c r="A757" t="s">
        <v>795</v>
      </c>
      <c r="B757" s="1">
        <v>45351</v>
      </c>
      <c r="C757" t="s">
        <v>31</v>
      </c>
      <c r="D757" t="s">
        <v>27</v>
      </c>
      <c r="E757">
        <v>10800</v>
      </c>
      <c r="F757" t="s">
        <v>21</v>
      </c>
      <c r="G757" t="s">
        <v>28</v>
      </c>
      <c r="H757" t="s">
        <v>16</v>
      </c>
      <c r="I757" t="s">
        <v>17</v>
      </c>
      <c r="J757" t="s">
        <v>29</v>
      </c>
      <c r="K757">
        <v>0.1</v>
      </c>
    </row>
    <row r="758" spans="1:11" x14ac:dyDescent="0.25">
      <c r="A758" t="s">
        <v>796</v>
      </c>
      <c r="B758" s="1">
        <v>45088</v>
      </c>
      <c r="C758" t="s">
        <v>20</v>
      </c>
      <c r="D758" t="s">
        <v>27</v>
      </c>
      <c r="E758">
        <v>5400</v>
      </c>
      <c r="F758" t="s">
        <v>32</v>
      </c>
      <c r="G758" t="s">
        <v>28</v>
      </c>
      <c r="H758" t="s">
        <v>16</v>
      </c>
      <c r="I758" t="s">
        <v>17</v>
      </c>
      <c r="J758" t="s">
        <v>66</v>
      </c>
      <c r="K758">
        <v>0.1</v>
      </c>
    </row>
    <row r="759" spans="1:11" x14ac:dyDescent="0.25">
      <c r="A759" t="s">
        <v>797</v>
      </c>
      <c r="B759" s="1">
        <v>45151</v>
      </c>
      <c r="C759" t="s">
        <v>20</v>
      </c>
      <c r="D759" t="s">
        <v>13</v>
      </c>
      <c r="E759">
        <v>500</v>
      </c>
      <c r="F759" t="s">
        <v>21</v>
      </c>
      <c r="G759" t="s">
        <v>15</v>
      </c>
      <c r="H759" t="s">
        <v>16</v>
      </c>
      <c r="I759" t="s">
        <v>17</v>
      </c>
      <c r="J759" t="s">
        <v>18</v>
      </c>
      <c r="K759">
        <v>0</v>
      </c>
    </row>
    <row r="760" spans="1:11" x14ac:dyDescent="0.25">
      <c r="A760" t="s">
        <v>798</v>
      </c>
      <c r="B760" s="1">
        <v>45051</v>
      </c>
      <c r="C760" t="s">
        <v>20</v>
      </c>
      <c r="D760" t="s">
        <v>13</v>
      </c>
      <c r="E760">
        <v>500</v>
      </c>
      <c r="F760" t="s">
        <v>21</v>
      </c>
      <c r="G760" t="s">
        <v>28</v>
      </c>
      <c r="H760" t="s">
        <v>16</v>
      </c>
      <c r="I760" t="s">
        <v>17</v>
      </c>
      <c r="J760" t="s">
        <v>29</v>
      </c>
      <c r="K760">
        <v>0</v>
      </c>
    </row>
    <row r="761" spans="1:11" x14ac:dyDescent="0.25">
      <c r="A761" t="s">
        <v>799</v>
      </c>
      <c r="B761" s="1">
        <v>45501</v>
      </c>
      <c r="C761" t="s">
        <v>20</v>
      </c>
      <c r="D761" t="s">
        <v>27</v>
      </c>
      <c r="E761">
        <v>5400</v>
      </c>
      <c r="F761" t="s">
        <v>14</v>
      </c>
      <c r="G761" t="s">
        <v>24</v>
      </c>
      <c r="H761" t="s">
        <v>33</v>
      </c>
      <c r="I761" t="s">
        <v>34</v>
      </c>
      <c r="J761" t="s">
        <v>22</v>
      </c>
      <c r="K761">
        <v>0.1</v>
      </c>
    </row>
    <row r="762" spans="1:11" x14ac:dyDescent="0.25">
      <c r="A762" t="s">
        <v>800</v>
      </c>
      <c r="B762" s="1">
        <v>45636</v>
      </c>
      <c r="C762" t="s">
        <v>20</v>
      </c>
      <c r="D762" t="s">
        <v>27</v>
      </c>
      <c r="E762">
        <v>5400</v>
      </c>
      <c r="F762" t="s">
        <v>21</v>
      </c>
      <c r="G762" t="s">
        <v>24</v>
      </c>
      <c r="H762" t="s">
        <v>33</v>
      </c>
      <c r="I762" t="s">
        <v>34</v>
      </c>
      <c r="J762" t="s">
        <v>22</v>
      </c>
      <c r="K762">
        <v>0.1</v>
      </c>
    </row>
    <row r="763" spans="1:11" x14ac:dyDescent="0.25">
      <c r="A763" t="s">
        <v>801</v>
      </c>
      <c r="B763" s="1">
        <v>45389</v>
      </c>
      <c r="C763" t="s">
        <v>31</v>
      </c>
      <c r="D763" t="s">
        <v>27</v>
      </c>
      <c r="E763">
        <v>10800</v>
      </c>
      <c r="F763" t="s">
        <v>14</v>
      </c>
      <c r="G763" t="s">
        <v>15</v>
      </c>
      <c r="H763" t="s">
        <v>16</v>
      </c>
      <c r="I763" t="s">
        <v>17</v>
      </c>
      <c r="J763" t="s">
        <v>18</v>
      </c>
      <c r="K763">
        <v>0.1</v>
      </c>
    </row>
    <row r="764" spans="1:11" x14ac:dyDescent="0.25">
      <c r="A764" t="s">
        <v>802</v>
      </c>
      <c r="B764" s="1">
        <v>45638</v>
      </c>
      <c r="C764" t="s">
        <v>12</v>
      </c>
      <c r="D764" t="s">
        <v>27</v>
      </c>
      <c r="E764">
        <v>16200</v>
      </c>
      <c r="F764" t="s">
        <v>32</v>
      </c>
      <c r="G764" t="s">
        <v>15</v>
      </c>
      <c r="H764" t="s">
        <v>16</v>
      </c>
      <c r="I764" t="s">
        <v>17</v>
      </c>
      <c r="J764" t="s">
        <v>66</v>
      </c>
      <c r="K764">
        <v>0.1</v>
      </c>
    </row>
    <row r="765" spans="1:11" x14ac:dyDescent="0.25">
      <c r="A765" t="s">
        <v>803</v>
      </c>
      <c r="B765" s="1">
        <v>45060</v>
      </c>
      <c r="C765" t="s">
        <v>31</v>
      </c>
      <c r="D765" t="s">
        <v>13</v>
      </c>
      <c r="E765">
        <v>1000</v>
      </c>
      <c r="F765" t="s">
        <v>14</v>
      </c>
      <c r="G765" t="s">
        <v>24</v>
      </c>
      <c r="H765" t="s">
        <v>33</v>
      </c>
      <c r="I765" t="s">
        <v>34</v>
      </c>
      <c r="J765" t="s">
        <v>41</v>
      </c>
      <c r="K765">
        <v>0</v>
      </c>
    </row>
    <row r="766" spans="1:11" x14ac:dyDescent="0.25">
      <c r="A766" t="s">
        <v>804</v>
      </c>
      <c r="B766" s="1">
        <v>45640</v>
      </c>
      <c r="C766" t="s">
        <v>31</v>
      </c>
      <c r="D766" t="s">
        <v>27</v>
      </c>
      <c r="E766">
        <v>10800</v>
      </c>
      <c r="F766" t="s">
        <v>49</v>
      </c>
      <c r="G766" t="s">
        <v>28</v>
      </c>
      <c r="H766" t="s">
        <v>16</v>
      </c>
      <c r="I766" t="s">
        <v>17</v>
      </c>
      <c r="J766" t="s">
        <v>25</v>
      </c>
      <c r="K766">
        <v>0.1</v>
      </c>
    </row>
    <row r="767" spans="1:11" x14ac:dyDescent="0.25">
      <c r="A767" t="s">
        <v>805</v>
      </c>
      <c r="B767" s="1">
        <v>45368</v>
      </c>
      <c r="C767" t="s">
        <v>31</v>
      </c>
      <c r="D767" t="s">
        <v>27</v>
      </c>
      <c r="E767">
        <v>10800</v>
      </c>
      <c r="F767" t="s">
        <v>14</v>
      </c>
      <c r="G767" t="s">
        <v>15</v>
      </c>
      <c r="H767" t="s">
        <v>16</v>
      </c>
      <c r="I767" t="s">
        <v>17</v>
      </c>
      <c r="J767" t="s">
        <v>41</v>
      </c>
      <c r="K767">
        <v>0.1</v>
      </c>
    </row>
    <row r="768" spans="1:11" x14ac:dyDescent="0.25">
      <c r="A768" t="s">
        <v>806</v>
      </c>
      <c r="B768" s="1">
        <v>45327</v>
      </c>
      <c r="C768" t="s">
        <v>31</v>
      </c>
      <c r="D768" t="s">
        <v>27</v>
      </c>
      <c r="E768">
        <v>10800</v>
      </c>
      <c r="F768" t="s">
        <v>49</v>
      </c>
      <c r="G768" t="s">
        <v>24</v>
      </c>
      <c r="H768" t="s">
        <v>33</v>
      </c>
      <c r="I768" t="s">
        <v>34</v>
      </c>
      <c r="J768" t="s">
        <v>25</v>
      </c>
      <c r="K768">
        <v>0.1</v>
      </c>
    </row>
    <row r="769" spans="1:11" x14ac:dyDescent="0.25">
      <c r="A769" t="s">
        <v>807</v>
      </c>
      <c r="B769" s="1">
        <v>45139</v>
      </c>
      <c r="C769" t="s">
        <v>20</v>
      </c>
      <c r="D769" t="s">
        <v>27</v>
      </c>
      <c r="E769">
        <v>5400</v>
      </c>
      <c r="F769" t="s">
        <v>14</v>
      </c>
      <c r="G769" t="s">
        <v>24</v>
      </c>
      <c r="H769" t="s">
        <v>33</v>
      </c>
      <c r="I769" t="s">
        <v>34</v>
      </c>
      <c r="J769" t="s">
        <v>41</v>
      </c>
      <c r="K769">
        <v>0.1</v>
      </c>
    </row>
    <row r="770" spans="1:11" x14ac:dyDescent="0.25">
      <c r="A770" t="s">
        <v>808</v>
      </c>
      <c r="B770" s="1">
        <v>45101</v>
      </c>
      <c r="C770" t="s">
        <v>12</v>
      </c>
      <c r="D770" t="s">
        <v>27</v>
      </c>
      <c r="E770">
        <v>16200</v>
      </c>
      <c r="F770" t="s">
        <v>21</v>
      </c>
      <c r="G770" t="s">
        <v>28</v>
      </c>
      <c r="H770" t="s">
        <v>33</v>
      </c>
      <c r="I770" t="s">
        <v>34</v>
      </c>
      <c r="J770" t="s">
        <v>18</v>
      </c>
      <c r="K770">
        <v>0.1</v>
      </c>
    </row>
    <row r="771" spans="1:11" x14ac:dyDescent="0.25">
      <c r="A771" t="s">
        <v>809</v>
      </c>
      <c r="B771" s="1">
        <v>45353</v>
      </c>
      <c r="C771" t="s">
        <v>20</v>
      </c>
      <c r="D771" t="s">
        <v>27</v>
      </c>
      <c r="E771">
        <v>5400</v>
      </c>
      <c r="F771" t="s">
        <v>49</v>
      </c>
      <c r="G771" t="s">
        <v>24</v>
      </c>
      <c r="H771" t="s">
        <v>16</v>
      </c>
      <c r="I771" t="s">
        <v>17</v>
      </c>
      <c r="J771" t="s">
        <v>58</v>
      </c>
      <c r="K771">
        <v>0.1</v>
      </c>
    </row>
    <row r="772" spans="1:11" x14ac:dyDescent="0.25">
      <c r="A772" t="s">
        <v>810</v>
      </c>
      <c r="B772" s="1">
        <v>44976</v>
      </c>
      <c r="C772" t="s">
        <v>12</v>
      </c>
      <c r="D772" t="s">
        <v>13</v>
      </c>
      <c r="E772">
        <v>1500</v>
      </c>
      <c r="F772" t="s">
        <v>21</v>
      </c>
      <c r="G772" t="s">
        <v>24</v>
      </c>
      <c r="H772" t="s">
        <v>33</v>
      </c>
      <c r="I772" t="s">
        <v>34</v>
      </c>
      <c r="J772" t="s">
        <v>29</v>
      </c>
      <c r="K772">
        <v>0</v>
      </c>
    </row>
    <row r="773" spans="1:11" x14ac:dyDescent="0.25">
      <c r="A773" t="s">
        <v>811</v>
      </c>
      <c r="B773" s="1">
        <v>45413</v>
      </c>
      <c r="C773" t="s">
        <v>12</v>
      </c>
      <c r="D773" t="s">
        <v>13</v>
      </c>
      <c r="E773">
        <v>1500</v>
      </c>
      <c r="F773" t="s">
        <v>21</v>
      </c>
      <c r="G773" t="s">
        <v>28</v>
      </c>
      <c r="H773" t="s">
        <v>33</v>
      </c>
      <c r="I773" t="s">
        <v>34</v>
      </c>
      <c r="J773" t="s">
        <v>18</v>
      </c>
      <c r="K773">
        <v>0</v>
      </c>
    </row>
    <row r="774" spans="1:11" x14ac:dyDescent="0.25">
      <c r="A774" t="s">
        <v>812</v>
      </c>
      <c r="B774" s="1">
        <v>45420</v>
      </c>
      <c r="C774" t="s">
        <v>12</v>
      </c>
      <c r="D774" t="s">
        <v>27</v>
      </c>
      <c r="E774">
        <v>16200</v>
      </c>
      <c r="F774" t="s">
        <v>21</v>
      </c>
      <c r="G774" t="s">
        <v>15</v>
      </c>
      <c r="H774" t="s">
        <v>16</v>
      </c>
      <c r="I774" t="s">
        <v>17</v>
      </c>
      <c r="J774" t="s">
        <v>29</v>
      </c>
      <c r="K774">
        <v>0.1</v>
      </c>
    </row>
    <row r="775" spans="1:11" x14ac:dyDescent="0.25">
      <c r="A775" t="s">
        <v>813</v>
      </c>
      <c r="B775" s="1">
        <v>45016</v>
      </c>
      <c r="C775" t="s">
        <v>12</v>
      </c>
      <c r="D775" t="s">
        <v>13</v>
      </c>
      <c r="E775">
        <v>1500</v>
      </c>
      <c r="F775" t="s">
        <v>21</v>
      </c>
      <c r="G775" t="s">
        <v>28</v>
      </c>
      <c r="H775" t="s">
        <v>16</v>
      </c>
      <c r="I775" t="s">
        <v>17</v>
      </c>
      <c r="J775" t="s">
        <v>29</v>
      </c>
      <c r="K775">
        <v>0</v>
      </c>
    </row>
    <row r="776" spans="1:11" x14ac:dyDescent="0.25">
      <c r="A776" t="s">
        <v>814</v>
      </c>
      <c r="B776" s="1">
        <v>45643</v>
      </c>
      <c r="C776" t="s">
        <v>31</v>
      </c>
      <c r="D776" t="s">
        <v>13</v>
      </c>
      <c r="E776">
        <v>1000</v>
      </c>
      <c r="F776" t="s">
        <v>14</v>
      </c>
      <c r="G776" t="s">
        <v>24</v>
      </c>
      <c r="H776" t="s">
        <v>33</v>
      </c>
      <c r="I776" t="s">
        <v>34</v>
      </c>
      <c r="J776" t="s">
        <v>41</v>
      </c>
      <c r="K776">
        <v>0</v>
      </c>
    </row>
    <row r="777" spans="1:11" x14ac:dyDescent="0.25">
      <c r="A777" t="s">
        <v>815</v>
      </c>
      <c r="B777" s="1">
        <v>45214</v>
      </c>
      <c r="C777" t="s">
        <v>20</v>
      </c>
      <c r="D777" t="s">
        <v>13</v>
      </c>
      <c r="E777">
        <v>500</v>
      </c>
      <c r="F777" t="s">
        <v>14</v>
      </c>
      <c r="G777" t="s">
        <v>15</v>
      </c>
      <c r="H777" t="s">
        <v>16</v>
      </c>
      <c r="I777" t="s">
        <v>17</v>
      </c>
      <c r="J777" t="s">
        <v>37</v>
      </c>
      <c r="K777">
        <v>0</v>
      </c>
    </row>
    <row r="778" spans="1:11" x14ac:dyDescent="0.25">
      <c r="A778" t="s">
        <v>816</v>
      </c>
      <c r="B778" s="1">
        <v>45046</v>
      </c>
      <c r="C778" t="s">
        <v>12</v>
      </c>
      <c r="D778" t="s">
        <v>27</v>
      </c>
      <c r="E778">
        <v>16200</v>
      </c>
      <c r="F778" t="s">
        <v>32</v>
      </c>
      <c r="G778" t="s">
        <v>15</v>
      </c>
      <c r="H778" t="s">
        <v>16</v>
      </c>
      <c r="I778" t="s">
        <v>17</v>
      </c>
      <c r="J778" t="s">
        <v>35</v>
      </c>
      <c r="K778">
        <v>0.1</v>
      </c>
    </row>
    <row r="779" spans="1:11" x14ac:dyDescent="0.25">
      <c r="A779" t="s">
        <v>817</v>
      </c>
      <c r="B779" s="1">
        <v>45375</v>
      </c>
      <c r="C779" t="s">
        <v>31</v>
      </c>
      <c r="D779" t="s">
        <v>27</v>
      </c>
      <c r="E779">
        <v>10800</v>
      </c>
      <c r="F779" t="s">
        <v>14</v>
      </c>
      <c r="G779" t="s">
        <v>24</v>
      </c>
      <c r="H779" t="s">
        <v>33</v>
      </c>
      <c r="I779" t="s">
        <v>34</v>
      </c>
      <c r="J779" t="s">
        <v>55</v>
      </c>
      <c r="K779">
        <v>0.1</v>
      </c>
    </row>
    <row r="780" spans="1:11" x14ac:dyDescent="0.25">
      <c r="A780" t="s">
        <v>818</v>
      </c>
      <c r="B780" s="1">
        <v>45122</v>
      </c>
      <c r="C780" t="s">
        <v>12</v>
      </c>
      <c r="D780" t="s">
        <v>13</v>
      </c>
      <c r="E780">
        <v>1500</v>
      </c>
      <c r="F780" t="s">
        <v>49</v>
      </c>
      <c r="G780" t="s">
        <v>28</v>
      </c>
      <c r="H780" t="s">
        <v>16</v>
      </c>
      <c r="I780" t="s">
        <v>17</v>
      </c>
      <c r="J780" t="s">
        <v>50</v>
      </c>
      <c r="K780">
        <v>0</v>
      </c>
    </row>
    <row r="781" spans="1:11" x14ac:dyDescent="0.25">
      <c r="A781" t="s">
        <v>819</v>
      </c>
      <c r="B781" s="1">
        <v>45417</v>
      </c>
      <c r="C781" t="s">
        <v>12</v>
      </c>
      <c r="D781" t="s">
        <v>27</v>
      </c>
      <c r="E781">
        <v>16200</v>
      </c>
      <c r="F781" t="s">
        <v>32</v>
      </c>
      <c r="G781" t="s">
        <v>24</v>
      </c>
      <c r="H781" t="s">
        <v>33</v>
      </c>
      <c r="I781" t="s">
        <v>34</v>
      </c>
      <c r="J781" t="s">
        <v>39</v>
      </c>
      <c r="K781">
        <v>0.1</v>
      </c>
    </row>
    <row r="782" spans="1:11" x14ac:dyDescent="0.25">
      <c r="A782" t="s">
        <v>820</v>
      </c>
      <c r="B782" s="1">
        <v>45319</v>
      </c>
      <c r="C782" t="s">
        <v>12</v>
      </c>
      <c r="D782" t="s">
        <v>27</v>
      </c>
      <c r="E782">
        <v>16200</v>
      </c>
      <c r="F782" t="s">
        <v>32</v>
      </c>
      <c r="G782" t="s">
        <v>28</v>
      </c>
      <c r="H782" t="s">
        <v>16</v>
      </c>
      <c r="I782" t="s">
        <v>17</v>
      </c>
      <c r="J782" t="s">
        <v>66</v>
      </c>
      <c r="K782">
        <v>0.1</v>
      </c>
    </row>
    <row r="783" spans="1:11" x14ac:dyDescent="0.25">
      <c r="A783" t="s">
        <v>821</v>
      </c>
      <c r="B783" s="1">
        <v>45125</v>
      </c>
      <c r="C783" t="s">
        <v>12</v>
      </c>
      <c r="D783" t="s">
        <v>13</v>
      </c>
      <c r="E783">
        <v>1500</v>
      </c>
      <c r="F783" t="s">
        <v>32</v>
      </c>
      <c r="G783" t="s">
        <v>24</v>
      </c>
      <c r="H783" t="s">
        <v>33</v>
      </c>
      <c r="I783" t="s">
        <v>34</v>
      </c>
      <c r="J783" t="s">
        <v>25</v>
      </c>
      <c r="K783">
        <v>0</v>
      </c>
    </row>
    <row r="784" spans="1:11" x14ac:dyDescent="0.25">
      <c r="A784" t="s">
        <v>822</v>
      </c>
      <c r="B784" s="1">
        <v>45237</v>
      </c>
      <c r="C784" t="s">
        <v>31</v>
      </c>
      <c r="D784" t="s">
        <v>13</v>
      </c>
      <c r="E784">
        <v>1000</v>
      </c>
      <c r="F784" t="s">
        <v>49</v>
      </c>
      <c r="G784" t="s">
        <v>15</v>
      </c>
      <c r="H784" t="s">
        <v>16</v>
      </c>
      <c r="I784" t="s">
        <v>17</v>
      </c>
      <c r="J784" t="s">
        <v>22</v>
      </c>
      <c r="K784">
        <v>0</v>
      </c>
    </row>
    <row r="785" spans="1:11" x14ac:dyDescent="0.25">
      <c r="A785" t="s">
        <v>823</v>
      </c>
      <c r="B785" s="1">
        <v>45375</v>
      </c>
      <c r="C785" t="s">
        <v>20</v>
      </c>
      <c r="D785" t="s">
        <v>27</v>
      </c>
      <c r="E785">
        <v>5400</v>
      </c>
      <c r="F785" t="s">
        <v>21</v>
      </c>
      <c r="G785" t="s">
        <v>24</v>
      </c>
      <c r="H785" t="s">
        <v>33</v>
      </c>
      <c r="I785" t="s">
        <v>34</v>
      </c>
      <c r="J785" t="s">
        <v>18</v>
      </c>
      <c r="K785">
        <v>0.1</v>
      </c>
    </row>
    <row r="786" spans="1:11" x14ac:dyDescent="0.25">
      <c r="A786" t="s">
        <v>824</v>
      </c>
      <c r="B786" s="1">
        <v>45158</v>
      </c>
      <c r="C786" t="s">
        <v>20</v>
      </c>
      <c r="D786" t="s">
        <v>13</v>
      </c>
      <c r="E786">
        <v>500</v>
      </c>
      <c r="F786" t="s">
        <v>14</v>
      </c>
      <c r="G786" t="s">
        <v>28</v>
      </c>
      <c r="H786" t="s">
        <v>33</v>
      </c>
      <c r="I786" t="s">
        <v>34</v>
      </c>
      <c r="J786" t="s">
        <v>18</v>
      </c>
      <c r="K786">
        <v>0</v>
      </c>
    </row>
    <row r="787" spans="1:11" x14ac:dyDescent="0.25">
      <c r="A787" t="s">
        <v>825</v>
      </c>
      <c r="B787" s="1">
        <v>45526</v>
      </c>
      <c r="C787" t="s">
        <v>20</v>
      </c>
      <c r="D787" t="s">
        <v>13</v>
      </c>
      <c r="E787">
        <v>500</v>
      </c>
      <c r="F787" t="s">
        <v>32</v>
      </c>
      <c r="G787" t="s">
        <v>28</v>
      </c>
      <c r="H787" t="s">
        <v>33</v>
      </c>
      <c r="I787" t="s">
        <v>34</v>
      </c>
      <c r="J787" t="s">
        <v>35</v>
      </c>
      <c r="K787">
        <v>0</v>
      </c>
    </row>
    <row r="788" spans="1:11" x14ac:dyDescent="0.25">
      <c r="A788" t="s">
        <v>826</v>
      </c>
      <c r="B788" s="1">
        <v>45463</v>
      </c>
      <c r="C788" t="s">
        <v>31</v>
      </c>
      <c r="D788" t="s">
        <v>27</v>
      </c>
      <c r="E788">
        <v>10800</v>
      </c>
      <c r="F788" t="s">
        <v>14</v>
      </c>
      <c r="G788" t="s">
        <v>28</v>
      </c>
      <c r="H788" t="s">
        <v>33</v>
      </c>
      <c r="I788" t="s">
        <v>34</v>
      </c>
      <c r="J788" t="s">
        <v>41</v>
      </c>
      <c r="K788">
        <v>0.1</v>
      </c>
    </row>
    <row r="789" spans="1:11" x14ac:dyDescent="0.25">
      <c r="A789" t="s">
        <v>827</v>
      </c>
      <c r="B789" s="1">
        <v>45000</v>
      </c>
      <c r="C789" t="s">
        <v>12</v>
      </c>
      <c r="D789" t="s">
        <v>27</v>
      </c>
      <c r="E789">
        <v>16200</v>
      </c>
      <c r="F789" t="s">
        <v>21</v>
      </c>
      <c r="G789" t="s">
        <v>15</v>
      </c>
      <c r="H789" t="s">
        <v>33</v>
      </c>
      <c r="I789" t="s">
        <v>34</v>
      </c>
      <c r="J789" t="s">
        <v>29</v>
      </c>
      <c r="K789">
        <v>0.1</v>
      </c>
    </row>
    <row r="790" spans="1:11" x14ac:dyDescent="0.25">
      <c r="A790" t="s">
        <v>828</v>
      </c>
      <c r="B790" s="1">
        <v>45393</v>
      </c>
      <c r="C790" t="s">
        <v>20</v>
      </c>
      <c r="D790" t="s">
        <v>27</v>
      </c>
      <c r="E790">
        <v>5400</v>
      </c>
      <c r="F790" t="s">
        <v>49</v>
      </c>
      <c r="G790" t="s">
        <v>24</v>
      </c>
      <c r="H790" t="s">
        <v>16</v>
      </c>
      <c r="I790" t="s">
        <v>17</v>
      </c>
      <c r="J790" t="s">
        <v>58</v>
      </c>
      <c r="K790">
        <v>0.1</v>
      </c>
    </row>
    <row r="791" spans="1:11" x14ac:dyDescent="0.25">
      <c r="A791" t="s">
        <v>829</v>
      </c>
      <c r="B791" s="1">
        <v>45408</v>
      </c>
      <c r="C791" t="s">
        <v>20</v>
      </c>
      <c r="D791" t="s">
        <v>13</v>
      </c>
      <c r="E791">
        <v>500</v>
      </c>
      <c r="F791" t="s">
        <v>14</v>
      </c>
      <c r="G791" t="s">
        <v>28</v>
      </c>
      <c r="H791" t="s">
        <v>16</v>
      </c>
      <c r="I791" t="s">
        <v>17</v>
      </c>
      <c r="J791" t="s">
        <v>55</v>
      </c>
      <c r="K791">
        <v>0</v>
      </c>
    </row>
    <row r="792" spans="1:11" x14ac:dyDescent="0.25">
      <c r="A792" t="s">
        <v>830</v>
      </c>
      <c r="B792" s="1">
        <v>45506</v>
      </c>
      <c r="C792" t="s">
        <v>20</v>
      </c>
      <c r="D792" t="s">
        <v>27</v>
      </c>
      <c r="E792">
        <v>5400</v>
      </c>
      <c r="F792" t="s">
        <v>14</v>
      </c>
      <c r="G792" t="s">
        <v>28</v>
      </c>
      <c r="H792" t="s">
        <v>33</v>
      </c>
      <c r="I792" t="s">
        <v>34</v>
      </c>
      <c r="J792" t="s">
        <v>37</v>
      </c>
      <c r="K792">
        <v>0.1</v>
      </c>
    </row>
    <row r="793" spans="1:11" x14ac:dyDescent="0.25">
      <c r="A793" t="s">
        <v>831</v>
      </c>
      <c r="B793" s="1">
        <v>44933</v>
      </c>
      <c r="C793" t="s">
        <v>12</v>
      </c>
      <c r="D793" t="s">
        <v>27</v>
      </c>
      <c r="E793">
        <v>16200</v>
      </c>
      <c r="F793" t="s">
        <v>49</v>
      </c>
      <c r="G793" t="s">
        <v>28</v>
      </c>
      <c r="H793" t="s">
        <v>16</v>
      </c>
      <c r="I793" t="s">
        <v>17</v>
      </c>
      <c r="J793" t="s">
        <v>35</v>
      </c>
      <c r="K793">
        <v>0.1</v>
      </c>
    </row>
    <row r="794" spans="1:11" x14ac:dyDescent="0.25">
      <c r="A794" t="s">
        <v>832</v>
      </c>
      <c r="B794" s="1">
        <v>44995</v>
      </c>
      <c r="C794" t="s">
        <v>31</v>
      </c>
      <c r="D794" t="s">
        <v>13</v>
      </c>
      <c r="E794">
        <v>1000</v>
      </c>
      <c r="F794" t="s">
        <v>49</v>
      </c>
      <c r="G794" t="s">
        <v>28</v>
      </c>
      <c r="H794" t="s">
        <v>33</v>
      </c>
      <c r="I794" t="s">
        <v>34</v>
      </c>
      <c r="J794" t="s">
        <v>58</v>
      </c>
      <c r="K794">
        <v>0</v>
      </c>
    </row>
    <row r="795" spans="1:11" x14ac:dyDescent="0.25">
      <c r="A795" t="s">
        <v>833</v>
      </c>
      <c r="B795" s="1">
        <v>45166</v>
      </c>
      <c r="C795" t="s">
        <v>20</v>
      </c>
      <c r="D795" t="s">
        <v>27</v>
      </c>
      <c r="E795">
        <v>5400</v>
      </c>
      <c r="F795" t="s">
        <v>32</v>
      </c>
      <c r="G795" t="s">
        <v>28</v>
      </c>
      <c r="H795" t="s">
        <v>33</v>
      </c>
      <c r="I795" t="s">
        <v>34</v>
      </c>
      <c r="J795" t="s">
        <v>44</v>
      </c>
      <c r="K795">
        <v>0.1</v>
      </c>
    </row>
    <row r="796" spans="1:11" x14ac:dyDescent="0.25">
      <c r="A796" t="s">
        <v>834</v>
      </c>
      <c r="B796" s="1">
        <v>44964</v>
      </c>
      <c r="C796" t="s">
        <v>20</v>
      </c>
      <c r="D796" t="s">
        <v>13</v>
      </c>
      <c r="E796">
        <v>500</v>
      </c>
      <c r="F796" t="s">
        <v>49</v>
      </c>
      <c r="G796" t="s">
        <v>15</v>
      </c>
      <c r="H796" t="s">
        <v>33</v>
      </c>
      <c r="I796" t="s">
        <v>34</v>
      </c>
      <c r="J796" t="s">
        <v>22</v>
      </c>
      <c r="K796">
        <v>0</v>
      </c>
    </row>
    <row r="797" spans="1:11" x14ac:dyDescent="0.25">
      <c r="A797" t="s">
        <v>835</v>
      </c>
      <c r="B797" s="1">
        <v>45568</v>
      </c>
      <c r="C797" t="s">
        <v>31</v>
      </c>
      <c r="D797" t="s">
        <v>13</v>
      </c>
      <c r="E797">
        <v>1000</v>
      </c>
      <c r="F797" t="s">
        <v>21</v>
      </c>
      <c r="G797" t="s">
        <v>15</v>
      </c>
      <c r="H797" t="s">
        <v>16</v>
      </c>
      <c r="I797" t="s">
        <v>17</v>
      </c>
      <c r="J797" t="s">
        <v>29</v>
      </c>
      <c r="K797">
        <v>0</v>
      </c>
    </row>
    <row r="798" spans="1:11" x14ac:dyDescent="0.25">
      <c r="A798" t="s">
        <v>836</v>
      </c>
      <c r="B798" s="1">
        <v>45291</v>
      </c>
      <c r="C798" t="s">
        <v>12</v>
      </c>
      <c r="D798" t="s">
        <v>27</v>
      </c>
      <c r="E798">
        <v>16200</v>
      </c>
      <c r="F798" t="s">
        <v>49</v>
      </c>
      <c r="G798" t="s">
        <v>28</v>
      </c>
      <c r="H798" t="s">
        <v>16</v>
      </c>
      <c r="I798" t="s">
        <v>17</v>
      </c>
      <c r="J798" t="s">
        <v>50</v>
      </c>
      <c r="K798">
        <v>0.1</v>
      </c>
    </row>
    <row r="799" spans="1:11" x14ac:dyDescent="0.25">
      <c r="A799" t="s">
        <v>837</v>
      </c>
      <c r="B799" s="1">
        <v>44992</v>
      </c>
      <c r="C799" t="s">
        <v>12</v>
      </c>
      <c r="D799" t="s">
        <v>27</v>
      </c>
      <c r="E799">
        <v>16200</v>
      </c>
      <c r="F799" t="s">
        <v>32</v>
      </c>
      <c r="G799" t="s">
        <v>15</v>
      </c>
      <c r="H799" t="s">
        <v>16</v>
      </c>
      <c r="I799" t="s">
        <v>17</v>
      </c>
      <c r="J799" t="s">
        <v>25</v>
      </c>
      <c r="K799">
        <v>0.1</v>
      </c>
    </row>
    <row r="800" spans="1:11" x14ac:dyDescent="0.25">
      <c r="A800" t="s">
        <v>838</v>
      </c>
      <c r="B800" s="1">
        <v>45412</v>
      </c>
      <c r="C800" t="s">
        <v>20</v>
      </c>
      <c r="D800" t="s">
        <v>13</v>
      </c>
      <c r="E800">
        <v>500</v>
      </c>
      <c r="F800" t="s">
        <v>49</v>
      </c>
      <c r="G800" t="s">
        <v>15</v>
      </c>
      <c r="H800" t="s">
        <v>33</v>
      </c>
      <c r="I800" t="s">
        <v>34</v>
      </c>
      <c r="J800" t="s">
        <v>50</v>
      </c>
      <c r="K800">
        <v>0</v>
      </c>
    </row>
    <row r="801" spans="1:11" x14ac:dyDescent="0.25">
      <c r="A801" t="s">
        <v>839</v>
      </c>
      <c r="B801" s="1">
        <v>45144</v>
      </c>
      <c r="C801" t="s">
        <v>12</v>
      </c>
      <c r="D801" t="s">
        <v>27</v>
      </c>
      <c r="E801">
        <v>16200</v>
      </c>
      <c r="F801" t="s">
        <v>32</v>
      </c>
      <c r="G801" t="s">
        <v>15</v>
      </c>
      <c r="H801" t="s">
        <v>16</v>
      </c>
      <c r="I801" t="s">
        <v>17</v>
      </c>
      <c r="J801" t="s">
        <v>66</v>
      </c>
      <c r="K801">
        <v>0.1</v>
      </c>
    </row>
    <row r="802" spans="1:11" x14ac:dyDescent="0.25">
      <c r="A802" t="s">
        <v>840</v>
      </c>
      <c r="B802" s="1">
        <v>45435</v>
      </c>
      <c r="C802" t="s">
        <v>20</v>
      </c>
      <c r="D802" t="s">
        <v>27</v>
      </c>
      <c r="E802">
        <v>5400</v>
      </c>
      <c r="F802" t="s">
        <v>49</v>
      </c>
      <c r="G802" t="s">
        <v>28</v>
      </c>
      <c r="H802" t="s">
        <v>16</v>
      </c>
      <c r="I802" t="s">
        <v>17</v>
      </c>
      <c r="J802" t="s">
        <v>18</v>
      </c>
      <c r="K802">
        <v>0.1</v>
      </c>
    </row>
    <row r="803" spans="1:11" x14ac:dyDescent="0.25">
      <c r="A803" t="s">
        <v>841</v>
      </c>
      <c r="B803" s="1">
        <v>45168</v>
      </c>
      <c r="C803" t="s">
        <v>12</v>
      </c>
      <c r="D803" t="s">
        <v>27</v>
      </c>
      <c r="E803">
        <v>16200</v>
      </c>
      <c r="F803" t="s">
        <v>32</v>
      </c>
      <c r="G803" t="s">
        <v>28</v>
      </c>
      <c r="H803" t="s">
        <v>33</v>
      </c>
      <c r="I803" t="s">
        <v>34</v>
      </c>
      <c r="J803" t="s">
        <v>66</v>
      </c>
      <c r="K803">
        <v>0.1</v>
      </c>
    </row>
    <row r="804" spans="1:11" x14ac:dyDescent="0.25">
      <c r="A804" t="s">
        <v>842</v>
      </c>
      <c r="B804" s="1">
        <v>45019</v>
      </c>
      <c r="C804" t="s">
        <v>20</v>
      </c>
      <c r="D804" t="s">
        <v>13</v>
      </c>
      <c r="E804">
        <v>500</v>
      </c>
      <c r="F804" t="s">
        <v>49</v>
      </c>
      <c r="G804" t="s">
        <v>15</v>
      </c>
      <c r="H804" t="s">
        <v>33</v>
      </c>
      <c r="I804" t="s">
        <v>34</v>
      </c>
      <c r="J804" t="s">
        <v>58</v>
      </c>
      <c r="K804">
        <v>0</v>
      </c>
    </row>
    <row r="805" spans="1:11" x14ac:dyDescent="0.25">
      <c r="A805" t="s">
        <v>843</v>
      </c>
      <c r="B805" s="1">
        <v>45466</v>
      </c>
      <c r="C805" t="s">
        <v>31</v>
      </c>
      <c r="D805" t="s">
        <v>13</v>
      </c>
      <c r="E805">
        <v>1000</v>
      </c>
      <c r="F805" t="s">
        <v>49</v>
      </c>
      <c r="G805" t="s">
        <v>24</v>
      </c>
      <c r="H805" t="s">
        <v>33</v>
      </c>
      <c r="I805" t="s">
        <v>34</v>
      </c>
      <c r="J805" t="s">
        <v>58</v>
      </c>
      <c r="K805">
        <v>0</v>
      </c>
    </row>
    <row r="806" spans="1:11" x14ac:dyDescent="0.25">
      <c r="A806" t="s">
        <v>844</v>
      </c>
      <c r="B806" s="1">
        <v>45352</v>
      </c>
      <c r="C806" t="s">
        <v>20</v>
      </c>
      <c r="D806" t="s">
        <v>27</v>
      </c>
      <c r="E806">
        <v>5400</v>
      </c>
      <c r="F806" t="s">
        <v>14</v>
      </c>
      <c r="G806" t="s">
        <v>24</v>
      </c>
      <c r="H806" t="s">
        <v>16</v>
      </c>
      <c r="I806" t="s">
        <v>17</v>
      </c>
      <c r="J806" t="s">
        <v>37</v>
      </c>
      <c r="K806">
        <v>0.1</v>
      </c>
    </row>
    <row r="807" spans="1:11" x14ac:dyDescent="0.25">
      <c r="A807" t="s">
        <v>845</v>
      </c>
      <c r="B807" s="1">
        <v>45221</v>
      </c>
      <c r="C807" t="s">
        <v>20</v>
      </c>
      <c r="D807" t="s">
        <v>13</v>
      </c>
      <c r="E807">
        <v>500</v>
      </c>
      <c r="F807" t="s">
        <v>14</v>
      </c>
      <c r="G807" t="s">
        <v>28</v>
      </c>
      <c r="H807" t="s">
        <v>33</v>
      </c>
      <c r="I807" t="s">
        <v>34</v>
      </c>
      <c r="J807" t="s">
        <v>41</v>
      </c>
      <c r="K807">
        <v>0</v>
      </c>
    </row>
    <row r="808" spans="1:11" x14ac:dyDescent="0.25">
      <c r="A808" t="s">
        <v>846</v>
      </c>
      <c r="B808" s="1">
        <v>45541</v>
      </c>
      <c r="C808" t="s">
        <v>12</v>
      </c>
      <c r="D808" t="s">
        <v>13</v>
      </c>
      <c r="E808">
        <v>1500</v>
      </c>
      <c r="F808" t="s">
        <v>49</v>
      </c>
      <c r="G808" t="s">
        <v>28</v>
      </c>
      <c r="H808" t="s">
        <v>16</v>
      </c>
      <c r="I808" t="s">
        <v>17</v>
      </c>
      <c r="J808" t="s">
        <v>35</v>
      </c>
      <c r="K808">
        <v>0</v>
      </c>
    </row>
    <row r="809" spans="1:11" x14ac:dyDescent="0.25">
      <c r="A809" t="s">
        <v>847</v>
      </c>
      <c r="B809" s="1">
        <v>45596</v>
      </c>
      <c r="C809" t="s">
        <v>12</v>
      </c>
      <c r="D809" t="s">
        <v>27</v>
      </c>
      <c r="E809">
        <v>16200</v>
      </c>
      <c r="F809" t="s">
        <v>14</v>
      </c>
      <c r="G809" t="s">
        <v>24</v>
      </c>
      <c r="H809" t="s">
        <v>16</v>
      </c>
      <c r="I809" t="s">
        <v>17</v>
      </c>
      <c r="J809" t="s">
        <v>37</v>
      </c>
      <c r="K809">
        <v>0.1</v>
      </c>
    </row>
    <row r="810" spans="1:11" x14ac:dyDescent="0.25">
      <c r="A810" t="s">
        <v>848</v>
      </c>
      <c r="B810" s="1">
        <v>45211</v>
      </c>
      <c r="C810" t="s">
        <v>20</v>
      </c>
      <c r="D810" t="s">
        <v>13</v>
      </c>
      <c r="E810">
        <v>500</v>
      </c>
      <c r="F810" t="s">
        <v>14</v>
      </c>
      <c r="G810" t="s">
        <v>24</v>
      </c>
      <c r="H810" t="s">
        <v>16</v>
      </c>
      <c r="I810" t="s">
        <v>17</v>
      </c>
      <c r="J810" t="s">
        <v>37</v>
      </c>
      <c r="K810">
        <v>0</v>
      </c>
    </row>
    <row r="811" spans="1:11" x14ac:dyDescent="0.25">
      <c r="A811" t="s">
        <v>849</v>
      </c>
      <c r="B811" s="1">
        <v>45420</v>
      </c>
      <c r="C811" t="s">
        <v>12</v>
      </c>
      <c r="D811" t="s">
        <v>13</v>
      </c>
      <c r="E811">
        <v>1500</v>
      </c>
      <c r="F811" t="s">
        <v>21</v>
      </c>
      <c r="G811" t="s">
        <v>15</v>
      </c>
      <c r="H811" t="s">
        <v>16</v>
      </c>
      <c r="I811" t="s">
        <v>17</v>
      </c>
      <c r="J811" t="s">
        <v>18</v>
      </c>
      <c r="K811">
        <v>0</v>
      </c>
    </row>
    <row r="812" spans="1:11" x14ac:dyDescent="0.25">
      <c r="A812" t="s">
        <v>850</v>
      </c>
      <c r="B812" s="1">
        <v>45358</v>
      </c>
      <c r="C812" t="s">
        <v>12</v>
      </c>
      <c r="D812" t="s">
        <v>27</v>
      </c>
      <c r="E812">
        <v>16200</v>
      </c>
      <c r="F812" t="s">
        <v>21</v>
      </c>
      <c r="G812" t="s">
        <v>28</v>
      </c>
      <c r="H812" t="s">
        <v>33</v>
      </c>
      <c r="I812" t="s">
        <v>34</v>
      </c>
      <c r="J812" t="s">
        <v>29</v>
      </c>
      <c r="K812">
        <v>0.1</v>
      </c>
    </row>
    <row r="813" spans="1:11" x14ac:dyDescent="0.25">
      <c r="A813" t="s">
        <v>851</v>
      </c>
      <c r="B813" s="1">
        <v>45337</v>
      </c>
      <c r="C813" t="s">
        <v>12</v>
      </c>
      <c r="D813" t="s">
        <v>27</v>
      </c>
      <c r="E813">
        <v>16200</v>
      </c>
      <c r="F813" t="s">
        <v>49</v>
      </c>
      <c r="G813" t="s">
        <v>15</v>
      </c>
      <c r="H813" t="s">
        <v>33</v>
      </c>
      <c r="I813" t="s">
        <v>34</v>
      </c>
      <c r="J813" t="s">
        <v>25</v>
      </c>
      <c r="K813">
        <v>0.1</v>
      </c>
    </row>
    <row r="814" spans="1:11" x14ac:dyDescent="0.25">
      <c r="A814" t="s">
        <v>852</v>
      </c>
      <c r="B814" s="1">
        <v>45455</v>
      </c>
      <c r="C814" t="s">
        <v>31</v>
      </c>
      <c r="D814" t="s">
        <v>27</v>
      </c>
      <c r="E814">
        <v>10800</v>
      </c>
      <c r="F814" t="s">
        <v>32</v>
      </c>
      <c r="G814" t="s">
        <v>28</v>
      </c>
      <c r="H814" t="s">
        <v>16</v>
      </c>
      <c r="I814" t="s">
        <v>17</v>
      </c>
      <c r="J814" t="s">
        <v>25</v>
      </c>
      <c r="K814">
        <v>0.1</v>
      </c>
    </row>
    <row r="815" spans="1:11" x14ac:dyDescent="0.25">
      <c r="A815" t="s">
        <v>853</v>
      </c>
      <c r="B815" s="1">
        <v>45633</v>
      </c>
      <c r="C815" t="s">
        <v>12</v>
      </c>
      <c r="D815" t="s">
        <v>13</v>
      </c>
      <c r="E815">
        <v>1500</v>
      </c>
      <c r="F815" t="s">
        <v>21</v>
      </c>
      <c r="G815" t="s">
        <v>15</v>
      </c>
      <c r="H815" t="s">
        <v>16</v>
      </c>
      <c r="I815" t="s">
        <v>17</v>
      </c>
      <c r="J815" t="s">
        <v>18</v>
      </c>
      <c r="K815">
        <v>0</v>
      </c>
    </row>
    <row r="816" spans="1:11" x14ac:dyDescent="0.25">
      <c r="A816" t="s">
        <v>854</v>
      </c>
      <c r="B816" s="1">
        <v>45157</v>
      </c>
      <c r="C816" t="s">
        <v>12</v>
      </c>
      <c r="D816" t="s">
        <v>27</v>
      </c>
      <c r="E816">
        <v>16200</v>
      </c>
      <c r="F816" t="s">
        <v>32</v>
      </c>
      <c r="G816" t="s">
        <v>15</v>
      </c>
      <c r="H816" t="s">
        <v>33</v>
      </c>
      <c r="I816" t="s">
        <v>34</v>
      </c>
      <c r="J816" t="s">
        <v>39</v>
      </c>
      <c r="K816">
        <v>0.1</v>
      </c>
    </row>
    <row r="817" spans="1:11" x14ac:dyDescent="0.25">
      <c r="A817" t="s">
        <v>855</v>
      </c>
      <c r="B817" s="1">
        <v>45312</v>
      </c>
      <c r="C817" t="s">
        <v>20</v>
      </c>
      <c r="D817" t="s">
        <v>13</v>
      </c>
      <c r="E817">
        <v>500</v>
      </c>
      <c r="F817" t="s">
        <v>32</v>
      </c>
      <c r="G817" t="s">
        <v>28</v>
      </c>
      <c r="H817" t="s">
        <v>16</v>
      </c>
      <c r="I817" t="s">
        <v>17</v>
      </c>
      <c r="J817" t="s">
        <v>44</v>
      </c>
      <c r="K817">
        <v>0</v>
      </c>
    </row>
    <row r="818" spans="1:11" x14ac:dyDescent="0.25">
      <c r="A818" t="s">
        <v>856</v>
      </c>
      <c r="B818" s="1">
        <v>45513</v>
      </c>
      <c r="C818" t="s">
        <v>12</v>
      </c>
      <c r="D818" t="s">
        <v>27</v>
      </c>
      <c r="E818">
        <v>16200</v>
      </c>
      <c r="F818" t="s">
        <v>21</v>
      </c>
      <c r="G818" t="s">
        <v>28</v>
      </c>
      <c r="H818" t="s">
        <v>33</v>
      </c>
      <c r="I818" t="s">
        <v>34</v>
      </c>
      <c r="J818" t="s">
        <v>18</v>
      </c>
      <c r="K818">
        <v>0.1</v>
      </c>
    </row>
    <row r="819" spans="1:11" x14ac:dyDescent="0.25">
      <c r="A819" t="s">
        <v>857</v>
      </c>
      <c r="B819" s="1">
        <v>45396</v>
      </c>
      <c r="C819" t="s">
        <v>12</v>
      </c>
      <c r="D819" t="s">
        <v>13</v>
      </c>
      <c r="E819">
        <v>1500</v>
      </c>
      <c r="F819" t="s">
        <v>49</v>
      </c>
      <c r="G819" t="s">
        <v>24</v>
      </c>
      <c r="H819" t="s">
        <v>16</v>
      </c>
      <c r="I819" t="s">
        <v>17</v>
      </c>
      <c r="J819" t="s">
        <v>18</v>
      </c>
      <c r="K819">
        <v>0</v>
      </c>
    </row>
    <row r="820" spans="1:11" x14ac:dyDescent="0.25">
      <c r="A820" t="s">
        <v>858</v>
      </c>
      <c r="B820" s="1">
        <v>45100</v>
      </c>
      <c r="C820" t="s">
        <v>12</v>
      </c>
      <c r="D820" t="s">
        <v>27</v>
      </c>
      <c r="E820">
        <v>16200</v>
      </c>
      <c r="F820" t="s">
        <v>14</v>
      </c>
      <c r="G820" t="s">
        <v>28</v>
      </c>
      <c r="H820" t="s">
        <v>16</v>
      </c>
      <c r="I820" t="s">
        <v>17</v>
      </c>
      <c r="J820" t="s">
        <v>18</v>
      </c>
      <c r="K820">
        <v>0.1</v>
      </c>
    </row>
    <row r="821" spans="1:11" x14ac:dyDescent="0.25">
      <c r="A821" t="s">
        <v>859</v>
      </c>
      <c r="B821" s="1">
        <v>45316</v>
      </c>
      <c r="C821" t="s">
        <v>12</v>
      </c>
      <c r="D821" t="s">
        <v>27</v>
      </c>
      <c r="E821">
        <v>16200</v>
      </c>
      <c r="F821" t="s">
        <v>49</v>
      </c>
      <c r="G821" t="s">
        <v>24</v>
      </c>
      <c r="H821" t="s">
        <v>16</v>
      </c>
      <c r="I821" t="s">
        <v>17</v>
      </c>
      <c r="J821" t="s">
        <v>35</v>
      </c>
      <c r="K821">
        <v>0.1</v>
      </c>
    </row>
    <row r="822" spans="1:11" x14ac:dyDescent="0.25">
      <c r="A822" t="s">
        <v>860</v>
      </c>
      <c r="B822" s="1">
        <v>45405</v>
      </c>
      <c r="C822" t="s">
        <v>20</v>
      </c>
      <c r="D822" t="s">
        <v>13</v>
      </c>
      <c r="E822">
        <v>500</v>
      </c>
      <c r="F822" t="s">
        <v>49</v>
      </c>
      <c r="G822" t="s">
        <v>24</v>
      </c>
      <c r="H822" t="s">
        <v>33</v>
      </c>
      <c r="I822" t="s">
        <v>34</v>
      </c>
      <c r="J822" t="s">
        <v>50</v>
      </c>
      <c r="K822">
        <v>0</v>
      </c>
    </row>
    <row r="823" spans="1:11" x14ac:dyDescent="0.25">
      <c r="A823" t="s">
        <v>861</v>
      </c>
      <c r="B823" s="1">
        <v>45125</v>
      </c>
      <c r="C823" t="s">
        <v>20</v>
      </c>
      <c r="D823" t="s">
        <v>13</v>
      </c>
      <c r="E823">
        <v>500</v>
      </c>
      <c r="F823" t="s">
        <v>21</v>
      </c>
      <c r="G823" t="s">
        <v>15</v>
      </c>
      <c r="H823" t="s">
        <v>16</v>
      </c>
      <c r="I823" t="s">
        <v>17</v>
      </c>
      <c r="J823" t="s">
        <v>18</v>
      </c>
      <c r="K823">
        <v>0</v>
      </c>
    </row>
    <row r="824" spans="1:11" x14ac:dyDescent="0.25">
      <c r="A824" t="s">
        <v>862</v>
      </c>
      <c r="B824" s="1">
        <v>45147</v>
      </c>
      <c r="C824" t="s">
        <v>31</v>
      </c>
      <c r="D824" t="s">
        <v>27</v>
      </c>
      <c r="E824">
        <v>10800</v>
      </c>
      <c r="F824" t="s">
        <v>21</v>
      </c>
      <c r="G824" t="s">
        <v>28</v>
      </c>
      <c r="H824" t="s">
        <v>16</v>
      </c>
      <c r="I824" t="s">
        <v>17</v>
      </c>
      <c r="J824" t="s">
        <v>29</v>
      </c>
      <c r="K824">
        <v>0.1</v>
      </c>
    </row>
    <row r="825" spans="1:11" x14ac:dyDescent="0.25">
      <c r="A825" t="s">
        <v>863</v>
      </c>
      <c r="B825" s="1">
        <v>45378</v>
      </c>
      <c r="C825" t="s">
        <v>20</v>
      </c>
      <c r="D825" t="s">
        <v>13</v>
      </c>
      <c r="E825">
        <v>500</v>
      </c>
      <c r="F825" t="s">
        <v>21</v>
      </c>
      <c r="G825" t="s">
        <v>24</v>
      </c>
      <c r="H825" t="s">
        <v>16</v>
      </c>
      <c r="I825" t="s">
        <v>17</v>
      </c>
      <c r="J825" t="s">
        <v>25</v>
      </c>
      <c r="K825">
        <v>0</v>
      </c>
    </row>
    <row r="826" spans="1:11" x14ac:dyDescent="0.25">
      <c r="A826" t="s">
        <v>864</v>
      </c>
      <c r="B826" s="1">
        <v>45110</v>
      </c>
      <c r="C826" t="s">
        <v>20</v>
      </c>
      <c r="D826" t="s">
        <v>27</v>
      </c>
      <c r="E826">
        <v>5400</v>
      </c>
      <c r="F826" t="s">
        <v>49</v>
      </c>
      <c r="G826" t="s">
        <v>24</v>
      </c>
      <c r="H826" t="s">
        <v>16</v>
      </c>
      <c r="I826" t="s">
        <v>17</v>
      </c>
      <c r="J826" t="s">
        <v>58</v>
      </c>
      <c r="K826">
        <v>0.1</v>
      </c>
    </row>
    <row r="827" spans="1:11" x14ac:dyDescent="0.25">
      <c r="A827" t="s">
        <v>865</v>
      </c>
      <c r="B827" s="1">
        <v>45156</v>
      </c>
      <c r="C827" t="s">
        <v>20</v>
      </c>
      <c r="D827" t="s">
        <v>13</v>
      </c>
      <c r="E827">
        <v>500</v>
      </c>
      <c r="F827" t="s">
        <v>21</v>
      </c>
      <c r="G827" t="s">
        <v>28</v>
      </c>
      <c r="H827" t="s">
        <v>16</v>
      </c>
      <c r="I827" t="s">
        <v>17</v>
      </c>
      <c r="J827" t="s">
        <v>18</v>
      </c>
      <c r="K827">
        <v>0</v>
      </c>
    </row>
    <row r="828" spans="1:11" x14ac:dyDescent="0.25">
      <c r="A828" t="s">
        <v>866</v>
      </c>
      <c r="B828" s="1">
        <v>45298</v>
      </c>
      <c r="C828" t="s">
        <v>12</v>
      </c>
      <c r="D828" t="s">
        <v>27</v>
      </c>
      <c r="E828">
        <v>16200</v>
      </c>
      <c r="F828" t="s">
        <v>21</v>
      </c>
      <c r="G828" t="s">
        <v>15</v>
      </c>
      <c r="H828" t="s">
        <v>16</v>
      </c>
      <c r="I828" t="s">
        <v>17</v>
      </c>
      <c r="J828" t="s">
        <v>29</v>
      </c>
      <c r="K828">
        <v>0.1</v>
      </c>
    </row>
    <row r="829" spans="1:11" x14ac:dyDescent="0.25">
      <c r="A829" t="s">
        <v>867</v>
      </c>
      <c r="B829" s="1">
        <v>45172</v>
      </c>
      <c r="C829" t="s">
        <v>12</v>
      </c>
      <c r="D829" t="s">
        <v>13</v>
      </c>
      <c r="E829">
        <v>1500</v>
      </c>
      <c r="F829" t="s">
        <v>14</v>
      </c>
      <c r="G829" t="s">
        <v>28</v>
      </c>
      <c r="H829" t="s">
        <v>16</v>
      </c>
      <c r="I829" t="s">
        <v>17</v>
      </c>
      <c r="J829" t="s">
        <v>22</v>
      </c>
      <c r="K829">
        <v>0</v>
      </c>
    </row>
    <row r="830" spans="1:11" x14ac:dyDescent="0.25">
      <c r="A830" t="s">
        <v>868</v>
      </c>
      <c r="B830" s="1">
        <v>45435</v>
      </c>
      <c r="C830" t="s">
        <v>12</v>
      </c>
      <c r="D830" t="s">
        <v>13</v>
      </c>
      <c r="E830">
        <v>1500</v>
      </c>
      <c r="F830" t="s">
        <v>32</v>
      </c>
      <c r="G830" t="s">
        <v>28</v>
      </c>
      <c r="H830" t="s">
        <v>33</v>
      </c>
      <c r="I830" t="s">
        <v>34</v>
      </c>
      <c r="J830" t="s">
        <v>44</v>
      </c>
      <c r="K830">
        <v>0</v>
      </c>
    </row>
    <row r="831" spans="1:11" x14ac:dyDescent="0.25">
      <c r="A831" t="s">
        <v>869</v>
      </c>
      <c r="B831" s="1">
        <v>45124</v>
      </c>
      <c r="C831" t="s">
        <v>31</v>
      </c>
      <c r="D831" t="s">
        <v>27</v>
      </c>
      <c r="E831">
        <v>10800</v>
      </c>
      <c r="F831" t="s">
        <v>14</v>
      </c>
      <c r="G831" t="s">
        <v>24</v>
      </c>
      <c r="H831" t="s">
        <v>33</v>
      </c>
      <c r="I831" t="s">
        <v>34</v>
      </c>
      <c r="J831" t="s">
        <v>22</v>
      </c>
      <c r="K831">
        <v>0.1</v>
      </c>
    </row>
    <row r="832" spans="1:11" x14ac:dyDescent="0.25">
      <c r="A832" t="s">
        <v>870</v>
      </c>
      <c r="B832" s="1">
        <v>45003</v>
      </c>
      <c r="C832" t="s">
        <v>12</v>
      </c>
      <c r="D832" t="s">
        <v>13</v>
      </c>
      <c r="E832">
        <v>1500</v>
      </c>
      <c r="F832" t="s">
        <v>14</v>
      </c>
      <c r="G832" t="s">
        <v>24</v>
      </c>
      <c r="H832" t="s">
        <v>33</v>
      </c>
      <c r="I832" t="s">
        <v>34</v>
      </c>
      <c r="J832" t="s">
        <v>55</v>
      </c>
      <c r="K832">
        <v>0</v>
      </c>
    </row>
    <row r="833" spans="1:11" x14ac:dyDescent="0.25">
      <c r="A833" t="s">
        <v>871</v>
      </c>
      <c r="B833" s="1">
        <v>44960</v>
      </c>
      <c r="C833" t="s">
        <v>20</v>
      </c>
      <c r="D833" t="s">
        <v>27</v>
      </c>
      <c r="E833">
        <v>5400</v>
      </c>
      <c r="F833" t="s">
        <v>21</v>
      </c>
      <c r="G833" t="s">
        <v>24</v>
      </c>
      <c r="H833" t="s">
        <v>33</v>
      </c>
      <c r="I833" t="s">
        <v>34</v>
      </c>
      <c r="J833" t="s">
        <v>18</v>
      </c>
      <c r="K833">
        <v>0.1</v>
      </c>
    </row>
    <row r="834" spans="1:11" x14ac:dyDescent="0.25">
      <c r="A834" t="s">
        <v>872</v>
      </c>
      <c r="B834" s="1">
        <v>45411</v>
      </c>
      <c r="C834" t="s">
        <v>20</v>
      </c>
      <c r="D834" t="s">
        <v>27</v>
      </c>
      <c r="E834">
        <v>5400</v>
      </c>
      <c r="F834" t="s">
        <v>32</v>
      </c>
      <c r="G834" t="s">
        <v>24</v>
      </c>
      <c r="H834" t="s">
        <v>33</v>
      </c>
      <c r="I834" t="s">
        <v>34</v>
      </c>
      <c r="J834" t="s">
        <v>66</v>
      </c>
      <c r="K834">
        <v>0.1</v>
      </c>
    </row>
    <row r="835" spans="1:11" x14ac:dyDescent="0.25">
      <c r="A835" t="s">
        <v>873</v>
      </c>
      <c r="B835" s="1">
        <v>44957</v>
      </c>
      <c r="C835" t="s">
        <v>12</v>
      </c>
      <c r="D835" t="s">
        <v>13</v>
      </c>
      <c r="E835">
        <v>1500</v>
      </c>
      <c r="F835" t="s">
        <v>14</v>
      </c>
      <c r="G835" t="s">
        <v>28</v>
      </c>
      <c r="H835" t="s">
        <v>33</v>
      </c>
      <c r="I835" t="s">
        <v>34</v>
      </c>
      <c r="J835" t="s">
        <v>18</v>
      </c>
      <c r="K835">
        <v>0</v>
      </c>
    </row>
    <row r="836" spans="1:11" x14ac:dyDescent="0.25">
      <c r="A836" t="s">
        <v>874</v>
      </c>
      <c r="B836" s="1">
        <v>45247</v>
      </c>
      <c r="C836" t="s">
        <v>20</v>
      </c>
      <c r="D836" t="s">
        <v>13</v>
      </c>
      <c r="E836">
        <v>500</v>
      </c>
      <c r="F836" t="s">
        <v>14</v>
      </c>
      <c r="G836" t="s">
        <v>15</v>
      </c>
      <c r="H836" t="s">
        <v>33</v>
      </c>
      <c r="I836" t="s">
        <v>34</v>
      </c>
      <c r="J836" t="s">
        <v>41</v>
      </c>
      <c r="K836">
        <v>0</v>
      </c>
    </row>
    <row r="837" spans="1:11" x14ac:dyDescent="0.25">
      <c r="A837" t="s">
        <v>875</v>
      </c>
      <c r="B837" s="1">
        <v>45466</v>
      </c>
      <c r="C837" t="s">
        <v>31</v>
      </c>
      <c r="D837" t="s">
        <v>13</v>
      </c>
      <c r="E837">
        <v>1000</v>
      </c>
      <c r="F837" t="s">
        <v>21</v>
      </c>
      <c r="G837" t="s">
        <v>24</v>
      </c>
      <c r="H837" t="s">
        <v>16</v>
      </c>
      <c r="I837" t="s">
        <v>17</v>
      </c>
      <c r="J837" t="s">
        <v>29</v>
      </c>
      <c r="K837">
        <v>0</v>
      </c>
    </row>
    <row r="838" spans="1:11" x14ac:dyDescent="0.25">
      <c r="A838" t="s">
        <v>876</v>
      </c>
      <c r="B838" s="1">
        <v>45360</v>
      </c>
      <c r="C838" t="s">
        <v>20</v>
      </c>
      <c r="D838" t="s">
        <v>27</v>
      </c>
      <c r="E838">
        <v>5400</v>
      </c>
      <c r="F838" t="s">
        <v>21</v>
      </c>
      <c r="G838" t="s">
        <v>15</v>
      </c>
      <c r="H838" t="s">
        <v>16</v>
      </c>
      <c r="I838" t="s">
        <v>17</v>
      </c>
      <c r="J838" t="s">
        <v>18</v>
      </c>
      <c r="K838">
        <v>0.1</v>
      </c>
    </row>
    <row r="839" spans="1:11" x14ac:dyDescent="0.25">
      <c r="A839" t="s">
        <v>877</v>
      </c>
      <c r="B839" s="1">
        <v>44947</v>
      </c>
      <c r="C839" t="s">
        <v>12</v>
      </c>
      <c r="D839" t="s">
        <v>13</v>
      </c>
      <c r="E839">
        <v>1500</v>
      </c>
      <c r="F839" t="s">
        <v>14</v>
      </c>
      <c r="G839" t="s">
        <v>28</v>
      </c>
      <c r="H839" t="s">
        <v>33</v>
      </c>
      <c r="I839" t="s">
        <v>34</v>
      </c>
      <c r="J839" t="s">
        <v>37</v>
      </c>
      <c r="K839">
        <v>0</v>
      </c>
    </row>
    <row r="840" spans="1:11" x14ac:dyDescent="0.25">
      <c r="A840" t="s">
        <v>878</v>
      </c>
      <c r="B840" s="1">
        <v>44961</v>
      </c>
      <c r="C840" t="s">
        <v>31</v>
      </c>
      <c r="D840" t="s">
        <v>13</v>
      </c>
      <c r="E840">
        <v>1000</v>
      </c>
      <c r="F840" t="s">
        <v>49</v>
      </c>
      <c r="G840" t="s">
        <v>24</v>
      </c>
      <c r="H840" t="s">
        <v>16</v>
      </c>
      <c r="I840" t="s">
        <v>17</v>
      </c>
      <c r="J840" t="s">
        <v>25</v>
      </c>
      <c r="K840">
        <v>0</v>
      </c>
    </row>
    <row r="841" spans="1:11" x14ac:dyDescent="0.25">
      <c r="A841" t="s">
        <v>879</v>
      </c>
      <c r="B841" s="1">
        <v>45370</v>
      </c>
      <c r="C841" t="s">
        <v>12</v>
      </c>
      <c r="D841" t="s">
        <v>13</v>
      </c>
      <c r="E841">
        <v>1500</v>
      </c>
      <c r="F841" t="s">
        <v>14</v>
      </c>
      <c r="G841" t="s">
        <v>28</v>
      </c>
      <c r="H841" t="s">
        <v>33</v>
      </c>
      <c r="I841" t="s">
        <v>34</v>
      </c>
      <c r="J841" t="s">
        <v>55</v>
      </c>
      <c r="K841">
        <v>0</v>
      </c>
    </row>
    <row r="842" spans="1:11" x14ac:dyDescent="0.25">
      <c r="A842" t="s">
        <v>880</v>
      </c>
      <c r="B842" s="1">
        <v>45296</v>
      </c>
      <c r="C842" t="s">
        <v>20</v>
      </c>
      <c r="D842" t="s">
        <v>13</v>
      </c>
      <c r="E842">
        <v>500</v>
      </c>
      <c r="F842" t="s">
        <v>49</v>
      </c>
      <c r="G842" t="s">
        <v>24</v>
      </c>
      <c r="H842" t="s">
        <v>16</v>
      </c>
      <c r="I842" t="s">
        <v>17</v>
      </c>
      <c r="J842" t="s">
        <v>58</v>
      </c>
      <c r="K842">
        <v>0</v>
      </c>
    </row>
    <row r="843" spans="1:11" x14ac:dyDescent="0.25">
      <c r="A843" t="s">
        <v>881</v>
      </c>
      <c r="B843" s="1">
        <v>45086</v>
      </c>
      <c r="C843" t="s">
        <v>20</v>
      </c>
      <c r="D843" t="s">
        <v>27</v>
      </c>
      <c r="E843">
        <v>5400</v>
      </c>
      <c r="F843" t="s">
        <v>32</v>
      </c>
      <c r="G843" t="s">
        <v>28</v>
      </c>
      <c r="H843" t="s">
        <v>33</v>
      </c>
      <c r="I843" t="s">
        <v>34</v>
      </c>
      <c r="J843" t="s">
        <v>39</v>
      </c>
      <c r="K843">
        <v>0.1</v>
      </c>
    </row>
    <row r="844" spans="1:11" x14ac:dyDescent="0.25">
      <c r="A844" t="s">
        <v>882</v>
      </c>
      <c r="B844" s="1">
        <v>44929</v>
      </c>
      <c r="C844" t="s">
        <v>12</v>
      </c>
      <c r="D844" t="s">
        <v>13</v>
      </c>
      <c r="E844">
        <v>1500</v>
      </c>
      <c r="F844" t="s">
        <v>49</v>
      </c>
      <c r="G844" t="s">
        <v>24</v>
      </c>
      <c r="H844" t="s">
        <v>33</v>
      </c>
      <c r="I844" t="s">
        <v>34</v>
      </c>
      <c r="J844" t="s">
        <v>22</v>
      </c>
      <c r="K844">
        <v>0</v>
      </c>
    </row>
    <row r="845" spans="1:11" x14ac:dyDescent="0.25">
      <c r="A845" t="s">
        <v>883</v>
      </c>
      <c r="B845" s="1">
        <v>45361</v>
      </c>
      <c r="C845" t="s">
        <v>20</v>
      </c>
      <c r="D845" t="s">
        <v>13</v>
      </c>
      <c r="E845">
        <v>500</v>
      </c>
      <c r="F845" t="s">
        <v>49</v>
      </c>
      <c r="G845" t="s">
        <v>28</v>
      </c>
      <c r="H845" t="s">
        <v>16</v>
      </c>
      <c r="I845" t="s">
        <v>17</v>
      </c>
      <c r="J845" t="s">
        <v>58</v>
      </c>
      <c r="K845">
        <v>0</v>
      </c>
    </row>
    <row r="846" spans="1:11" x14ac:dyDescent="0.25">
      <c r="A846" t="s">
        <v>884</v>
      </c>
      <c r="B846" s="1">
        <v>45209</v>
      </c>
      <c r="C846" t="s">
        <v>20</v>
      </c>
      <c r="D846" t="s">
        <v>27</v>
      </c>
      <c r="E846">
        <v>5400</v>
      </c>
      <c r="F846" t="s">
        <v>14</v>
      </c>
      <c r="G846" t="s">
        <v>15</v>
      </c>
      <c r="H846" t="s">
        <v>33</v>
      </c>
      <c r="I846" t="s">
        <v>34</v>
      </c>
      <c r="J846" t="s">
        <v>18</v>
      </c>
      <c r="K846">
        <v>0.1</v>
      </c>
    </row>
    <row r="847" spans="1:11" x14ac:dyDescent="0.25">
      <c r="A847" t="s">
        <v>885</v>
      </c>
      <c r="B847" s="1">
        <v>45265</v>
      </c>
      <c r="C847" t="s">
        <v>20</v>
      </c>
      <c r="D847" t="s">
        <v>13</v>
      </c>
      <c r="E847">
        <v>500</v>
      </c>
      <c r="F847" t="s">
        <v>49</v>
      </c>
      <c r="G847" t="s">
        <v>24</v>
      </c>
      <c r="H847" t="s">
        <v>33</v>
      </c>
      <c r="I847" t="s">
        <v>34</v>
      </c>
      <c r="J847" t="s">
        <v>35</v>
      </c>
      <c r="K847">
        <v>0</v>
      </c>
    </row>
    <row r="848" spans="1:11" x14ac:dyDescent="0.25">
      <c r="A848" t="s">
        <v>886</v>
      </c>
      <c r="B848" s="1">
        <v>45365</v>
      </c>
      <c r="C848" t="s">
        <v>12</v>
      </c>
      <c r="D848" t="s">
        <v>13</v>
      </c>
      <c r="E848">
        <v>1500</v>
      </c>
      <c r="F848" t="s">
        <v>21</v>
      </c>
      <c r="G848" t="s">
        <v>15</v>
      </c>
      <c r="H848" t="s">
        <v>16</v>
      </c>
      <c r="I848" t="s">
        <v>17</v>
      </c>
      <c r="J848" t="s">
        <v>18</v>
      </c>
      <c r="K848">
        <v>0</v>
      </c>
    </row>
    <row r="849" spans="1:11" x14ac:dyDescent="0.25">
      <c r="A849" t="s">
        <v>887</v>
      </c>
      <c r="B849" s="1">
        <v>45355</v>
      </c>
      <c r="C849" t="s">
        <v>12</v>
      </c>
      <c r="D849" t="s">
        <v>13</v>
      </c>
      <c r="E849">
        <v>1500</v>
      </c>
      <c r="F849" t="s">
        <v>49</v>
      </c>
      <c r="G849" t="s">
        <v>28</v>
      </c>
      <c r="H849" t="s">
        <v>16</v>
      </c>
      <c r="I849" t="s">
        <v>17</v>
      </c>
      <c r="J849" t="s">
        <v>22</v>
      </c>
      <c r="K849">
        <v>0</v>
      </c>
    </row>
    <row r="850" spans="1:11" x14ac:dyDescent="0.25">
      <c r="A850" t="s">
        <v>888</v>
      </c>
      <c r="B850" s="1">
        <v>45639</v>
      </c>
      <c r="C850" t="s">
        <v>12</v>
      </c>
      <c r="D850" t="s">
        <v>27</v>
      </c>
      <c r="E850">
        <v>16200</v>
      </c>
      <c r="F850" t="s">
        <v>21</v>
      </c>
      <c r="G850" t="s">
        <v>15</v>
      </c>
      <c r="H850" t="s">
        <v>33</v>
      </c>
      <c r="I850" t="s">
        <v>34</v>
      </c>
      <c r="J850" t="s">
        <v>29</v>
      </c>
      <c r="K850">
        <v>0.1</v>
      </c>
    </row>
    <row r="851" spans="1:11" x14ac:dyDescent="0.25">
      <c r="A851" t="s">
        <v>889</v>
      </c>
      <c r="B851" s="1">
        <v>44950</v>
      </c>
      <c r="C851" t="s">
        <v>20</v>
      </c>
      <c r="D851" t="s">
        <v>27</v>
      </c>
      <c r="E851">
        <v>5400</v>
      </c>
      <c r="F851" t="s">
        <v>32</v>
      </c>
      <c r="G851" t="s">
        <v>15</v>
      </c>
      <c r="H851" t="s">
        <v>33</v>
      </c>
      <c r="I851" t="s">
        <v>34</v>
      </c>
      <c r="J851" t="s">
        <v>44</v>
      </c>
      <c r="K851">
        <v>0.1</v>
      </c>
    </row>
    <row r="852" spans="1:11" x14ac:dyDescent="0.25">
      <c r="A852" t="s">
        <v>890</v>
      </c>
      <c r="B852" s="1">
        <v>45144</v>
      </c>
      <c r="C852" t="s">
        <v>31</v>
      </c>
      <c r="D852" t="s">
        <v>27</v>
      </c>
      <c r="E852">
        <v>10800</v>
      </c>
      <c r="F852" t="s">
        <v>32</v>
      </c>
      <c r="G852" t="s">
        <v>24</v>
      </c>
      <c r="H852" t="s">
        <v>16</v>
      </c>
      <c r="I852" t="s">
        <v>17</v>
      </c>
      <c r="J852" t="s">
        <v>39</v>
      </c>
      <c r="K852">
        <v>0.1</v>
      </c>
    </row>
    <row r="853" spans="1:11" x14ac:dyDescent="0.25">
      <c r="A853" t="s">
        <v>891</v>
      </c>
      <c r="B853" s="1">
        <v>44932</v>
      </c>
      <c r="C853" t="s">
        <v>31</v>
      </c>
      <c r="D853" t="s">
        <v>27</v>
      </c>
      <c r="E853">
        <v>10800</v>
      </c>
      <c r="F853" t="s">
        <v>14</v>
      </c>
      <c r="G853" t="s">
        <v>28</v>
      </c>
      <c r="H853" t="s">
        <v>16</v>
      </c>
      <c r="I853" t="s">
        <v>17</v>
      </c>
      <c r="J853" t="s">
        <v>41</v>
      </c>
      <c r="K853">
        <v>0.1</v>
      </c>
    </row>
    <row r="854" spans="1:11" x14ac:dyDescent="0.25">
      <c r="A854" t="s">
        <v>892</v>
      </c>
      <c r="B854" s="1">
        <v>45339</v>
      </c>
      <c r="C854" t="s">
        <v>12</v>
      </c>
      <c r="D854" t="s">
        <v>13</v>
      </c>
      <c r="E854">
        <v>1500</v>
      </c>
      <c r="F854" t="s">
        <v>32</v>
      </c>
      <c r="G854" t="s">
        <v>15</v>
      </c>
      <c r="H854" t="s">
        <v>16</v>
      </c>
      <c r="I854" t="s">
        <v>17</v>
      </c>
      <c r="J854" t="s">
        <v>44</v>
      </c>
      <c r="K854">
        <v>0</v>
      </c>
    </row>
    <row r="855" spans="1:11" x14ac:dyDescent="0.25">
      <c r="A855" t="s">
        <v>893</v>
      </c>
      <c r="B855" s="1">
        <v>45513</v>
      </c>
      <c r="C855" t="s">
        <v>12</v>
      </c>
      <c r="D855" t="s">
        <v>27</v>
      </c>
      <c r="E855">
        <v>16200</v>
      </c>
      <c r="F855" t="s">
        <v>32</v>
      </c>
      <c r="G855" t="s">
        <v>28</v>
      </c>
      <c r="H855" t="s">
        <v>16</v>
      </c>
      <c r="I855" t="s">
        <v>17</v>
      </c>
      <c r="J855" t="s">
        <v>25</v>
      </c>
      <c r="K855">
        <v>0.1</v>
      </c>
    </row>
    <row r="856" spans="1:11" x14ac:dyDescent="0.25">
      <c r="A856" t="s">
        <v>894</v>
      </c>
      <c r="B856" s="1">
        <v>45393</v>
      </c>
      <c r="C856" t="s">
        <v>31</v>
      </c>
      <c r="D856" t="s">
        <v>13</v>
      </c>
      <c r="E856">
        <v>1000</v>
      </c>
      <c r="F856" t="s">
        <v>32</v>
      </c>
      <c r="G856" t="s">
        <v>28</v>
      </c>
      <c r="H856" t="s">
        <v>16</v>
      </c>
      <c r="I856" t="s">
        <v>17</v>
      </c>
      <c r="J856" t="s">
        <v>25</v>
      </c>
      <c r="K856">
        <v>0</v>
      </c>
    </row>
    <row r="857" spans="1:11" x14ac:dyDescent="0.25">
      <c r="A857" t="s">
        <v>895</v>
      </c>
      <c r="B857" s="1">
        <v>44958</v>
      </c>
      <c r="C857" t="s">
        <v>31</v>
      </c>
      <c r="D857" t="s">
        <v>27</v>
      </c>
      <c r="E857">
        <v>10800</v>
      </c>
      <c r="F857" t="s">
        <v>49</v>
      </c>
      <c r="G857" t="s">
        <v>28</v>
      </c>
      <c r="H857" t="s">
        <v>33</v>
      </c>
      <c r="I857" t="s">
        <v>34</v>
      </c>
      <c r="J857" t="s">
        <v>50</v>
      </c>
      <c r="K857">
        <v>0.1</v>
      </c>
    </row>
    <row r="858" spans="1:11" x14ac:dyDescent="0.25">
      <c r="A858" t="s">
        <v>896</v>
      </c>
      <c r="B858" s="1">
        <v>44945</v>
      </c>
      <c r="C858" t="s">
        <v>31</v>
      </c>
      <c r="D858" t="s">
        <v>13</v>
      </c>
      <c r="E858">
        <v>1000</v>
      </c>
      <c r="F858" t="s">
        <v>32</v>
      </c>
      <c r="G858" t="s">
        <v>28</v>
      </c>
      <c r="H858" t="s">
        <v>16</v>
      </c>
      <c r="I858" t="s">
        <v>17</v>
      </c>
      <c r="J858" t="s">
        <v>35</v>
      </c>
      <c r="K858">
        <v>0</v>
      </c>
    </row>
    <row r="859" spans="1:11" x14ac:dyDescent="0.25">
      <c r="A859" t="s">
        <v>897</v>
      </c>
      <c r="B859" s="1">
        <v>45109</v>
      </c>
      <c r="C859" t="s">
        <v>12</v>
      </c>
      <c r="D859" t="s">
        <v>27</v>
      </c>
      <c r="E859">
        <v>16200</v>
      </c>
      <c r="F859" t="s">
        <v>14</v>
      </c>
      <c r="G859" t="s">
        <v>24</v>
      </c>
      <c r="H859" t="s">
        <v>16</v>
      </c>
      <c r="I859" t="s">
        <v>17</v>
      </c>
      <c r="J859" t="s">
        <v>37</v>
      </c>
      <c r="K859">
        <v>0.1</v>
      </c>
    </row>
    <row r="860" spans="1:11" x14ac:dyDescent="0.25">
      <c r="A860" t="s">
        <v>898</v>
      </c>
      <c r="B860" s="1">
        <v>44982</v>
      </c>
      <c r="C860" t="s">
        <v>12</v>
      </c>
      <c r="D860" t="s">
        <v>13</v>
      </c>
      <c r="E860">
        <v>1500</v>
      </c>
      <c r="F860" t="s">
        <v>32</v>
      </c>
      <c r="G860" t="s">
        <v>24</v>
      </c>
      <c r="H860" t="s">
        <v>16</v>
      </c>
      <c r="I860" t="s">
        <v>17</v>
      </c>
      <c r="J860" t="s">
        <v>39</v>
      </c>
      <c r="K860">
        <v>0</v>
      </c>
    </row>
    <row r="861" spans="1:11" x14ac:dyDescent="0.25">
      <c r="A861" t="s">
        <v>899</v>
      </c>
      <c r="B861" s="1">
        <v>45444</v>
      </c>
      <c r="C861" t="s">
        <v>31</v>
      </c>
      <c r="D861" t="s">
        <v>13</v>
      </c>
      <c r="E861">
        <v>1000</v>
      </c>
      <c r="F861" t="s">
        <v>14</v>
      </c>
      <c r="G861" t="s">
        <v>15</v>
      </c>
      <c r="H861" t="s">
        <v>33</v>
      </c>
      <c r="I861" t="s">
        <v>34</v>
      </c>
      <c r="J861" t="s">
        <v>37</v>
      </c>
      <c r="K861">
        <v>0</v>
      </c>
    </row>
    <row r="862" spans="1:11" x14ac:dyDescent="0.25">
      <c r="A862" t="s">
        <v>900</v>
      </c>
      <c r="B862" s="1">
        <v>45521</v>
      </c>
      <c r="C862" t="s">
        <v>12</v>
      </c>
      <c r="D862" t="s">
        <v>27</v>
      </c>
      <c r="E862">
        <v>16200</v>
      </c>
      <c r="F862" t="s">
        <v>49</v>
      </c>
      <c r="G862" t="s">
        <v>28</v>
      </c>
      <c r="H862" t="s">
        <v>16</v>
      </c>
      <c r="I862" t="s">
        <v>17</v>
      </c>
      <c r="J862" t="s">
        <v>58</v>
      </c>
      <c r="K862">
        <v>0.1</v>
      </c>
    </row>
    <row r="863" spans="1:11" x14ac:dyDescent="0.25">
      <c r="A863" t="s">
        <v>901</v>
      </c>
      <c r="B863" s="1">
        <v>45143</v>
      </c>
      <c r="C863" t="s">
        <v>31</v>
      </c>
      <c r="D863" t="s">
        <v>27</v>
      </c>
      <c r="E863">
        <v>10800</v>
      </c>
      <c r="F863" t="s">
        <v>21</v>
      </c>
      <c r="G863" t="s">
        <v>24</v>
      </c>
      <c r="H863" t="s">
        <v>16</v>
      </c>
      <c r="I863" t="s">
        <v>17</v>
      </c>
      <c r="J863" t="s">
        <v>22</v>
      </c>
      <c r="K863">
        <v>0.1</v>
      </c>
    </row>
    <row r="864" spans="1:11" x14ac:dyDescent="0.25">
      <c r="A864" t="s">
        <v>902</v>
      </c>
      <c r="B864" s="1">
        <v>45570</v>
      </c>
      <c r="C864" t="s">
        <v>12</v>
      </c>
      <c r="D864" t="s">
        <v>13</v>
      </c>
      <c r="E864">
        <v>1500</v>
      </c>
      <c r="F864" t="s">
        <v>32</v>
      </c>
      <c r="G864" t="s">
        <v>28</v>
      </c>
      <c r="H864" t="s">
        <v>33</v>
      </c>
      <c r="I864" t="s">
        <v>34</v>
      </c>
      <c r="J864" t="s">
        <v>44</v>
      </c>
      <c r="K864">
        <v>0</v>
      </c>
    </row>
    <row r="865" spans="1:11" x14ac:dyDescent="0.25">
      <c r="A865" t="s">
        <v>903</v>
      </c>
      <c r="B865" s="1">
        <v>45439</v>
      </c>
      <c r="C865" t="s">
        <v>31</v>
      </c>
      <c r="D865" t="s">
        <v>13</v>
      </c>
      <c r="E865">
        <v>1000</v>
      </c>
      <c r="F865" t="s">
        <v>14</v>
      </c>
      <c r="G865" t="s">
        <v>15</v>
      </c>
      <c r="H865" t="s">
        <v>16</v>
      </c>
      <c r="I865" t="s">
        <v>17</v>
      </c>
      <c r="J865" t="s">
        <v>18</v>
      </c>
      <c r="K865">
        <v>0</v>
      </c>
    </row>
    <row r="866" spans="1:11" x14ac:dyDescent="0.25">
      <c r="A866" t="s">
        <v>904</v>
      </c>
      <c r="B866" s="1">
        <v>45647</v>
      </c>
      <c r="C866" t="s">
        <v>20</v>
      </c>
      <c r="D866" t="s">
        <v>13</v>
      </c>
      <c r="E866">
        <v>500</v>
      </c>
      <c r="F866" t="s">
        <v>21</v>
      </c>
      <c r="G866" t="s">
        <v>24</v>
      </c>
      <c r="H866" t="s">
        <v>16</v>
      </c>
      <c r="I866" t="s">
        <v>17</v>
      </c>
      <c r="J866" t="s">
        <v>29</v>
      </c>
      <c r="K866">
        <v>0</v>
      </c>
    </row>
    <row r="867" spans="1:11" x14ac:dyDescent="0.25">
      <c r="A867" t="s">
        <v>905</v>
      </c>
      <c r="B867" s="1">
        <v>45083</v>
      </c>
      <c r="C867" t="s">
        <v>20</v>
      </c>
      <c r="D867" t="s">
        <v>27</v>
      </c>
      <c r="E867">
        <v>5400</v>
      </c>
      <c r="F867" t="s">
        <v>21</v>
      </c>
      <c r="G867" t="s">
        <v>24</v>
      </c>
      <c r="H867" t="s">
        <v>16</v>
      </c>
      <c r="I867" t="s">
        <v>17</v>
      </c>
      <c r="J867" t="s">
        <v>29</v>
      </c>
      <c r="K867">
        <v>0.1</v>
      </c>
    </row>
    <row r="868" spans="1:11" x14ac:dyDescent="0.25">
      <c r="A868" t="s">
        <v>906</v>
      </c>
      <c r="B868" s="1">
        <v>44938</v>
      </c>
      <c r="C868" t="s">
        <v>31</v>
      </c>
      <c r="D868" t="s">
        <v>13</v>
      </c>
      <c r="E868">
        <v>1000</v>
      </c>
      <c r="F868" t="s">
        <v>49</v>
      </c>
      <c r="G868" t="s">
        <v>28</v>
      </c>
      <c r="H868" t="s">
        <v>33</v>
      </c>
      <c r="I868" t="s">
        <v>34</v>
      </c>
      <c r="J868" t="s">
        <v>35</v>
      </c>
      <c r="K868">
        <v>0</v>
      </c>
    </row>
    <row r="869" spans="1:11" x14ac:dyDescent="0.25">
      <c r="A869" t="s">
        <v>907</v>
      </c>
      <c r="B869" s="1">
        <v>45066</v>
      </c>
      <c r="C869" t="s">
        <v>31</v>
      </c>
      <c r="D869" t="s">
        <v>27</v>
      </c>
      <c r="E869">
        <v>10800</v>
      </c>
      <c r="F869" t="s">
        <v>32</v>
      </c>
      <c r="G869" t="s">
        <v>24</v>
      </c>
      <c r="H869" t="s">
        <v>16</v>
      </c>
      <c r="I869" t="s">
        <v>17</v>
      </c>
      <c r="J869" t="s">
        <v>25</v>
      </c>
      <c r="K869">
        <v>0.1</v>
      </c>
    </row>
    <row r="870" spans="1:11" x14ac:dyDescent="0.25">
      <c r="A870" t="s">
        <v>908</v>
      </c>
      <c r="B870" s="1">
        <v>45437</v>
      </c>
      <c r="C870" t="s">
        <v>12</v>
      </c>
      <c r="D870" t="s">
        <v>13</v>
      </c>
      <c r="E870">
        <v>1500</v>
      </c>
      <c r="F870" t="s">
        <v>32</v>
      </c>
      <c r="G870" t="s">
        <v>28</v>
      </c>
      <c r="H870" t="s">
        <v>16</v>
      </c>
      <c r="I870" t="s">
        <v>17</v>
      </c>
      <c r="J870" t="s">
        <v>44</v>
      </c>
      <c r="K870">
        <v>0</v>
      </c>
    </row>
    <row r="871" spans="1:11" x14ac:dyDescent="0.25">
      <c r="A871" t="s">
        <v>909</v>
      </c>
      <c r="B871" s="1">
        <v>45160</v>
      </c>
      <c r="C871" t="s">
        <v>12</v>
      </c>
      <c r="D871" t="s">
        <v>27</v>
      </c>
      <c r="E871">
        <v>16200</v>
      </c>
      <c r="F871" t="s">
        <v>14</v>
      </c>
      <c r="G871" t="s">
        <v>28</v>
      </c>
      <c r="H871" t="s">
        <v>16</v>
      </c>
      <c r="I871" t="s">
        <v>17</v>
      </c>
      <c r="J871" t="s">
        <v>37</v>
      </c>
      <c r="K871">
        <v>0.1</v>
      </c>
    </row>
    <row r="872" spans="1:11" x14ac:dyDescent="0.25">
      <c r="A872" t="s">
        <v>910</v>
      </c>
      <c r="B872" s="1">
        <v>45278</v>
      </c>
      <c r="C872" t="s">
        <v>12</v>
      </c>
      <c r="D872" t="s">
        <v>13</v>
      </c>
      <c r="E872">
        <v>1500</v>
      </c>
      <c r="F872" t="s">
        <v>32</v>
      </c>
      <c r="G872" t="s">
        <v>15</v>
      </c>
      <c r="H872" t="s">
        <v>33</v>
      </c>
      <c r="I872" t="s">
        <v>34</v>
      </c>
      <c r="J872" t="s">
        <v>25</v>
      </c>
      <c r="K872">
        <v>0</v>
      </c>
    </row>
    <row r="873" spans="1:11" x14ac:dyDescent="0.25">
      <c r="A873" t="s">
        <v>911</v>
      </c>
      <c r="B873" s="1">
        <v>45172</v>
      </c>
      <c r="C873" t="s">
        <v>31</v>
      </c>
      <c r="D873" t="s">
        <v>27</v>
      </c>
      <c r="E873">
        <v>10800</v>
      </c>
      <c r="F873" t="s">
        <v>14</v>
      </c>
      <c r="G873" t="s">
        <v>24</v>
      </c>
      <c r="H873" t="s">
        <v>33</v>
      </c>
      <c r="I873" t="s">
        <v>34</v>
      </c>
      <c r="J873" t="s">
        <v>37</v>
      </c>
      <c r="K873">
        <v>0.1</v>
      </c>
    </row>
    <row r="874" spans="1:11" x14ac:dyDescent="0.25">
      <c r="A874" t="s">
        <v>912</v>
      </c>
      <c r="B874" s="1">
        <v>45410</v>
      </c>
      <c r="C874" t="s">
        <v>12</v>
      </c>
      <c r="D874" t="s">
        <v>13</v>
      </c>
      <c r="E874">
        <v>1500</v>
      </c>
      <c r="F874" t="s">
        <v>32</v>
      </c>
      <c r="G874" t="s">
        <v>24</v>
      </c>
      <c r="H874" t="s">
        <v>33</v>
      </c>
      <c r="I874" t="s">
        <v>34</v>
      </c>
      <c r="J874" t="s">
        <v>25</v>
      </c>
      <c r="K874">
        <v>0</v>
      </c>
    </row>
    <row r="875" spans="1:11" x14ac:dyDescent="0.25">
      <c r="A875" t="s">
        <v>913</v>
      </c>
      <c r="B875" s="1">
        <v>45166</v>
      </c>
      <c r="C875" t="s">
        <v>20</v>
      </c>
      <c r="D875" t="s">
        <v>13</v>
      </c>
      <c r="E875">
        <v>500</v>
      </c>
      <c r="F875" t="s">
        <v>49</v>
      </c>
      <c r="G875" t="s">
        <v>15</v>
      </c>
      <c r="H875" t="s">
        <v>33</v>
      </c>
      <c r="I875" t="s">
        <v>34</v>
      </c>
      <c r="J875" t="s">
        <v>50</v>
      </c>
      <c r="K875">
        <v>0</v>
      </c>
    </row>
    <row r="876" spans="1:11" x14ac:dyDescent="0.25">
      <c r="A876" t="s">
        <v>914</v>
      </c>
      <c r="B876" s="1">
        <v>45251</v>
      </c>
      <c r="C876" t="s">
        <v>20</v>
      </c>
      <c r="D876" t="s">
        <v>13</v>
      </c>
      <c r="E876">
        <v>500</v>
      </c>
      <c r="F876" t="s">
        <v>32</v>
      </c>
      <c r="G876" t="s">
        <v>28</v>
      </c>
      <c r="H876" t="s">
        <v>33</v>
      </c>
      <c r="I876" t="s">
        <v>34</v>
      </c>
      <c r="J876" t="s">
        <v>25</v>
      </c>
      <c r="K876">
        <v>0</v>
      </c>
    </row>
    <row r="877" spans="1:11" x14ac:dyDescent="0.25">
      <c r="A877" t="s">
        <v>915</v>
      </c>
      <c r="B877" s="1">
        <v>44986</v>
      </c>
      <c r="C877" t="s">
        <v>12</v>
      </c>
      <c r="D877" t="s">
        <v>27</v>
      </c>
      <c r="E877">
        <v>16200</v>
      </c>
      <c r="F877" t="s">
        <v>49</v>
      </c>
      <c r="G877" t="s">
        <v>15</v>
      </c>
      <c r="H877" t="s">
        <v>16</v>
      </c>
      <c r="I877" t="s">
        <v>17</v>
      </c>
      <c r="J877" t="s">
        <v>58</v>
      </c>
      <c r="K877">
        <v>0.1</v>
      </c>
    </row>
    <row r="878" spans="1:11" x14ac:dyDescent="0.25">
      <c r="A878" t="s">
        <v>916</v>
      </c>
      <c r="B878" s="1">
        <v>45135</v>
      </c>
      <c r="C878" t="s">
        <v>12</v>
      </c>
      <c r="D878" t="s">
        <v>27</v>
      </c>
      <c r="E878">
        <v>16200</v>
      </c>
      <c r="F878" t="s">
        <v>32</v>
      </c>
      <c r="G878" t="s">
        <v>28</v>
      </c>
      <c r="H878" t="s">
        <v>33</v>
      </c>
      <c r="I878" t="s">
        <v>34</v>
      </c>
      <c r="J878" t="s">
        <v>35</v>
      </c>
      <c r="K878">
        <v>0.1</v>
      </c>
    </row>
    <row r="879" spans="1:11" x14ac:dyDescent="0.25">
      <c r="A879" t="s">
        <v>917</v>
      </c>
      <c r="B879" s="1">
        <v>45451</v>
      </c>
      <c r="C879" t="s">
        <v>31</v>
      </c>
      <c r="D879" t="s">
        <v>27</v>
      </c>
      <c r="E879">
        <v>10800</v>
      </c>
      <c r="F879" t="s">
        <v>14</v>
      </c>
      <c r="G879" t="s">
        <v>15</v>
      </c>
      <c r="H879" t="s">
        <v>33</v>
      </c>
      <c r="I879" t="s">
        <v>34</v>
      </c>
      <c r="J879" t="s">
        <v>41</v>
      </c>
      <c r="K879">
        <v>0.1</v>
      </c>
    </row>
    <row r="880" spans="1:11" x14ac:dyDescent="0.25">
      <c r="A880" t="s">
        <v>918</v>
      </c>
      <c r="B880" s="1">
        <v>45392</v>
      </c>
      <c r="C880" t="s">
        <v>12</v>
      </c>
      <c r="D880" t="s">
        <v>13</v>
      </c>
      <c r="E880">
        <v>1500</v>
      </c>
      <c r="F880" t="s">
        <v>32</v>
      </c>
      <c r="G880" t="s">
        <v>15</v>
      </c>
      <c r="H880" t="s">
        <v>33</v>
      </c>
      <c r="I880" t="s">
        <v>34</v>
      </c>
      <c r="J880" t="s">
        <v>35</v>
      </c>
      <c r="K880">
        <v>0</v>
      </c>
    </row>
    <row r="881" spans="1:11" x14ac:dyDescent="0.25">
      <c r="A881" t="s">
        <v>919</v>
      </c>
      <c r="B881" s="1">
        <v>45313</v>
      </c>
      <c r="C881" t="s">
        <v>31</v>
      </c>
      <c r="D881" t="s">
        <v>13</v>
      </c>
      <c r="E881">
        <v>1000</v>
      </c>
      <c r="F881" t="s">
        <v>32</v>
      </c>
      <c r="G881" t="s">
        <v>15</v>
      </c>
      <c r="H881" t="s">
        <v>16</v>
      </c>
      <c r="I881" t="s">
        <v>17</v>
      </c>
      <c r="J881" t="s">
        <v>25</v>
      </c>
      <c r="K881">
        <v>0</v>
      </c>
    </row>
    <row r="882" spans="1:11" x14ac:dyDescent="0.25">
      <c r="A882" t="s">
        <v>920</v>
      </c>
      <c r="B882" s="1">
        <v>45556</v>
      </c>
      <c r="C882" t="s">
        <v>31</v>
      </c>
      <c r="D882" t="s">
        <v>13</v>
      </c>
      <c r="E882">
        <v>1000</v>
      </c>
      <c r="F882" t="s">
        <v>14</v>
      </c>
      <c r="G882" t="s">
        <v>15</v>
      </c>
      <c r="H882" t="s">
        <v>16</v>
      </c>
      <c r="I882" t="s">
        <v>17</v>
      </c>
      <c r="J882" t="s">
        <v>37</v>
      </c>
      <c r="K882">
        <v>0</v>
      </c>
    </row>
    <row r="883" spans="1:11" x14ac:dyDescent="0.25">
      <c r="A883" t="s">
        <v>921</v>
      </c>
      <c r="B883" s="1">
        <v>45434</v>
      </c>
      <c r="C883" t="s">
        <v>20</v>
      </c>
      <c r="D883" t="s">
        <v>27</v>
      </c>
      <c r="E883">
        <v>5400</v>
      </c>
      <c r="F883" t="s">
        <v>32</v>
      </c>
      <c r="G883" t="s">
        <v>15</v>
      </c>
      <c r="H883" t="s">
        <v>33</v>
      </c>
      <c r="I883" t="s">
        <v>34</v>
      </c>
      <c r="J883" t="s">
        <v>66</v>
      </c>
      <c r="K883">
        <v>0.1</v>
      </c>
    </row>
    <row r="884" spans="1:11" x14ac:dyDescent="0.25">
      <c r="A884" t="s">
        <v>922</v>
      </c>
      <c r="B884" s="1">
        <v>45534</v>
      </c>
      <c r="C884" t="s">
        <v>20</v>
      </c>
      <c r="D884" t="s">
        <v>13</v>
      </c>
      <c r="E884">
        <v>500</v>
      </c>
      <c r="F884" t="s">
        <v>14</v>
      </c>
      <c r="G884" t="s">
        <v>15</v>
      </c>
      <c r="H884" t="s">
        <v>33</v>
      </c>
      <c r="I884" t="s">
        <v>34</v>
      </c>
      <c r="J884" t="s">
        <v>41</v>
      </c>
      <c r="K884">
        <v>0</v>
      </c>
    </row>
    <row r="885" spans="1:11" x14ac:dyDescent="0.25">
      <c r="A885" t="s">
        <v>923</v>
      </c>
      <c r="B885" s="1">
        <v>45423</v>
      </c>
      <c r="C885" t="s">
        <v>20</v>
      </c>
      <c r="D885" t="s">
        <v>27</v>
      </c>
      <c r="E885">
        <v>5400</v>
      </c>
      <c r="F885" t="s">
        <v>21</v>
      </c>
      <c r="G885" t="s">
        <v>28</v>
      </c>
      <c r="H885" t="s">
        <v>16</v>
      </c>
      <c r="I885" t="s">
        <v>17</v>
      </c>
      <c r="J885" t="s">
        <v>18</v>
      </c>
      <c r="K885">
        <v>0.1</v>
      </c>
    </row>
    <row r="886" spans="1:11" x14ac:dyDescent="0.25">
      <c r="A886" t="s">
        <v>924</v>
      </c>
      <c r="B886" s="1">
        <v>45131</v>
      </c>
      <c r="C886" t="s">
        <v>12</v>
      </c>
      <c r="D886" t="s">
        <v>27</v>
      </c>
      <c r="E886">
        <v>16200</v>
      </c>
      <c r="F886" t="s">
        <v>14</v>
      </c>
      <c r="G886" t="s">
        <v>24</v>
      </c>
      <c r="H886" t="s">
        <v>16</v>
      </c>
      <c r="I886" t="s">
        <v>17</v>
      </c>
      <c r="J886" t="s">
        <v>18</v>
      </c>
      <c r="K886">
        <v>0.1</v>
      </c>
    </row>
    <row r="887" spans="1:11" x14ac:dyDescent="0.25">
      <c r="A887" t="s">
        <v>925</v>
      </c>
      <c r="B887" s="1">
        <v>45636</v>
      </c>
      <c r="C887" t="s">
        <v>31</v>
      </c>
      <c r="D887" t="s">
        <v>27</v>
      </c>
      <c r="E887">
        <v>10800</v>
      </c>
      <c r="F887" t="s">
        <v>21</v>
      </c>
      <c r="G887" t="s">
        <v>24</v>
      </c>
      <c r="H887" t="s">
        <v>16</v>
      </c>
      <c r="I887" t="s">
        <v>17</v>
      </c>
      <c r="J887" t="s">
        <v>18</v>
      </c>
      <c r="K887">
        <v>0.1</v>
      </c>
    </row>
    <row r="888" spans="1:11" x14ac:dyDescent="0.25">
      <c r="A888" t="s">
        <v>926</v>
      </c>
      <c r="B888" s="1">
        <v>45567</v>
      </c>
      <c r="C888" t="s">
        <v>31</v>
      </c>
      <c r="D888" t="s">
        <v>27</v>
      </c>
      <c r="E888">
        <v>10800</v>
      </c>
      <c r="F888" t="s">
        <v>32</v>
      </c>
      <c r="G888" t="s">
        <v>24</v>
      </c>
      <c r="H888" t="s">
        <v>16</v>
      </c>
      <c r="I888" t="s">
        <v>17</v>
      </c>
      <c r="J888" t="s">
        <v>66</v>
      </c>
      <c r="K888">
        <v>0.1</v>
      </c>
    </row>
    <row r="889" spans="1:11" x14ac:dyDescent="0.25">
      <c r="A889" t="s">
        <v>927</v>
      </c>
      <c r="B889" s="1">
        <v>45217</v>
      </c>
      <c r="C889" t="s">
        <v>20</v>
      </c>
      <c r="D889" t="s">
        <v>27</v>
      </c>
      <c r="E889">
        <v>5400</v>
      </c>
      <c r="F889" t="s">
        <v>32</v>
      </c>
      <c r="G889" t="s">
        <v>15</v>
      </c>
      <c r="H889" t="s">
        <v>16</v>
      </c>
      <c r="I889" t="s">
        <v>17</v>
      </c>
      <c r="J889" t="s">
        <v>39</v>
      </c>
      <c r="K889">
        <v>0.1</v>
      </c>
    </row>
    <row r="890" spans="1:11" x14ac:dyDescent="0.25">
      <c r="A890" t="s">
        <v>928</v>
      </c>
      <c r="B890" s="1">
        <v>45470</v>
      </c>
      <c r="C890" t="s">
        <v>31</v>
      </c>
      <c r="D890" t="s">
        <v>27</v>
      </c>
      <c r="E890">
        <v>10800</v>
      </c>
      <c r="F890" t="s">
        <v>49</v>
      </c>
      <c r="G890" t="s">
        <v>24</v>
      </c>
      <c r="H890" t="s">
        <v>33</v>
      </c>
      <c r="I890" t="s">
        <v>34</v>
      </c>
      <c r="J890" t="s">
        <v>50</v>
      </c>
      <c r="K890">
        <v>0.1</v>
      </c>
    </row>
    <row r="891" spans="1:11" x14ac:dyDescent="0.25">
      <c r="A891" t="s">
        <v>929</v>
      </c>
      <c r="B891" s="1">
        <v>45079</v>
      </c>
      <c r="C891" t="s">
        <v>12</v>
      </c>
      <c r="D891" t="s">
        <v>27</v>
      </c>
      <c r="E891">
        <v>16200</v>
      </c>
      <c r="F891" t="s">
        <v>21</v>
      </c>
      <c r="G891" t="s">
        <v>28</v>
      </c>
      <c r="H891" t="s">
        <v>16</v>
      </c>
      <c r="I891" t="s">
        <v>17</v>
      </c>
      <c r="J891" t="s">
        <v>29</v>
      </c>
      <c r="K891">
        <v>0.1</v>
      </c>
    </row>
    <row r="892" spans="1:11" x14ac:dyDescent="0.25">
      <c r="A892" t="s">
        <v>930</v>
      </c>
      <c r="B892" s="1">
        <v>45128</v>
      </c>
      <c r="C892" t="s">
        <v>20</v>
      </c>
      <c r="D892" t="s">
        <v>13</v>
      </c>
      <c r="E892">
        <v>500</v>
      </c>
      <c r="F892" t="s">
        <v>21</v>
      </c>
      <c r="G892" t="s">
        <v>15</v>
      </c>
      <c r="H892" t="s">
        <v>16</v>
      </c>
      <c r="I892" t="s">
        <v>17</v>
      </c>
      <c r="J892" t="s">
        <v>25</v>
      </c>
      <c r="K892">
        <v>0</v>
      </c>
    </row>
    <row r="893" spans="1:11" x14ac:dyDescent="0.25">
      <c r="A893" t="s">
        <v>931</v>
      </c>
      <c r="B893" s="1">
        <v>45204</v>
      </c>
      <c r="C893" t="s">
        <v>31</v>
      </c>
      <c r="D893" t="s">
        <v>27</v>
      </c>
      <c r="E893">
        <v>10800</v>
      </c>
      <c r="F893" t="s">
        <v>21</v>
      </c>
      <c r="G893" t="s">
        <v>24</v>
      </c>
      <c r="H893" t="s">
        <v>16</v>
      </c>
      <c r="I893" t="s">
        <v>17</v>
      </c>
      <c r="J893" t="s">
        <v>22</v>
      </c>
      <c r="K893">
        <v>0.1</v>
      </c>
    </row>
    <row r="894" spans="1:11" x14ac:dyDescent="0.25">
      <c r="A894" t="s">
        <v>932</v>
      </c>
      <c r="B894" s="1">
        <v>44931</v>
      </c>
      <c r="C894" t="s">
        <v>20</v>
      </c>
      <c r="D894" t="s">
        <v>27</v>
      </c>
      <c r="E894">
        <v>5400</v>
      </c>
      <c r="F894" t="s">
        <v>32</v>
      </c>
      <c r="G894" t="s">
        <v>24</v>
      </c>
      <c r="H894" t="s">
        <v>33</v>
      </c>
      <c r="I894" t="s">
        <v>34</v>
      </c>
      <c r="J894" t="s">
        <v>39</v>
      </c>
      <c r="K894">
        <v>0.1</v>
      </c>
    </row>
    <row r="895" spans="1:11" x14ac:dyDescent="0.25">
      <c r="A895" t="s">
        <v>933</v>
      </c>
      <c r="B895" s="1">
        <v>45143</v>
      </c>
      <c r="C895" t="s">
        <v>12</v>
      </c>
      <c r="D895" t="s">
        <v>13</v>
      </c>
      <c r="E895">
        <v>1500</v>
      </c>
      <c r="F895" t="s">
        <v>21</v>
      </c>
      <c r="G895" t="s">
        <v>15</v>
      </c>
      <c r="H895" t="s">
        <v>16</v>
      </c>
      <c r="I895" t="s">
        <v>17</v>
      </c>
      <c r="J895" t="s">
        <v>18</v>
      </c>
      <c r="K895">
        <v>0</v>
      </c>
    </row>
    <row r="896" spans="1:11" x14ac:dyDescent="0.25">
      <c r="A896" t="s">
        <v>934</v>
      </c>
      <c r="B896" s="1">
        <v>45342</v>
      </c>
      <c r="C896" t="s">
        <v>12</v>
      </c>
      <c r="D896" t="s">
        <v>13</v>
      </c>
      <c r="E896">
        <v>1500</v>
      </c>
      <c r="F896" t="s">
        <v>49</v>
      </c>
      <c r="G896" t="s">
        <v>24</v>
      </c>
      <c r="H896" t="s">
        <v>33</v>
      </c>
      <c r="I896" t="s">
        <v>34</v>
      </c>
      <c r="J896" t="s">
        <v>25</v>
      </c>
      <c r="K896">
        <v>0</v>
      </c>
    </row>
    <row r="897" spans="1:11" x14ac:dyDescent="0.25">
      <c r="A897" t="s">
        <v>935</v>
      </c>
      <c r="B897" s="1">
        <v>45623</v>
      </c>
      <c r="C897" t="s">
        <v>31</v>
      </c>
      <c r="D897" t="s">
        <v>27</v>
      </c>
      <c r="E897">
        <v>10800</v>
      </c>
      <c r="F897" t="s">
        <v>32</v>
      </c>
      <c r="G897" t="s">
        <v>15</v>
      </c>
      <c r="H897" t="s">
        <v>33</v>
      </c>
      <c r="I897" t="s">
        <v>34</v>
      </c>
      <c r="J897" t="s">
        <v>25</v>
      </c>
      <c r="K897">
        <v>0.1</v>
      </c>
    </row>
    <row r="898" spans="1:11" x14ac:dyDescent="0.25">
      <c r="A898" t="s">
        <v>936</v>
      </c>
      <c r="B898" s="1">
        <v>45395</v>
      </c>
      <c r="C898" t="s">
        <v>31</v>
      </c>
      <c r="D898" t="s">
        <v>27</v>
      </c>
      <c r="E898">
        <v>10800</v>
      </c>
      <c r="F898" t="s">
        <v>21</v>
      </c>
      <c r="G898" t="s">
        <v>28</v>
      </c>
      <c r="H898" t="s">
        <v>33</v>
      </c>
      <c r="I898" t="s">
        <v>34</v>
      </c>
      <c r="J898" t="s">
        <v>18</v>
      </c>
      <c r="K898">
        <v>0.1</v>
      </c>
    </row>
    <row r="899" spans="1:11" x14ac:dyDescent="0.25">
      <c r="A899" t="s">
        <v>937</v>
      </c>
      <c r="B899" s="1">
        <v>45274</v>
      </c>
      <c r="C899" t="s">
        <v>20</v>
      </c>
      <c r="D899" t="s">
        <v>13</v>
      </c>
      <c r="E899">
        <v>500</v>
      </c>
      <c r="F899" t="s">
        <v>32</v>
      </c>
      <c r="G899" t="s">
        <v>24</v>
      </c>
      <c r="H899" t="s">
        <v>33</v>
      </c>
      <c r="I899" t="s">
        <v>34</v>
      </c>
      <c r="J899" t="s">
        <v>25</v>
      </c>
      <c r="K899">
        <v>0</v>
      </c>
    </row>
    <row r="900" spans="1:11" x14ac:dyDescent="0.25">
      <c r="A900" t="s">
        <v>938</v>
      </c>
      <c r="B900" s="1">
        <v>45432</v>
      </c>
      <c r="C900" t="s">
        <v>20</v>
      </c>
      <c r="D900" t="s">
        <v>13</v>
      </c>
      <c r="E900">
        <v>500</v>
      </c>
      <c r="F900" t="s">
        <v>21</v>
      </c>
      <c r="G900" t="s">
        <v>28</v>
      </c>
      <c r="H900" t="s">
        <v>33</v>
      </c>
      <c r="I900" t="s">
        <v>34</v>
      </c>
      <c r="J900" t="s">
        <v>18</v>
      </c>
      <c r="K900">
        <v>0</v>
      </c>
    </row>
    <row r="901" spans="1:11" x14ac:dyDescent="0.25">
      <c r="A901" t="s">
        <v>939</v>
      </c>
      <c r="B901" s="1">
        <v>45391</v>
      </c>
      <c r="C901" t="s">
        <v>20</v>
      </c>
      <c r="D901" t="s">
        <v>27</v>
      </c>
      <c r="E901">
        <v>5400</v>
      </c>
      <c r="F901" t="s">
        <v>14</v>
      </c>
      <c r="G901" t="s">
        <v>28</v>
      </c>
      <c r="H901" t="s">
        <v>33</v>
      </c>
      <c r="I901" t="s">
        <v>34</v>
      </c>
      <c r="J901" t="s">
        <v>55</v>
      </c>
      <c r="K901">
        <v>0.1</v>
      </c>
    </row>
    <row r="902" spans="1:11" x14ac:dyDescent="0.25">
      <c r="A902" t="s">
        <v>940</v>
      </c>
      <c r="B902" s="1">
        <v>45476</v>
      </c>
      <c r="C902" t="s">
        <v>31</v>
      </c>
      <c r="D902" t="s">
        <v>27</v>
      </c>
      <c r="E902">
        <v>10800</v>
      </c>
      <c r="F902" t="s">
        <v>14</v>
      </c>
      <c r="G902" t="s">
        <v>15</v>
      </c>
      <c r="H902" t="s">
        <v>33</v>
      </c>
      <c r="I902" t="s">
        <v>34</v>
      </c>
      <c r="J902" t="s">
        <v>18</v>
      </c>
      <c r="K902">
        <v>0.1</v>
      </c>
    </row>
    <row r="903" spans="1:11" x14ac:dyDescent="0.25">
      <c r="A903" t="s">
        <v>941</v>
      </c>
      <c r="B903" s="1">
        <v>45120</v>
      </c>
      <c r="C903" t="s">
        <v>20</v>
      </c>
      <c r="D903" t="s">
        <v>27</v>
      </c>
      <c r="E903">
        <v>5400</v>
      </c>
      <c r="F903" t="s">
        <v>49</v>
      </c>
      <c r="G903" t="s">
        <v>15</v>
      </c>
      <c r="H903" t="s">
        <v>33</v>
      </c>
      <c r="I903" t="s">
        <v>34</v>
      </c>
      <c r="J903" t="s">
        <v>22</v>
      </c>
      <c r="K903">
        <v>0.1</v>
      </c>
    </row>
    <row r="904" spans="1:11" x14ac:dyDescent="0.25">
      <c r="A904" t="s">
        <v>942</v>
      </c>
      <c r="B904" s="1">
        <v>45637</v>
      </c>
      <c r="C904" t="s">
        <v>31</v>
      </c>
      <c r="D904" t="s">
        <v>27</v>
      </c>
      <c r="E904">
        <v>10800</v>
      </c>
      <c r="F904" t="s">
        <v>49</v>
      </c>
      <c r="G904" t="s">
        <v>28</v>
      </c>
      <c r="H904" t="s">
        <v>33</v>
      </c>
      <c r="I904" t="s">
        <v>34</v>
      </c>
      <c r="J904" t="s">
        <v>50</v>
      </c>
      <c r="K904">
        <v>0.1</v>
      </c>
    </row>
    <row r="905" spans="1:11" x14ac:dyDescent="0.25">
      <c r="A905" t="s">
        <v>943</v>
      </c>
      <c r="B905" s="1">
        <v>44942</v>
      </c>
      <c r="C905" t="s">
        <v>31</v>
      </c>
      <c r="D905" t="s">
        <v>27</v>
      </c>
      <c r="E905">
        <v>10800</v>
      </c>
      <c r="F905" t="s">
        <v>49</v>
      </c>
      <c r="G905" t="s">
        <v>28</v>
      </c>
      <c r="H905" t="s">
        <v>33</v>
      </c>
      <c r="I905" t="s">
        <v>34</v>
      </c>
      <c r="J905" t="s">
        <v>58</v>
      </c>
      <c r="K905">
        <v>0.1</v>
      </c>
    </row>
    <row r="906" spans="1:11" x14ac:dyDescent="0.25">
      <c r="A906" t="s">
        <v>944</v>
      </c>
      <c r="B906" s="1">
        <v>45594</v>
      </c>
      <c r="C906" t="s">
        <v>20</v>
      </c>
      <c r="D906" t="s">
        <v>27</v>
      </c>
      <c r="E906">
        <v>5400</v>
      </c>
      <c r="F906" t="s">
        <v>32</v>
      </c>
      <c r="G906" t="s">
        <v>28</v>
      </c>
      <c r="H906" t="s">
        <v>33</v>
      </c>
      <c r="I906" t="s">
        <v>34</v>
      </c>
      <c r="J906" t="s">
        <v>39</v>
      </c>
      <c r="K906">
        <v>0.1</v>
      </c>
    </row>
    <row r="907" spans="1:11" x14ac:dyDescent="0.25">
      <c r="A907" t="s">
        <v>945</v>
      </c>
      <c r="B907" s="1">
        <v>45019</v>
      </c>
      <c r="C907" t="s">
        <v>12</v>
      </c>
      <c r="D907" t="s">
        <v>13</v>
      </c>
      <c r="E907">
        <v>1500</v>
      </c>
      <c r="F907" t="s">
        <v>32</v>
      </c>
      <c r="G907" t="s">
        <v>28</v>
      </c>
      <c r="H907" t="s">
        <v>16</v>
      </c>
      <c r="I907" t="s">
        <v>17</v>
      </c>
      <c r="J907" t="s">
        <v>25</v>
      </c>
      <c r="K907">
        <v>0</v>
      </c>
    </row>
    <row r="908" spans="1:11" x14ac:dyDescent="0.25">
      <c r="A908" t="s">
        <v>946</v>
      </c>
      <c r="B908" s="1">
        <v>45313</v>
      </c>
      <c r="C908" t="s">
        <v>31</v>
      </c>
      <c r="D908" t="s">
        <v>13</v>
      </c>
      <c r="E908">
        <v>1000</v>
      </c>
      <c r="F908" t="s">
        <v>49</v>
      </c>
      <c r="G908" t="s">
        <v>24</v>
      </c>
      <c r="H908" t="s">
        <v>33</v>
      </c>
      <c r="I908" t="s">
        <v>34</v>
      </c>
      <c r="J908" t="s">
        <v>35</v>
      </c>
      <c r="K908">
        <v>0</v>
      </c>
    </row>
    <row r="909" spans="1:11" x14ac:dyDescent="0.25">
      <c r="A909" t="s">
        <v>947</v>
      </c>
      <c r="B909" s="1">
        <v>45657</v>
      </c>
      <c r="C909" t="s">
        <v>31</v>
      </c>
      <c r="D909" t="s">
        <v>13</v>
      </c>
      <c r="E909">
        <v>1000</v>
      </c>
      <c r="F909" t="s">
        <v>32</v>
      </c>
      <c r="G909" t="s">
        <v>24</v>
      </c>
      <c r="H909" t="s">
        <v>33</v>
      </c>
      <c r="I909" t="s">
        <v>34</v>
      </c>
      <c r="J909" t="s">
        <v>66</v>
      </c>
      <c r="K909">
        <v>0</v>
      </c>
    </row>
    <row r="910" spans="1:11" x14ac:dyDescent="0.25">
      <c r="A910" t="s">
        <v>948</v>
      </c>
      <c r="B910" s="1">
        <v>45128</v>
      </c>
      <c r="C910" t="s">
        <v>12</v>
      </c>
      <c r="D910" t="s">
        <v>13</v>
      </c>
      <c r="E910">
        <v>1500</v>
      </c>
      <c r="F910" t="s">
        <v>21</v>
      </c>
      <c r="G910" t="s">
        <v>24</v>
      </c>
      <c r="H910" t="s">
        <v>33</v>
      </c>
      <c r="I910" t="s">
        <v>34</v>
      </c>
      <c r="J910" t="s">
        <v>18</v>
      </c>
      <c r="K910">
        <v>0</v>
      </c>
    </row>
    <row r="911" spans="1:11" x14ac:dyDescent="0.25">
      <c r="A911" t="s">
        <v>949</v>
      </c>
      <c r="B911" s="1">
        <v>45111</v>
      </c>
      <c r="C911" t="s">
        <v>12</v>
      </c>
      <c r="D911" t="s">
        <v>27</v>
      </c>
      <c r="E911">
        <v>16200</v>
      </c>
      <c r="F911" t="s">
        <v>32</v>
      </c>
      <c r="G911" t="s">
        <v>28</v>
      </c>
      <c r="H911" t="s">
        <v>16</v>
      </c>
      <c r="I911" t="s">
        <v>17</v>
      </c>
      <c r="J911" t="s">
        <v>39</v>
      </c>
      <c r="K911">
        <v>0.1</v>
      </c>
    </row>
    <row r="912" spans="1:11" x14ac:dyDescent="0.25">
      <c r="A912" t="s">
        <v>950</v>
      </c>
      <c r="B912" s="1">
        <v>45205</v>
      </c>
      <c r="C912" t="s">
        <v>20</v>
      </c>
      <c r="D912" t="s">
        <v>27</v>
      </c>
      <c r="E912">
        <v>5400</v>
      </c>
      <c r="F912" t="s">
        <v>14</v>
      </c>
      <c r="G912" t="s">
        <v>15</v>
      </c>
      <c r="H912" t="s">
        <v>16</v>
      </c>
      <c r="I912" t="s">
        <v>17</v>
      </c>
      <c r="J912" t="s">
        <v>37</v>
      </c>
      <c r="K912">
        <v>0.1</v>
      </c>
    </row>
    <row r="913" spans="1:11" x14ac:dyDescent="0.25">
      <c r="A913" t="s">
        <v>951</v>
      </c>
      <c r="B913" s="1">
        <v>45272</v>
      </c>
      <c r="C913" t="s">
        <v>20</v>
      </c>
      <c r="D913" t="s">
        <v>13</v>
      </c>
      <c r="E913">
        <v>500</v>
      </c>
      <c r="F913" t="s">
        <v>14</v>
      </c>
      <c r="G913" t="s">
        <v>28</v>
      </c>
      <c r="H913" t="s">
        <v>33</v>
      </c>
      <c r="I913" t="s">
        <v>34</v>
      </c>
      <c r="J913" t="s">
        <v>41</v>
      </c>
      <c r="K913">
        <v>0</v>
      </c>
    </row>
    <row r="914" spans="1:11" x14ac:dyDescent="0.25">
      <c r="A914" t="s">
        <v>952</v>
      </c>
      <c r="B914" s="1">
        <v>45068</v>
      </c>
      <c r="C914" t="s">
        <v>12</v>
      </c>
      <c r="D914" t="s">
        <v>13</v>
      </c>
      <c r="E914">
        <v>1500</v>
      </c>
      <c r="F914" t="s">
        <v>21</v>
      </c>
      <c r="G914" t="s">
        <v>28</v>
      </c>
      <c r="H914" t="s">
        <v>16</v>
      </c>
      <c r="I914" t="s">
        <v>17</v>
      </c>
      <c r="J914" t="s">
        <v>25</v>
      </c>
      <c r="K914">
        <v>0</v>
      </c>
    </row>
    <row r="915" spans="1:11" x14ac:dyDescent="0.25">
      <c r="A915" t="s">
        <v>953</v>
      </c>
      <c r="B915" s="1">
        <v>45402</v>
      </c>
      <c r="C915" t="s">
        <v>12</v>
      </c>
      <c r="D915" t="s">
        <v>13</v>
      </c>
      <c r="E915">
        <v>1500</v>
      </c>
      <c r="F915" t="s">
        <v>14</v>
      </c>
      <c r="G915" t="s">
        <v>15</v>
      </c>
      <c r="H915" t="s">
        <v>33</v>
      </c>
      <c r="I915" t="s">
        <v>34</v>
      </c>
      <c r="J915" t="s">
        <v>41</v>
      </c>
      <c r="K915">
        <v>0</v>
      </c>
    </row>
    <row r="916" spans="1:11" x14ac:dyDescent="0.25">
      <c r="A916" t="s">
        <v>954</v>
      </c>
      <c r="B916" s="1">
        <v>44945</v>
      </c>
      <c r="C916" t="s">
        <v>12</v>
      </c>
      <c r="D916" t="s">
        <v>13</v>
      </c>
      <c r="E916">
        <v>1500</v>
      </c>
      <c r="F916" t="s">
        <v>49</v>
      </c>
      <c r="G916" t="s">
        <v>15</v>
      </c>
      <c r="H916" t="s">
        <v>16</v>
      </c>
      <c r="I916" t="s">
        <v>17</v>
      </c>
      <c r="J916" t="s">
        <v>22</v>
      </c>
      <c r="K916">
        <v>0</v>
      </c>
    </row>
    <row r="917" spans="1:11" x14ac:dyDescent="0.25">
      <c r="A917" t="s">
        <v>955</v>
      </c>
      <c r="B917" s="1">
        <v>45456</v>
      </c>
      <c r="C917" t="s">
        <v>12</v>
      </c>
      <c r="D917" t="s">
        <v>13</v>
      </c>
      <c r="E917">
        <v>1500</v>
      </c>
      <c r="F917" t="s">
        <v>49</v>
      </c>
      <c r="G917" t="s">
        <v>28</v>
      </c>
      <c r="H917" t="s">
        <v>16</v>
      </c>
      <c r="I917" t="s">
        <v>17</v>
      </c>
      <c r="J917" t="s">
        <v>58</v>
      </c>
      <c r="K917">
        <v>0</v>
      </c>
    </row>
    <row r="918" spans="1:11" x14ac:dyDescent="0.25">
      <c r="A918" t="s">
        <v>956</v>
      </c>
      <c r="B918" s="1">
        <v>45084</v>
      </c>
      <c r="C918" t="s">
        <v>31</v>
      </c>
      <c r="D918" t="s">
        <v>27</v>
      </c>
      <c r="E918">
        <v>10800</v>
      </c>
      <c r="F918" t="s">
        <v>14</v>
      </c>
      <c r="G918" t="s">
        <v>28</v>
      </c>
      <c r="H918" t="s">
        <v>16</v>
      </c>
      <c r="I918" t="s">
        <v>17</v>
      </c>
      <c r="J918" t="s">
        <v>22</v>
      </c>
      <c r="K918">
        <v>0.1</v>
      </c>
    </row>
    <row r="919" spans="1:11" x14ac:dyDescent="0.25">
      <c r="A919" t="s">
        <v>957</v>
      </c>
      <c r="B919" s="1">
        <v>45014</v>
      </c>
      <c r="C919" t="s">
        <v>31</v>
      </c>
      <c r="D919" t="s">
        <v>27</v>
      </c>
      <c r="E919">
        <v>10800</v>
      </c>
      <c r="F919" t="s">
        <v>21</v>
      </c>
      <c r="G919" t="s">
        <v>28</v>
      </c>
      <c r="H919" t="s">
        <v>33</v>
      </c>
      <c r="I919" t="s">
        <v>34</v>
      </c>
      <c r="J919" t="s">
        <v>18</v>
      </c>
      <c r="K919">
        <v>0.1</v>
      </c>
    </row>
    <row r="920" spans="1:11" x14ac:dyDescent="0.25">
      <c r="A920" t="s">
        <v>958</v>
      </c>
      <c r="B920" s="1">
        <v>45053</v>
      </c>
      <c r="C920" t="s">
        <v>31</v>
      </c>
      <c r="D920" t="s">
        <v>13</v>
      </c>
      <c r="E920">
        <v>1000</v>
      </c>
      <c r="F920" t="s">
        <v>49</v>
      </c>
      <c r="G920" t="s">
        <v>24</v>
      </c>
      <c r="H920" t="s">
        <v>33</v>
      </c>
      <c r="I920" t="s">
        <v>34</v>
      </c>
      <c r="J920" t="s">
        <v>50</v>
      </c>
      <c r="K920">
        <v>0</v>
      </c>
    </row>
    <row r="921" spans="1:11" x14ac:dyDescent="0.25">
      <c r="A921" t="s">
        <v>959</v>
      </c>
      <c r="B921" s="1">
        <v>45016</v>
      </c>
      <c r="C921" t="s">
        <v>20</v>
      </c>
      <c r="D921" t="s">
        <v>27</v>
      </c>
      <c r="E921">
        <v>5400</v>
      </c>
      <c r="F921" t="s">
        <v>21</v>
      </c>
      <c r="G921" t="s">
        <v>28</v>
      </c>
      <c r="H921" t="s">
        <v>16</v>
      </c>
      <c r="I921" t="s">
        <v>17</v>
      </c>
      <c r="J921" t="s">
        <v>25</v>
      </c>
      <c r="K921">
        <v>0.1</v>
      </c>
    </row>
    <row r="922" spans="1:11" x14ac:dyDescent="0.25">
      <c r="A922" t="s">
        <v>960</v>
      </c>
      <c r="B922" s="1">
        <v>45549</v>
      </c>
      <c r="C922" t="s">
        <v>20</v>
      </c>
      <c r="D922" t="s">
        <v>13</v>
      </c>
      <c r="E922">
        <v>500</v>
      </c>
      <c r="F922" t="s">
        <v>21</v>
      </c>
      <c r="G922" t="s">
        <v>24</v>
      </c>
      <c r="H922" t="s">
        <v>33</v>
      </c>
      <c r="I922" t="s">
        <v>34</v>
      </c>
      <c r="J922" t="s">
        <v>18</v>
      </c>
      <c r="K922">
        <v>0</v>
      </c>
    </row>
    <row r="923" spans="1:11" x14ac:dyDescent="0.25">
      <c r="A923" t="s">
        <v>961</v>
      </c>
      <c r="B923" s="1">
        <v>44932</v>
      </c>
      <c r="C923" t="s">
        <v>31</v>
      </c>
      <c r="D923" t="s">
        <v>13</v>
      </c>
      <c r="E923">
        <v>1000</v>
      </c>
      <c r="F923" t="s">
        <v>14</v>
      </c>
      <c r="G923" t="s">
        <v>28</v>
      </c>
      <c r="H923" t="s">
        <v>16</v>
      </c>
      <c r="I923" t="s">
        <v>17</v>
      </c>
      <c r="J923" t="s">
        <v>55</v>
      </c>
      <c r="K923">
        <v>0</v>
      </c>
    </row>
    <row r="924" spans="1:11" x14ac:dyDescent="0.25">
      <c r="A924" t="s">
        <v>962</v>
      </c>
      <c r="B924" s="1">
        <v>45190</v>
      </c>
      <c r="C924" t="s">
        <v>20</v>
      </c>
      <c r="D924" t="s">
        <v>13</v>
      </c>
      <c r="E924">
        <v>500</v>
      </c>
      <c r="F924" t="s">
        <v>49</v>
      </c>
      <c r="G924" t="s">
        <v>24</v>
      </c>
      <c r="H924" t="s">
        <v>33</v>
      </c>
      <c r="I924" t="s">
        <v>34</v>
      </c>
      <c r="J924" t="s">
        <v>35</v>
      </c>
      <c r="K924">
        <v>0</v>
      </c>
    </row>
    <row r="925" spans="1:11" x14ac:dyDescent="0.25">
      <c r="A925" t="s">
        <v>963</v>
      </c>
      <c r="B925" s="1">
        <v>45457</v>
      </c>
      <c r="C925" t="s">
        <v>31</v>
      </c>
      <c r="D925" t="s">
        <v>27</v>
      </c>
      <c r="E925">
        <v>10800</v>
      </c>
      <c r="F925" t="s">
        <v>32</v>
      </c>
      <c r="G925" t="s">
        <v>28</v>
      </c>
      <c r="H925" t="s">
        <v>33</v>
      </c>
      <c r="I925" t="s">
        <v>34</v>
      </c>
      <c r="J925" t="s">
        <v>39</v>
      </c>
      <c r="K925">
        <v>0.1</v>
      </c>
    </row>
    <row r="926" spans="1:11" x14ac:dyDescent="0.25">
      <c r="A926" t="s">
        <v>964</v>
      </c>
      <c r="B926" s="1">
        <v>45214</v>
      </c>
      <c r="C926" t="s">
        <v>31</v>
      </c>
      <c r="D926" t="s">
        <v>27</v>
      </c>
      <c r="E926">
        <v>10800</v>
      </c>
      <c r="F926" t="s">
        <v>21</v>
      </c>
      <c r="G926" t="s">
        <v>24</v>
      </c>
      <c r="H926" t="s">
        <v>33</v>
      </c>
      <c r="I926" t="s">
        <v>34</v>
      </c>
      <c r="J926" t="s">
        <v>29</v>
      </c>
      <c r="K926">
        <v>0.1</v>
      </c>
    </row>
    <row r="927" spans="1:11" x14ac:dyDescent="0.25">
      <c r="A927" t="s">
        <v>965</v>
      </c>
      <c r="B927" s="1">
        <v>45253</v>
      </c>
      <c r="C927" t="s">
        <v>12</v>
      </c>
      <c r="D927" t="s">
        <v>27</v>
      </c>
      <c r="E927">
        <v>16200</v>
      </c>
      <c r="F927" t="s">
        <v>14</v>
      </c>
      <c r="G927" t="s">
        <v>28</v>
      </c>
      <c r="H927" t="s">
        <v>33</v>
      </c>
      <c r="I927" t="s">
        <v>34</v>
      </c>
      <c r="J927" t="s">
        <v>41</v>
      </c>
      <c r="K927">
        <v>0.1</v>
      </c>
    </row>
    <row r="928" spans="1:11" x14ac:dyDescent="0.25">
      <c r="A928" t="s">
        <v>966</v>
      </c>
      <c r="B928" s="1">
        <v>45411</v>
      </c>
      <c r="C928" t="s">
        <v>12</v>
      </c>
      <c r="D928" t="s">
        <v>27</v>
      </c>
      <c r="E928">
        <v>16200</v>
      </c>
      <c r="F928" t="s">
        <v>32</v>
      </c>
      <c r="G928" t="s">
        <v>28</v>
      </c>
      <c r="H928" t="s">
        <v>16</v>
      </c>
      <c r="I928" t="s">
        <v>17</v>
      </c>
      <c r="J928" t="s">
        <v>44</v>
      </c>
      <c r="K928">
        <v>0.1</v>
      </c>
    </row>
    <row r="929" spans="1:11" x14ac:dyDescent="0.25">
      <c r="A929" t="s">
        <v>967</v>
      </c>
      <c r="B929" s="1">
        <v>45376</v>
      </c>
      <c r="C929" t="s">
        <v>31</v>
      </c>
      <c r="D929" t="s">
        <v>27</v>
      </c>
      <c r="E929">
        <v>10800</v>
      </c>
      <c r="F929" t="s">
        <v>32</v>
      </c>
      <c r="G929" t="s">
        <v>24</v>
      </c>
      <c r="H929" t="s">
        <v>16</v>
      </c>
      <c r="I929" t="s">
        <v>17</v>
      </c>
      <c r="J929" t="s">
        <v>25</v>
      </c>
      <c r="K929">
        <v>0.1</v>
      </c>
    </row>
    <row r="930" spans="1:11" x14ac:dyDescent="0.25">
      <c r="A930" t="s">
        <v>968</v>
      </c>
      <c r="B930" s="1">
        <v>45487</v>
      </c>
      <c r="C930" t="s">
        <v>20</v>
      </c>
      <c r="D930" t="s">
        <v>13</v>
      </c>
      <c r="E930">
        <v>500</v>
      </c>
      <c r="F930" t="s">
        <v>49</v>
      </c>
      <c r="G930" t="s">
        <v>24</v>
      </c>
      <c r="H930" t="s">
        <v>33</v>
      </c>
      <c r="I930" t="s">
        <v>34</v>
      </c>
      <c r="J930" t="s">
        <v>25</v>
      </c>
      <c r="K930">
        <v>0</v>
      </c>
    </row>
    <row r="931" spans="1:11" x14ac:dyDescent="0.25">
      <c r="A931" t="s">
        <v>969</v>
      </c>
      <c r="B931" s="1">
        <v>45535</v>
      </c>
      <c r="C931" t="s">
        <v>20</v>
      </c>
      <c r="D931" t="s">
        <v>27</v>
      </c>
      <c r="E931">
        <v>5400</v>
      </c>
      <c r="F931" t="s">
        <v>49</v>
      </c>
      <c r="G931" t="s">
        <v>15</v>
      </c>
      <c r="H931" t="s">
        <v>33</v>
      </c>
      <c r="I931" t="s">
        <v>34</v>
      </c>
      <c r="J931" t="s">
        <v>35</v>
      </c>
      <c r="K931">
        <v>0.1</v>
      </c>
    </row>
    <row r="932" spans="1:11" x14ac:dyDescent="0.25">
      <c r="A932" t="s">
        <v>970</v>
      </c>
      <c r="B932" s="1">
        <v>45145</v>
      </c>
      <c r="C932" t="s">
        <v>20</v>
      </c>
      <c r="D932" t="s">
        <v>13</v>
      </c>
      <c r="E932">
        <v>500</v>
      </c>
      <c r="F932" t="s">
        <v>14</v>
      </c>
      <c r="G932" t="s">
        <v>28</v>
      </c>
      <c r="H932" t="s">
        <v>16</v>
      </c>
      <c r="I932" t="s">
        <v>17</v>
      </c>
      <c r="J932" t="s">
        <v>37</v>
      </c>
      <c r="K932">
        <v>0</v>
      </c>
    </row>
    <row r="933" spans="1:11" x14ac:dyDescent="0.25">
      <c r="A933" t="s">
        <v>971</v>
      </c>
      <c r="B933" s="1">
        <v>45237</v>
      </c>
      <c r="C933" t="s">
        <v>12</v>
      </c>
      <c r="D933" t="s">
        <v>13</v>
      </c>
      <c r="E933">
        <v>1500</v>
      </c>
      <c r="F933" t="s">
        <v>32</v>
      </c>
      <c r="G933" t="s">
        <v>15</v>
      </c>
      <c r="H933" t="s">
        <v>16</v>
      </c>
      <c r="I933" t="s">
        <v>17</v>
      </c>
      <c r="J933" t="s">
        <v>35</v>
      </c>
      <c r="K933">
        <v>0</v>
      </c>
    </row>
    <row r="934" spans="1:11" x14ac:dyDescent="0.25">
      <c r="A934" t="s">
        <v>972</v>
      </c>
      <c r="B934" s="1">
        <v>45330</v>
      </c>
      <c r="C934" t="s">
        <v>31</v>
      </c>
      <c r="D934" t="s">
        <v>13</v>
      </c>
      <c r="E934">
        <v>1000</v>
      </c>
      <c r="F934" t="s">
        <v>14</v>
      </c>
      <c r="G934" t="s">
        <v>28</v>
      </c>
      <c r="H934" t="s">
        <v>33</v>
      </c>
      <c r="I934" t="s">
        <v>34</v>
      </c>
      <c r="J934" t="s">
        <v>22</v>
      </c>
      <c r="K934">
        <v>0</v>
      </c>
    </row>
    <row r="935" spans="1:11" x14ac:dyDescent="0.25">
      <c r="A935" t="s">
        <v>973</v>
      </c>
      <c r="B935" s="1">
        <v>45427</v>
      </c>
      <c r="C935" t="s">
        <v>12</v>
      </c>
      <c r="D935" t="s">
        <v>13</v>
      </c>
      <c r="E935">
        <v>1500</v>
      </c>
      <c r="F935" t="s">
        <v>32</v>
      </c>
      <c r="G935" t="s">
        <v>28</v>
      </c>
      <c r="H935" t="s">
        <v>16</v>
      </c>
      <c r="I935" t="s">
        <v>17</v>
      </c>
      <c r="J935" t="s">
        <v>25</v>
      </c>
      <c r="K935">
        <v>0</v>
      </c>
    </row>
    <row r="936" spans="1:11" x14ac:dyDescent="0.25">
      <c r="A936" t="s">
        <v>974</v>
      </c>
      <c r="B936" s="1">
        <v>45064</v>
      </c>
      <c r="C936" t="s">
        <v>12</v>
      </c>
      <c r="D936" t="s">
        <v>13</v>
      </c>
      <c r="E936">
        <v>1500</v>
      </c>
      <c r="F936" t="s">
        <v>21</v>
      </c>
      <c r="G936" t="s">
        <v>24</v>
      </c>
      <c r="H936" t="s">
        <v>33</v>
      </c>
      <c r="I936" t="s">
        <v>34</v>
      </c>
      <c r="J936" t="s">
        <v>18</v>
      </c>
      <c r="K936">
        <v>0</v>
      </c>
    </row>
    <row r="937" spans="1:11" x14ac:dyDescent="0.25">
      <c r="A937" t="s">
        <v>975</v>
      </c>
      <c r="B937" s="1">
        <v>45266</v>
      </c>
      <c r="C937" t="s">
        <v>12</v>
      </c>
      <c r="D937" t="s">
        <v>13</v>
      </c>
      <c r="E937">
        <v>1500</v>
      </c>
      <c r="F937" t="s">
        <v>32</v>
      </c>
      <c r="G937" t="s">
        <v>15</v>
      </c>
      <c r="H937" t="s">
        <v>33</v>
      </c>
      <c r="I937" t="s">
        <v>34</v>
      </c>
      <c r="J937" t="s">
        <v>35</v>
      </c>
      <c r="K937">
        <v>0</v>
      </c>
    </row>
    <row r="938" spans="1:11" x14ac:dyDescent="0.25">
      <c r="A938" t="s">
        <v>976</v>
      </c>
      <c r="B938" s="1">
        <v>45583</v>
      </c>
      <c r="C938" t="s">
        <v>12</v>
      </c>
      <c r="D938" t="s">
        <v>13</v>
      </c>
      <c r="E938">
        <v>1500</v>
      </c>
      <c r="F938" t="s">
        <v>49</v>
      </c>
      <c r="G938" t="s">
        <v>15</v>
      </c>
      <c r="H938" t="s">
        <v>16</v>
      </c>
      <c r="I938" t="s">
        <v>17</v>
      </c>
      <c r="J938" t="s">
        <v>22</v>
      </c>
      <c r="K938">
        <v>0</v>
      </c>
    </row>
    <row r="939" spans="1:11" x14ac:dyDescent="0.25">
      <c r="A939" t="s">
        <v>977</v>
      </c>
      <c r="B939" s="1">
        <v>45618</v>
      </c>
      <c r="C939" t="s">
        <v>20</v>
      </c>
      <c r="D939" t="s">
        <v>13</v>
      </c>
      <c r="E939">
        <v>500</v>
      </c>
      <c r="F939" t="s">
        <v>14</v>
      </c>
      <c r="G939" t="s">
        <v>28</v>
      </c>
      <c r="H939" t="s">
        <v>33</v>
      </c>
      <c r="I939" t="s">
        <v>34</v>
      </c>
      <c r="J939" t="s">
        <v>37</v>
      </c>
      <c r="K939">
        <v>0</v>
      </c>
    </row>
    <row r="940" spans="1:11" x14ac:dyDescent="0.25">
      <c r="A940" t="s">
        <v>978</v>
      </c>
      <c r="B940" s="1">
        <v>45081</v>
      </c>
      <c r="C940" t="s">
        <v>12</v>
      </c>
      <c r="D940" t="s">
        <v>27</v>
      </c>
      <c r="E940">
        <v>16200</v>
      </c>
      <c r="F940" t="s">
        <v>49</v>
      </c>
      <c r="G940" t="s">
        <v>15</v>
      </c>
      <c r="H940" t="s">
        <v>33</v>
      </c>
      <c r="I940" t="s">
        <v>34</v>
      </c>
      <c r="J940" t="s">
        <v>25</v>
      </c>
      <c r="K940">
        <v>0.1</v>
      </c>
    </row>
    <row r="941" spans="1:11" x14ac:dyDescent="0.25">
      <c r="A941" t="s">
        <v>979</v>
      </c>
      <c r="B941" s="1">
        <v>45657</v>
      </c>
      <c r="C941" t="s">
        <v>12</v>
      </c>
      <c r="D941" t="s">
        <v>13</v>
      </c>
      <c r="E941">
        <v>1500</v>
      </c>
      <c r="F941" t="s">
        <v>49</v>
      </c>
      <c r="G941" t="s">
        <v>24</v>
      </c>
      <c r="H941" t="s">
        <v>16</v>
      </c>
      <c r="I941" t="s">
        <v>17</v>
      </c>
      <c r="J941" t="s">
        <v>22</v>
      </c>
      <c r="K941">
        <v>0</v>
      </c>
    </row>
    <row r="942" spans="1:11" x14ac:dyDescent="0.25">
      <c r="A942" t="s">
        <v>980</v>
      </c>
      <c r="B942" s="1">
        <v>45220</v>
      </c>
      <c r="C942" t="s">
        <v>20</v>
      </c>
      <c r="D942" t="s">
        <v>13</v>
      </c>
      <c r="E942">
        <v>500</v>
      </c>
      <c r="F942" t="s">
        <v>49</v>
      </c>
      <c r="G942" t="s">
        <v>24</v>
      </c>
      <c r="H942" t="s">
        <v>16</v>
      </c>
      <c r="I942" t="s">
        <v>17</v>
      </c>
      <c r="J942" t="s">
        <v>50</v>
      </c>
      <c r="K942">
        <v>0</v>
      </c>
    </row>
    <row r="943" spans="1:11" x14ac:dyDescent="0.25">
      <c r="A943" t="s">
        <v>981</v>
      </c>
      <c r="B943" s="1">
        <v>45431</v>
      </c>
      <c r="C943" t="s">
        <v>12</v>
      </c>
      <c r="D943" t="s">
        <v>27</v>
      </c>
      <c r="E943">
        <v>16200</v>
      </c>
      <c r="F943" t="s">
        <v>21</v>
      </c>
      <c r="G943" t="s">
        <v>15</v>
      </c>
      <c r="H943" t="s">
        <v>33</v>
      </c>
      <c r="I943" t="s">
        <v>34</v>
      </c>
      <c r="J943" t="s">
        <v>18</v>
      </c>
      <c r="K943">
        <v>0.1</v>
      </c>
    </row>
    <row r="944" spans="1:11" x14ac:dyDescent="0.25">
      <c r="A944" t="s">
        <v>982</v>
      </c>
      <c r="B944" s="1">
        <v>45620</v>
      </c>
      <c r="C944" t="s">
        <v>20</v>
      </c>
      <c r="D944" t="s">
        <v>27</v>
      </c>
      <c r="E944">
        <v>5400</v>
      </c>
      <c r="F944" t="s">
        <v>21</v>
      </c>
      <c r="G944" t="s">
        <v>24</v>
      </c>
      <c r="H944" t="s">
        <v>33</v>
      </c>
      <c r="I944" t="s">
        <v>34</v>
      </c>
      <c r="J944" t="s">
        <v>22</v>
      </c>
      <c r="K944">
        <v>0.1</v>
      </c>
    </row>
    <row r="945" spans="1:11" x14ac:dyDescent="0.25">
      <c r="A945" t="s">
        <v>983</v>
      </c>
      <c r="B945" s="1">
        <v>45411</v>
      </c>
      <c r="C945" t="s">
        <v>12</v>
      </c>
      <c r="D945" t="s">
        <v>27</v>
      </c>
      <c r="E945">
        <v>16200</v>
      </c>
      <c r="F945" t="s">
        <v>49</v>
      </c>
      <c r="G945" t="s">
        <v>24</v>
      </c>
      <c r="H945" t="s">
        <v>16</v>
      </c>
      <c r="I945" t="s">
        <v>17</v>
      </c>
      <c r="J945" t="s">
        <v>18</v>
      </c>
      <c r="K945">
        <v>0.1</v>
      </c>
    </row>
    <row r="946" spans="1:11" x14ac:dyDescent="0.25">
      <c r="A946" t="s">
        <v>984</v>
      </c>
      <c r="B946" s="1">
        <v>45288</v>
      </c>
      <c r="C946" t="s">
        <v>12</v>
      </c>
      <c r="D946" t="s">
        <v>13</v>
      </c>
      <c r="E946">
        <v>1500</v>
      </c>
      <c r="F946" t="s">
        <v>14</v>
      </c>
      <c r="G946" t="s">
        <v>28</v>
      </c>
      <c r="H946" t="s">
        <v>16</v>
      </c>
      <c r="I946" t="s">
        <v>17</v>
      </c>
      <c r="J946" t="s">
        <v>22</v>
      </c>
      <c r="K946">
        <v>0</v>
      </c>
    </row>
    <row r="947" spans="1:11" x14ac:dyDescent="0.25">
      <c r="A947" t="s">
        <v>985</v>
      </c>
      <c r="B947" s="1">
        <v>45044</v>
      </c>
      <c r="C947" t="s">
        <v>31</v>
      </c>
      <c r="D947" t="s">
        <v>27</v>
      </c>
      <c r="E947">
        <v>10800</v>
      </c>
      <c r="F947" t="s">
        <v>32</v>
      </c>
      <c r="G947" t="s">
        <v>28</v>
      </c>
      <c r="H947" t="s">
        <v>16</v>
      </c>
      <c r="I947" t="s">
        <v>17</v>
      </c>
      <c r="J947" t="s">
        <v>66</v>
      </c>
      <c r="K947">
        <v>0.1</v>
      </c>
    </row>
    <row r="948" spans="1:11" x14ac:dyDescent="0.25">
      <c r="A948" t="s">
        <v>986</v>
      </c>
      <c r="B948" s="1">
        <v>45139</v>
      </c>
      <c r="C948" t="s">
        <v>12</v>
      </c>
      <c r="D948" t="s">
        <v>13</v>
      </c>
      <c r="E948">
        <v>1500</v>
      </c>
      <c r="F948" t="s">
        <v>21</v>
      </c>
      <c r="G948" t="s">
        <v>24</v>
      </c>
      <c r="H948" t="s">
        <v>33</v>
      </c>
      <c r="I948" t="s">
        <v>34</v>
      </c>
      <c r="J948" t="s">
        <v>25</v>
      </c>
      <c r="K948">
        <v>0</v>
      </c>
    </row>
    <row r="949" spans="1:11" x14ac:dyDescent="0.25">
      <c r="A949" t="s">
        <v>987</v>
      </c>
      <c r="B949" s="1">
        <v>45515</v>
      </c>
      <c r="C949" t="s">
        <v>20</v>
      </c>
      <c r="D949" t="s">
        <v>13</v>
      </c>
      <c r="E949">
        <v>500</v>
      </c>
      <c r="F949" t="s">
        <v>14</v>
      </c>
      <c r="G949" t="s">
        <v>15</v>
      </c>
      <c r="H949" t="s">
        <v>33</v>
      </c>
      <c r="I949" t="s">
        <v>34</v>
      </c>
      <c r="J949" t="s">
        <v>41</v>
      </c>
      <c r="K949">
        <v>0</v>
      </c>
    </row>
    <row r="950" spans="1:11" x14ac:dyDescent="0.25">
      <c r="A950" t="s">
        <v>988</v>
      </c>
      <c r="B950" s="1">
        <v>44964</v>
      </c>
      <c r="C950" t="s">
        <v>12</v>
      </c>
      <c r="D950" t="s">
        <v>27</v>
      </c>
      <c r="E950">
        <v>16200</v>
      </c>
      <c r="F950" t="s">
        <v>14</v>
      </c>
      <c r="G950" t="s">
        <v>15</v>
      </c>
      <c r="H950" t="s">
        <v>16</v>
      </c>
      <c r="I950" t="s">
        <v>17</v>
      </c>
      <c r="J950" t="s">
        <v>18</v>
      </c>
      <c r="K950">
        <v>0.1</v>
      </c>
    </row>
    <row r="951" spans="1:11" x14ac:dyDescent="0.25">
      <c r="A951" t="s">
        <v>989</v>
      </c>
      <c r="B951" s="1">
        <v>45125</v>
      </c>
      <c r="C951" t="s">
        <v>31</v>
      </c>
      <c r="D951" t="s">
        <v>13</v>
      </c>
      <c r="E951">
        <v>1000</v>
      </c>
      <c r="F951" t="s">
        <v>49</v>
      </c>
      <c r="G951" t="s">
        <v>24</v>
      </c>
      <c r="H951" t="s">
        <v>16</v>
      </c>
      <c r="I951" t="s">
        <v>17</v>
      </c>
      <c r="J951" t="s">
        <v>18</v>
      </c>
      <c r="K951">
        <v>0</v>
      </c>
    </row>
    <row r="952" spans="1:11" x14ac:dyDescent="0.25">
      <c r="A952" t="s">
        <v>990</v>
      </c>
      <c r="B952" s="1">
        <v>45111</v>
      </c>
      <c r="C952" t="s">
        <v>31</v>
      </c>
      <c r="D952" t="s">
        <v>13</v>
      </c>
      <c r="E952">
        <v>1000</v>
      </c>
      <c r="F952" t="s">
        <v>32</v>
      </c>
      <c r="G952" t="s">
        <v>15</v>
      </c>
      <c r="H952" t="s">
        <v>16</v>
      </c>
      <c r="I952" t="s">
        <v>17</v>
      </c>
      <c r="J952" t="s">
        <v>66</v>
      </c>
      <c r="K952">
        <v>0</v>
      </c>
    </row>
    <row r="953" spans="1:11" x14ac:dyDescent="0.25">
      <c r="A953" t="s">
        <v>991</v>
      </c>
      <c r="B953" s="1">
        <v>44996</v>
      </c>
      <c r="C953" t="s">
        <v>12</v>
      </c>
      <c r="D953" t="s">
        <v>27</v>
      </c>
      <c r="E953">
        <v>16200</v>
      </c>
      <c r="F953" t="s">
        <v>14</v>
      </c>
      <c r="G953" t="s">
        <v>24</v>
      </c>
      <c r="H953" t="s">
        <v>16</v>
      </c>
      <c r="I953" t="s">
        <v>17</v>
      </c>
      <c r="J953" t="s">
        <v>22</v>
      </c>
      <c r="K953">
        <v>0.1</v>
      </c>
    </row>
    <row r="954" spans="1:11" x14ac:dyDescent="0.25">
      <c r="A954" t="s">
        <v>992</v>
      </c>
      <c r="B954" s="1">
        <v>45470</v>
      </c>
      <c r="C954" t="s">
        <v>12</v>
      </c>
      <c r="D954" t="s">
        <v>27</v>
      </c>
      <c r="E954">
        <v>16200</v>
      </c>
      <c r="F954" t="s">
        <v>49</v>
      </c>
      <c r="G954" t="s">
        <v>24</v>
      </c>
      <c r="H954" t="s">
        <v>16</v>
      </c>
      <c r="I954" t="s">
        <v>17</v>
      </c>
      <c r="J954" t="s">
        <v>35</v>
      </c>
      <c r="K954">
        <v>0.1</v>
      </c>
    </row>
    <row r="955" spans="1:11" x14ac:dyDescent="0.25">
      <c r="A955" t="s">
        <v>993</v>
      </c>
      <c r="B955" s="1">
        <v>45082</v>
      </c>
      <c r="C955" t="s">
        <v>12</v>
      </c>
      <c r="D955" t="s">
        <v>27</v>
      </c>
      <c r="E955">
        <v>16200</v>
      </c>
      <c r="F955" t="s">
        <v>21</v>
      </c>
      <c r="G955" t="s">
        <v>28</v>
      </c>
      <c r="H955" t="s">
        <v>33</v>
      </c>
      <c r="I955" t="s">
        <v>34</v>
      </c>
      <c r="J955" t="s">
        <v>18</v>
      </c>
      <c r="K955">
        <v>0.1</v>
      </c>
    </row>
    <row r="956" spans="1:11" x14ac:dyDescent="0.25">
      <c r="A956" t="s">
        <v>994</v>
      </c>
      <c r="B956" s="1">
        <v>45109</v>
      </c>
      <c r="C956" t="s">
        <v>31</v>
      </c>
      <c r="D956" t="s">
        <v>13</v>
      </c>
      <c r="E956">
        <v>1000</v>
      </c>
      <c r="F956" t="s">
        <v>21</v>
      </c>
      <c r="G956" t="s">
        <v>28</v>
      </c>
      <c r="H956" t="s">
        <v>16</v>
      </c>
      <c r="I956" t="s">
        <v>17</v>
      </c>
      <c r="J956" t="s">
        <v>18</v>
      </c>
      <c r="K956">
        <v>0</v>
      </c>
    </row>
    <row r="957" spans="1:11" x14ac:dyDescent="0.25">
      <c r="A957" t="s">
        <v>995</v>
      </c>
      <c r="B957" s="1">
        <v>45424</v>
      </c>
      <c r="C957" t="s">
        <v>31</v>
      </c>
      <c r="D957" t="s">
        <v>13</v>
      </c>
      <c r="E957">
        <v>1000</v>
      </c>
      <c r="F957" t="s">
        <v>21</v>
      </c>
      <c r="G957" t="s">
        <v>15</v>
      </c>
      <c r="H957" t="s">
        <v>33</v>
      </c>
      <c r="I957" t="s">
        <v>34</v>
      </c>
      <c r="J957" t="s">
        <v>25</v>
      </c>
      <c r="K957">
        <v>0</v>
      </c>
    </row>
    <row r="958" spans="1:11" x14ac:dyDescent="0.25">
      <c r="A958" t="s">
        <v>996</v>
      </c>
      <c r="B958" s="1">
        <v>45529</v>
      </c>
      <c r="C958" t="s">
        <v>12</v>
      </c>
      <c r="D958" t="s">
        <v>13</v>
      </c>
      <c r="E958">
        <v>1500</v>
      </c>
      <c r="F958" t="s">
        <v>21</v>
      </c>
      <c r="G958" t="s">
        <v>28</v>
      </c>
      <c r="H958" t="s">
        <v>33</v>
      </c>
      <c r="I958" t="s">
        <v>34</v>
      </c>
      <c r="J958" t="s">
        <v>25</v>
      </c>
      <c r="K958">
        <v>0</v>
      </c>
    </row>
    <row r="959" spans="1:11" x14ac:dyDescent="0.25">
      <c r="A959" t="s">
        <v>997</v>
      </c>
      <c r="B959" s="1">
        <v>45348</v>
      </c>
      <c r="C959" t="s">
        <v>12</v>
      </c>
      <c r="D959" t="s">
        <v>13</v>
      </c>
      <c r="E959">
        <v>1500</v>
      </c>
      <c r="F959" t="s">
        <v>49</v>
      </c>
      <c r="G959" t="s">
        <v>24</v>
      </c>
      <c r="H959" t="s">
        <v>33</v>
      </c>
      <c r="I959" t="s">
        <v>34</v>
      </c>
      <c r="J959" t="s">
        <v>18</v>
      </c>
      <c r="K959">
        <v>0</v>
      </c>
    </row>
    <row r="960" spans="1:11" x14ac:dyDescent="0.25">
      <c r="A960" t="s">
        <v>998</v>
      </c>
      <c r="B960" s="1">
        <v>45651</v>
      </c>
      <c r="C960" t="s">
        <v>31</v>
      </c>
      <c r="D960" t="s">
        <v>27</v>
      </c>
      <c r="E960">
        <v>10800</v>
      </c>
      <c r="F960" t="s">
        <v>21</v>
      </c>
      <c r="G960" t="s">
        <v>24</v>
      </c>
      <c r="H960" t="s">
        <v>16</v>
      </c>
      <c r="I960" t="s">
        <v>17</v>
      </c>
      <c r="J960" t="s">
        <v>29</v>
      </c>
      <c r="K960">
        <v>0.1</v>
      </c>
    </row>
    <row r="961" spans="1:11" x14ac:dyDescent="0.25">
      <c r="A961" t="s">
        <v>999</v>
      </c>
      <c r="B961" s="1">
        <v>45062</v>
      </c>
      <c r="C961" t="s">
        <v>20</v>
      </c>
      <c r="D961" t="s">
        <v>13</v>
      </c>
      <c r="E961">
        <v>500</v>
      </c>
      <c r="F961" t="s">
        <v>14</v>
      </c>
      <c r="G961" t="s">
        <v>15</v>
      </c>
      <c r="H961" t="s">
        <v>33</v>
      </c>
      <c r="I961" t="s">
        <v>34</v>
      </c>
      <c r="J961" t="s">
        <v>37</v>
      </c>
      <c r="K961">
        <v>0</v>
      </c>
    </row>
    <row r="962" spans="1:11" x14ac:dyDescent="0.25">
      <c r="A962" t="s">
        <v>1000</v>
      </c>
      <c r="B962" s="1">
        <v>45330</v>
      </c>
      <c r="C962" t="s">
        <v>31</v>
      </c>
      <c r="D962" t="s">
        <v>13</v>
      </c>
      <c r="E962">
        <v>1000</v>
      </c>
      <c r="F962" t="s">
        <v>32</v>
      </c>
      <c r="G962" t="s">
        <v>28</v>
      </c>
      <c r="H962" t="s">
        <v>16</v>
      </c>
      <c r="I962" t="s">
        <v>17</v>
      </c>
      <c r="J962" t="s">
        <v>44</v>
      </c>
      <c r="K962">
        <v>0</v>
      </c>
    </row>
    <row r="963" spans="1:11" x14ac:dyDescent="0.25">
      <c r="A963" t="s">
        <v>1001</v>
      </c>
      <c r="B963" s="1">
        <v>45254</v>
      </c>
      <c r="C963" t="s">
        <v>20</v>
      </c>
      <c r="D963" t="s">
        <v>27</v>
      </c>
      <c r="E963">
        <v>5400</v>
      </c>
      <c r="F963" t="s">
        <v>14</v>
      </c>
      <c r="G963" t="s">
        <v>24</v>
      </c>
      <c r="H963" t="s">
        <v>33</v>
      </c>
      <c r="I963" t="s">
        <v>34</v>
      </c>
      <c r="J963" t="s">
        <v>18</v>
      </c>
      <c r="K963">
        <v>0.1</v>
      </c>
    </row>
    <row r="964" spans="1:11" x14ac:dyDescent="0.25">
      <c r="A964" t="s">
        <v>1002</v>
      </c>
      <c r="B964" s="1">
        <v>45374</v>
      </c>
      <c r="C964" t="s">
        <v>12</v>
      </c>
      <c r="D964" t="s">
        <v>13</v>
      </c>
      <c r="E964">
        <v>1500</v>
      </c>
      <c r="F964" t="s">
        <v>49</v>
      </c>
      <c r="G964" t="s">
        <v>24</v>
      </c>
      <c r="H964" t="s">
        <v>16</v>
      </c>
      <c r="I964" t="s">
        <v>17</v>
      </c>
      <c r="J964" t="s">
        <v>25</v>
      </c>
      <c r="K964">
        <v>0</v>
      </c>
    </row>
    <row r="965" spans="1:11" x14ac:dyDescent="0.25">
      <c r="A965" t="s">
        <v>1003</v>
      </c>
      <c r="B965" s="1">
        <v>45606</v>
      </c>
      <c r="C965" t="s">
        <v>31</v>
      </c>
      <c r="D965" t="s">
        <v>27</v>
      </c>
      <c r="E965">
        <v>10800</v>
      </c>
      <c r="F965" t="s">
        <v>32</v>
      </c>
      <c r="G965" t="s">
        <v>15</v>
      </c>
      <c r="H965" t="s">
        <v>16</v>
      </c>
      <c r="I965" t="s">
        <v>17</v>
      </c>
      <c r="J965" t="s">
        <v>25</v>
      </c>
      <c r="K965">
        <v>0.1</v>
      </c>
    </row>
    <row r="966" spans="1:11" x14ac:dyDescent="0.25">
      <c r="A966" t="s">
        <v>1004</v>
      </c>
      <c r="B966" s="1">
        <v>45094</v>
      </c>
      <c r="C966" t="s">
        <v>20</v>
      </c>
      <c r="D966" t="s">
        <v>27</v>
      </c>
      <c r="E966">
        <v>5400</v>
      </c>
      <c r="F966" t="s">
        <v>21</v>
      </c>
      <c r="G966" t="s">
        <v>15</v>
      </c>
      <c r="H966" t="s">
        <v>33</v>
      </c>
      <c r="I966" t="s">
        <v>34</v>
      </c>
      <c r="J966" t="s">
        <v>29</v>
      </c>
      <c r="K966">
        <v>0.1</v>
      </c>
    </row>
    <row r="967" spans="1:11" x14ac:dyDescent="0.25">
      <c r="A967" t="s">
        <v>1005</v>
      </c>
      <c r="B967" s="1">
        <v>45066</v>
      </c>
      <c r="C967" t="s">
        <v>12</v>
      </c>
      <c r="D967" t="s">
        <v>27</v>
      </c>
      <c r="E967">
        <v>16200</v>
      </c>
      <c r="F967" t="s">
        <v>14</v>
      </c>
      <c r="G967" t="s">
        <v>24</v>
      </c>
      <c r="H967" t="s">
        <v>33</v>
      </c>
      <c r="I967" t="s">
        <v>34</v>
      </c>
      <c r="J967" t="s">
        <v>22</v>
      </c>
      <c r="K967">
        <v>0.1</v>
      </c>
    </row>
    <row r="968" spans="1:11" x14ac:dyDescent="0.25">
      <c r="A968" t="s">
        <v>1006</v>
      </c>
      <c r="B968" s="1">
        <v>45533</v>
      </c>
      <c r="C968" t="s">
        <v>12</v>
      </c>
      <c r="D968" t="s">
        <v>13</v>
      </c>
      <c r="E968">
        <v>1500</v>
      </c>
      <c r="F968" t="s">
        <v>32</v>
      </c>
      <c r="G968" t="s">
        <v>28</v>
      </c>
      <c r="H968" t="s">
        <v>33</v>
      </c>
      <c r="I968" t="s">
        <v>34</v>
      </c>
      <c r="J968" t="s">
        <v>66</v>
      </c>
      <c r="K968">
        <v>0</v>
      </c>
    </row>
    <row r="969" spans="1:11" x14ac:dyDescent="0.25">
      <c r="A969" t="s">
        <v>1007</v>
      </c>
      <c r="B969" s="1">
        <v>45370</v>
      </c>
      <c r="C969" t="s">
        <v>31</v>
      </c>
      <c r="D969" t="s">
        <v>27</v>
      </c>
      <c r="E969">
        <v>10800</v>
      </c>
      <c r="F969" t="s">
        <v>49</v>
      </c>
      <c r="G969" t="s">
        <v>24</v>
      </c>
      <c r="H969" t="s">
        <v>33</v>
      </c>
      <c r="I969" t="s">
        <v>34</v>
      </c>
      <c r="J969" t="s">
        <v>25</v>
      </c>
      <c r="K969">
        <v>0.1</v>
      </c>
    </row>
    <row r="970" spans="1:11" x14ac:dyDescent="0.25">
      <c r="A970" t="s">
        <v>1008</v>
      </c>
      <c r="B970" s="1">
        <v>45511</v>
      </c>
      <c r="C970" t="s">
        <v>31</v>
      </c>
      <c r="D970" t="s">
        <v>27</v>
      </c>
      <c r="E970">
        <v>10800</v>
      </c>
      <c r="F970" t="s">
        <v>49</v>
      </c>
      <c r="G970" t="s">
        <v>15</v>
      </c>
      <c r="H970" t="s">
        <v>33</v>
      </c>
      <c r="I970" t="s">
        <v>34</v>
      </c>
      <c r="J970" t="s">
        <v>18</v>
      </c>
      <c r="K970">
        <v>0.1</v>
      </c>
    </row>
    <row r="971" spans="1:11" x14ac:dyDescent="0.25">
      <c r="A971" t="s">
        <v>1009</v>
      </c>
      <c r="B971" s="1">
        <v>45464</v>
      </c>
      <c r="C971" t="s">
        <v>12</v>
      </c>
      <c r="D971" t="s">
        <v>27</v>
      </c>
      <c r="E971">
        <v>16200</v>
      </c>
      <c r="F971" t="s">
        <v>32</v>
      </c>
      <c r="G971" t="s">
        <v>28</v>
      </c>
      <c r="H971" t="s">
        <v>33</v>
      </c>
      <c r="I971" t="s">
        <v>34</v>
      </c>
      <c r="J971" t="s">
        <v>35</v>
      </c>
      <c r="K971">
        <v>0.1</v>
      </c>
    </row>
    <row r="972" spans="1:11" x14ac:dyDescent="0.25">
      <c r="A972" t="s">
        <v>1010</v>
      </c>
      <c r="B972" s="1">
        <v>44928</v>
      </c>
      <c r="C972" t="s">
        <v>20</v>
      </c>
      <c r="D972" t="s">
        <v>27</v>
      </c>
      <c r="E972">
        <v>5400</v>
      </c>
      <c r="F972" t="s">
        <v>14</v>
      </c>
      <c r="G972" t="s">
        <v>28</v>
      </c>
      <c r="H972" t="s">
        <v>16</v>
      </c>
      <c r="I972" t="s">
        <v>17</v>
      </c>
      <c r="J972" t="s">
        <v>41</v>
      </c>
      <c r="K972">
        <v>0.1</v>
      </c>
    </row>
    <row r="973" spans="1:11" x14ac:dyDescent="0.25">
      <c r="A973" t="s">
        <v>1011</v>
      </c>
      <c r="B973" s="1">
        <v>45472</v>
      </c>
      <c r="C973" t="s">
        <v>20</v>
      </c>
      <c r="D973" t="s">
        <v>27</v>
      </c>
      <c r="E973">
        <v>5400</v>
      </c>
      <c r="F973" t="s">
        <v>21</v>
      </c>
      <c r="G973" t="s">
        <v>15</v>
      </c>
      <c r="H973" t="s">
        <v>33</v>
      </c>
      <c r="I973" t="s">
        <v>34</v>
      </c>
      <c r="J973" t="s">
        <v>18</v>
      </c>
      <c r="K973">
        <v>0.1</v>
      </c>
    </row>
    <row r="974" spans="1:11" x14ac:dyDescent="0.25">
      <c r="A974" t="s">
        <v>1012</v>
      </c>
      <c r="B974" s="1">
        <v>45547</v>
      </c>
      <c r="C974" t="s">
        <v>31</v>
      </c>
      <c r="D974" t="s">
        <v>13</v>
      </c>
      <c r="E974">
        <v>1000</v>
      </c>
      <c r="F974" t="s">
        <v>49</v>
      </c>
      <c r="G974" t="s">
        <v>28</v>
      </c>
      <c r="H974" t="s">
        <v>33</v>
      </c>
      <c r="I974" t="s">
        <v>34</v>
      </c>
      <c r="J974" t="s">
        <v>35</v>
      </c>
      <c r="K974">
        <v>0</v>
      </c>
    </row>
    <row r="975" spans="1:11" x14ac:dyDescent="0.25">
      <c r="A975" t="s">
        <v>1013</v>
      </c>
      <c r="B975" s="1">
        <v>45568</v>
      </c>
      <c r="C975" t="s">
        <v>12</v>
      </c>
      <c r="D975" t="s">
        <v>13</v>
      </c>
      <c r="E975">
        <v>1500</v>
      </c>
      <c r="F975" t="s">
        <v>21</v>
      </c>
      <c r="G975" t="s">
        <v>28</v>
      </c>
      <c r="H975" t="s">
        <v>33</v>
      </c>
      <c r="I975" t="s">
        <v>34</v>
      </c>
      <c r="J975" t="s">
        <v>22</v>
      </c>
      <c r="K975">
        <v>0</v>
      </c>
    </row>
    <row r="976" spans="1:11" x14ac:dyDescent="0.25">
      <c r="A976" t="s">
        <v>1014</v>
      </c>
      <c r="B976" s="1">
        <v>45266</v>
      </c>
      <c r="C976" t="s">
        <v>31</v>
      </c>
      <c r="D976" t="s">
        <v>13</v>
      </c>
      <c r="E976">
        <v>1000</v>
      </c>
      <c r="F976" t="s">
        <v>14</v>
      </c>
      <c r="G976" t="s">
        <v>24</v>
      </c>
      <c r="H976" t="s">
        <v>33</v>
      </c>
      <c r="I976" t="s">
        <v>34</v>
      </c>
      <c r="J976" t="s">
        <v>18</v>
      </c>
      <c r="K976">
        <v>0</v>
      </c>
    </row>
    <row r="977" spans="1:11" x14ac:dyDescent="0.25">
      <c r="A977" t="s">
        <v>1015</v>
      </c>
      <c r="B977" s="1">
        <v>45052</v>
      </c>
      <c r="C977" t="s">
        <v>20</v>
      </c>
      <c r="D977" t="s">
        <v>13</v>
      </c>
      <c r="E977">
        <v>500</v>
      </c>
      <c r="F977" t="s">
        <v>21</v>
      </c>
      <c r="G977" t="s">
        <v>28</v>
      </c>
      <c r="H977" t="s">
        <v>16</v>
      </c>
      <c r="I977" t="s">
        <v>17</v>
      </c>
      <c r="J977" t="s">
        <v>29</v>
      </c>
      <c r="K977">
        <v>0</v>
      </c>
    </row>
    <row r="978" spans="1:11" x14ac:dyDescent="0.25">
      <c r="A978" t="s">
        <v>1016</v>
      </c>
      <c r="B978" s="1">
        <v>44985</v>
      </c>
      <c r="C978" t="s">
        <v>31</v>
      </c>
      <c r="D978" t="s">
        <v>13</v>
      </c>
      <c r="E978">
        <v>1000</v>
      </c>
      <c r="F978" t="s">
        <v>21</v>
      </c>
      <c r="G978" t="s">
        <v>28</v>
      </c>
      <c r="H978" t="s">
        <v>33</v>
      </c>
      <c r="I978" t="s">
        <v>34</v>
      </c>
      <c r="J978" t="s">
        <v>29</v>
      </c>
      <c r="K978">
        <v>0</v>
      </c>
    </row>
    <row r="979" spans="1:11" x14ac:dyDescent="0.25">
      <c r="A979" t="s">
        <v>1017</v>
      </c>
      <c r="B979" s="1">
        <v>45252</v>
      </c>
      <c r="C979" t="s">
        <v>31</v>
      </c>
      <c r="D979" t="s">
        <v>13</v>
      </c>
      <c r="E979">
        <v>1000</v>
      </c>
      <c r="F979" t="s">
        <v>32</v>
      </c>
      <c r="G979" t="s">
        <v>24</v>
      </c>
      <c r="H979" t="s">
        <v>16</v>
      </c>
      <c r="I979" t="s">
        <v>17</v>
      </c>
      <c r="J979" t="s">
        <v>44</v>
      </c>
      <c r="K979">
        <v>0</v>
      </c>
    </row>
    <row r="980" spans="1:11" x14ac:dyDescent="0.25">
      <c r="A980" t="s">
        <v>1018</v>
      </c>
      <c r="B980" s="1">
        <v>45358</v>
      </c>
      <c r="C980" t="s">
        <v>20</v>
      </c>
      <c r="D980" t="s">
        <v>13</v>
      </c>
      <c r="E980">
        <v>500</v>
      </c>
      <c r="F980" t="s">
        <v>14</v>
      </c>
      <c r="G980" t="s">
        <v>24</v>
      </c>
      <c r="H980" t="s">
        <v>33</v>
      </c>
      <c r="I980" t="s">
        <v>34</v>
      </c>
      <c r="J980" t="s">
        <v>22</v>
      </c>
      <c r="K980">
        <v>0</v>
      </c>
    </row>
    <row r="981" spans="1:11" x14ac:dyDescent="0.25">
      <c r="A981" t="s">
        <v>1019</v>
      </c>
      <c r="B981" s="1">
        <v>45269</v>
      </c>
      <c r="C981" t="s">
        <v>31</v>
      </c>
      <c r="D981" t="s">
        <v>13</v>
      </c>
      <c r="E981">
        <v>1000</v>
      </c>
      <c r="F981" t="s">
        <v>14</v>
      </c>
      <c r="G981" t="s">
        <v>15</v>
      </c>
      <c r="H981" t="s">
        <v>16</v>
      </c>
      <c r="I981" t="s">
        <v>17</v>
      </c>
      <c r="J981" t="s">
        <v>37</v>
      </c>
      <c r="K981">
        <v>0</v>
      </c>
    </row>
    <row r="982" spans="1:11" x14ac:dyDescent="0.25">
      <c r="A982" t="s">
        <v>1020</v>
      </c>
      <c r="B982" s="1">
        <v>45357</v>
      </c>
      <c r="C982" t="s">
        <v>31</v>
      </c>
      <c r="D982" t="s">
        <v>27</v>
      </c>
      <c r="E982">
        <v>10800</v>
      </c>
      <c r="F982" t="s">
        <v>32</v>
      </c>
      <c r="G982" t="s">
        <v>15</v>
      </c>
      <c r="H982" t="s">
        <v>33</v>
      </c>
      <c r="I982" t="s">
        <v>34</v>
      </c>
      <c r="J982" t="s">
        <v>35</v>
      </c>
      <c r="K982">
        <v>0.1</v>
      </c>
    </row>
    <row r="983" spans="1:11" x14ac:dyDescent="0.25">
      <c r="A983" t="s">
        <v>1021</v>
      </c>
      <c r="B983" s="1">
        <v>45245</v>
      </c>
      <c r="C983" t="s">
        <v>31</v>
      </c>
      <c r="D983" t="s">
        <v>27</v>
      </c>
      <c r="E983">
        <v>10800</v>
      </c>
      <c r="F983" t="s">
        <v>32</v>
      </c>
      <c r="G983" t="s">
        <v>24</v>
      </c>
      <c r="H983" t="s">
        <v>16</v>
      </c>
      <c r="I983" t="s">
        <v>17</v>
      </c>
      <c r="J983" t="s">
        <v>25</v>
      </c>
      <c r="K983">
        <v>0.1</v>
      </c>
    </row>
    <row r="984" spans="1:11" x14ac:dyDescent="0.25">
      <c r="A984" t="s">
        <v>1022</v>
      </c>
      <c r="B984" s="1">
        <v>45221</v>
      </c>
      <c r="C984" t="s">
        <v>12</v>
      </c>
      <c r="D984" t="s">
        <v>27</v>
      </c>
      <c r="E984">
        <v>16200</v>
      </c>
      <c r="F984" t="s">
        <v>32</v>
      </c>
      <c r="G984" t="s">
        <v>15</v>
      </c>
      <c r="H984" t="s">
        <v>33</v>
      </c>
      <c r="I984" t="s">
        <v>34</v>
      </c>
      <c r="J984" t="s">
        <v>44</v>
      </c>
      <c r="K984">
        <v>0.1</v>
      </c>
    </row>
    <row r="985" spans="1:11" x14ac:dyDescent="0.25">
      <c r="A985" t="s">
        <v>1023</v>
      </c>
      <c r="B985" s="1">
        <v>45110</v>
      </c>
      <c r="C985" t="s">
        <v>20</v>
      </c>
      <c r="D985" t="s">
        <v>13</v>
      </c>
      <c r="E985">
        <v>500</v>
      </c>
      <c r="F985" t="s">
        <v>21</v>
      </c>
      <c r="G985" t="s">
        <v>24</v>
      </c>
      <c r="H985" t="s">
        <v>33</v>
      </c>
      <c r="I985" t="s">
        <v>34</v>
      </c>
      <c r="J985" t="s">
        <v>29</v>
      </c>
      <c r="K985">
        <v>0</v>
      </c>
    </row>
    <row r="986" spans="1:11" x14ac:dyDescent="0.25">
      <c r="A986" t="s">
        <v>1024</v>
      </c>
      <c r="B986" s="1">
        <v>45266</v>
      </c>
      <c r="C986" t="s">
        <v>31</v>
      </c>
      <c r="D986" t="s">
        <v>27</v>
      </c>
      <c r="E986">
        <v>10800</v>
      </c>
      <c r="F986" t="s">
        <v>21</v>
      </c>
      <c r="G986" t="s">
        <v>28</v>
      </c>
      <c r="H986" t="s">
        <v>33</v>
      </c>
      <c r="I986" t="s">
        <v>34</v>
      </c>
      <c r="J986" t="s">
        <v>29</v>
      </c>
      <c r="K986">
        <v>0.1</v>
      </c>
    </row>
    <row r="987" spans="1:11" x14ac:dyDescent="0.25">
      <c r="A987" t="s">
        <v>1025</v>
      </c>
      <c r="B987" s="1">
        <v>45008</v>
      </c>
      <c r="C987" t="s">
        <v>31</v>
      </c>
      <c r="D987" t="s">
        <v>13</v>
      </c>
      <c r="E987">
        <v>1000</v>
      </c>
      <c r="F987" t="s">
        <v>21</v>
      </c>
      <c r="G987" t="s">
        <v>15</v>
      </c>
      <c r="H987" t="s">
        <v>16</v>
      </c>
      <c r="I987" t="s">
        <v>17</v>
      </c>
      <c r="J987" t="s">
        <v>25</v>
      </c>
      <c r="K987">
        <v>0</v>
      </c>
    </row>
    <row r="988" spans="1:11" x14ac:dyDescent="0.25">
      <c r="A988" t="s">
        <v>1026</v>
      </c>
      <c r="B988" s="1">
        <v>45414</v>
      </c>
      <c r="C988" t="s">
        <v>12</v>
      </c>
      <c r="D988" t="s">
        <v>13</v>
      </c>
      <c r="E988">
        <v>1500</v>
      </c>
      <c r="F988" t="s">
        <v>21</v>
      </c>
      <c r="G988" t="s">
        <v>28</v>
      </c>
      <c r="H988" t="s">
        <v>16</v>
      </c>
      <c r="I988" t="s">
        <v>17</v>
      </c>
      <c r="J988" t="s">
        <v>22</v>
      </c>
      <c r="K988">
        <v>0</v>
      </c>
    </row>
    <row r="989" spans="1:11" x14ac:dyDescent="0.25">
      <c r="A989" t="s">
        <v>1027</v>
      </c>
      <c r="B989" s="1">
        <v>45614</v>
      </c>
      <c r="C989" t="s">
        <v>31</v>
      </c>
      <c r="D989" t="s">
        <v>13</v>
      </c>
      <c r="E989">
        <v>1000</v>
      </c>
      <c r="F989" t="s">
        <v>14</v>
      </c>
      <c r="G989" t="s">
        <v>28</v>
      </c>
      <c r="H989" t="s">
        <v>16</v>
      </c>
      <c r="I989" t="s">
        <v>17</v>
      </c>
      <c r="J989" t="s">
        <v>22</v>
      </c>
      <c r="K989">
        <v>0</v>
      </c>
    </row>
    <row r="990" spans="1:11" x14ac:dyDescent="0.25">
      <c r="A990" t="s">
        <v>1028</v>
      </c>
      <c r="B990" s="1">
        <v>44997</v>
      </c>
      <c r="C990" t="s">
        <v>12</v>
      </c>
      <c r="D990" t="s">
        <v>27</v>
      </c>
      <c r="E990">
        <v>16200</v>
      </c>
      <c r="F990" t="s">
        <v>21</v>
      </c>
      <c r="G990" t="s">
        <v>24</v>
      </c>
      <c r="H990" t="s">
        <v>16</v>
      </c>
      <c r="I990" t="s">
        <v>17</v>
      </c>
      <c r="J990" t="s">
        <v>29</v>
      </c>
      <c r="K990">
        <v>0.1</v>
      </c>
    </row>
    <row r="991" spans="1:11" x14ac:dyDescent="0.25">
      <c r="A991" t="s">
        <v>1029</v>
      </c>
      <c r="B991" s="1">
        <v>45076</v>
      </c>
      <c r="C991" t="s">
        <v>12</v>
      </c>
      <c r="D991" t="s">
        <v>13</v>
      </c>
      <c r="E991">
        <v>1500</v>
      </c>
      <c r="F991" t="s">
        <v>32</v>
      </c>
      <c r="G991" t="s">
        <v>15</v>
      </c>
      <c r="H991" t="s">
        <v>33</v>
      </c>
      <c r="I991" t="s">
        <v>34</v>
      </c>
      <c r="J991" t="s">
        <v>66</v>
      </c>
      <c r="K991">
        <v>0</v>
      </c>
    </row>
    <row r="992" spans="1:11" x14ac:dyDescent="0.25">
      <c r="A992" t="s">
        <v>1030</v>
      </c>
      <c r="B992" s="1">
        <v>45133</v>
      </c>
      <c r="C992" t="s">
        <v>12</v>
      </c>
      <c r="D992" t="s">
        <v>27</v>
      </c>
      <c r="E992">
        <v>16200</v>
      </c>
      <c r="F992" t="s">
        <v>14</v>
      </c>
      <c r="G992" t="s">
        <v>24</v>
      </c>
      <c r="H992" t="s">
        <v>16</v>
      </c>
      <c r="I992" t="s">
        <v>17</v>
      </c>
      <c r="J992" t="s">
        <v>22</v>
      </c>
      <c r="K992">
        <v>0.1</v>
      </c>
    </row>
    <row r="993" spans="1:11" x14ac:dyDescent="0.25">
      <c r="A993" t="s">
        <v>1031</v>
      </c>
      <c r="B993" s="1">
        <v>44954</v>
      </c>
      <c r="C993" t="s">
        <v>20</v>
      </c>
      <c r="D993" t="s">
        <v>27</v>
      </c>
      <c r="E993">
        <v>5400</v>
      </c>
      <c r="F993" t="s">
        <v>14</v>
      </c>
      <c r="G993" t="s">
        <v>28</v>
      </c>
      <c r="H993" t="s">
        <v>16</v>
      </c>
      <c r="I993" t="s">
        <v>17</v>
      </c>
      <c r="J993" t="s">
        <v>55</v>
      </c>
      <c r="K993">
        <v>0.1</v>
      </c>
    </row>
    <row r="994" spans="1:11" x14ac:dyDescent="0.25">
      <c r="A994" t="s">
        <v>1032</v>
      </c>
      <c r="B994" s="1">
        <v>45527</v>
      </c>
      <c r="C994" t="s">
        <v>20</v>
      </c>
      <c r="D994" t="s">
        <v>13</v>
      </c>
      <c r="E994">
        <v>500</v>
      </c>
      <c r="F994" t="s">
        <v>14</v>
      </c>
      <c r="G994" t="s">
        <v>15</v>
      </c>
      <c r="H994" t="s">
        <v>33</v>
      </c>
      <c r="I994" t="s">
        <v>34</v>
      </c>
      <c r="J994" t="s">
        <v>55</v>
      </c>
      <c r="K994">
        <v>0</v>
      </c>
    </row>
    <row r="995" spans="1:11" x14ac:dyDescent="0.25">
      <c r="A995" t="s">
        <v>1033</v>
      </c>
      <c r="B995" s="1">
        <v>45088</v>
      </c>
      <c r="C995" t="s">
        <v>12</v>
      </c>
      <c r="D995" t="s">
        <v>27</v>
      </c>
      <c r="E995">
        <v>16200</v>
      </c>
      <c r="F995" t="s">
        <v>49</v>
      </c>
      <c r="G995" t="s">
        <v>24</v>
      </c>
      <c r="H995" t="s">
        <v>16</v>
      </c>
      <c r="I995" t="s">
        <v>17</v>
      </c>
      <c r="J995" t="s">
        <v>25</v>
      </c>
      <c r="K995">
        <v>0.1</v>
      </c>
    </row>
    <row r="996" spans="1:11" x14ac:dyDescent="0.25">
      <c r="A996" t="s">
        <v>1034</v>
      </c>
      <c r="B996" s="1">
        <v>45051</v>
      </c>
      <c r="C996" t="s">
        <v>12</v>
      </c>
      <c r="D996" t="s">
        <v>27</v>
      </c>
      <c r="E996">
        <v>16200</v>
      </c>
      <c r="F996" t="s">
        <v>32</v>
      </c>
      <c r="G996" t="s">
        <v>15</v>
      </c>
      <c r="H996" t="s">
        <v>16</v>
      </c>
      <c r="I996" t="s">
        <v>17</v>
      </c>
      <c r="J996" t="s">
        <v>44</v>
      </c>
      <c r="K996">
        <v>0.1</v>
      </c>
    </row>
    <row r="997" spans="1:11" x14ac:dyDescent="0.25">
      <c r="A997" t="s">
        <v>1035</v>
      </c>
      <c r="B997" s="1">
        <v>45178</v>
      </c>
      <c r="C997" t="s">
        <v>12</v>
      </c>
      <c r="D997" t="s">
        <v>13</v>
      </c>
      <c r="E997">
        <v>1500</v>
      </c>
      <c r="F997" t="s">
        <v>21</v>
      </c>
      <c r="G997" t="s">
        <v>28</v>
      </c>
      <c r="H997" t="s">
        <v>16</v>
      </c>
      <c r="I997" t="s">
        <v>17</v>
      </c>
      <c r="J997" t="s">
        <v>29</v>
      </c>
      <c r="K997">
        <v>0</v>
      </c>
    </row>
    <row r="998" spans="1:11" x14ac:dyDescent="0.25">
      <c r="A998" t="s">
        <v>1036</v>
      </c>
      <c r="B998" s="1">
        <v>45001</v>
      </c>
      <c r="C998" t="s">
        <v>20</v>
      </c>
      <c r="D998" t="s">
        <v>13</v>
      </c>
      <c r="E998">
        <v>500</v>
      </c>
      <c r="F998" t="s">
        <v>49</v>
      </c>
      <c r="G998" t="s">
        <v>24</v>
      </c>
      <c r="H998" t="s">
        <v>16</v>
      </c>
      <c r="I998" t="s">
        <v>17</v>
      </c>
      <c r="J998" t="s">
        <v>22</v>
      </c>
      <c r="K998">
        <v>0</v>
      </c>
    </row>
    <row r="999" spans="1:11" x14ac:dyDescent="0.25">
      <c r="A999" t="s">
        <v>1037</v>
      </c>
      <c r="B999" s="1">
        <v>45604</v>
      </c>
      <c r="C999" t="s">
        <v>31</v>
      </c>
      <c r="D999" t="s">
        <v>27</v>
      </c>
      <c r="E999">
        <v>10800</v>
      </c>
      <c r="F999" t="s">
        <v>32</v>
      </c>
      <c r="G999" t="s">
        <v>15</v>
      </c>
      <c r="H999" t="s">
        <v>16</v>
      </c>
      <c r="I999" t="s">
        <v>17</v>
      </c>
      <c r="J999" t="s">
        <v>44</v>
      </c>
      <c r="K999">
        <v>0.1</v>
      </c>
    </row>
    <row r="1000" spans="1:11" x14ac:dyDescent="0.25">
      <c r="A1000" t="s">
        <v>1038</v>
      </c>
      <c r="B1000" s="1">
        <v>45020</v>
      </c>
      <c r="C1000" t="s">
        <v>31</v>
      </c>
      <c r="D1000" t="s">
        <v>13</v>
      </c>
      <c r="E1000">
        <v>1000</v>
      </c>
      <c r="F1000" t="s">
        <v>21</v>
      </c>
      <c r="G1000" t="s">
        <v>15</v>
      </c>
      <c r="H1000" t="s">
        <v>16</v>
      </c>
      <c r="I1000" t="s">
        <v>17</v>
      </c>
      <c r="J1000" t="s">
        <v>18</v>
      </c>
      <c r="K1000">
        <v>0</v>
      </c>
    </row>
    <row r="1001" spans="1:11" x14ac:dyDescent="0.25">
      <c r="A1001" t="s">
        <v>1039</v>
      </c>
      <c r="B1001" s="1">
        <v>45403</v>
      </c>
      <c r="C1001" t="s">
        <v>12</v>
      </c>
      <c r="D1001" t="s">
        <v>13</v>
      </c>
      <c r="E1001">
        <v>1500</v>
      </c>
      <c r="F1001" t="s">
        <v>14</v>
      </c>
      <c r="G1001" t="s">
        <v>24</v>
      </c>
      <c r="H1001" t="s">
        <v>33</v>
      </c>
      <c r="I1001" t="s">
        <v>34</v>
      </c>
      <c r="J1001" t="s">
        <v>41</v>
      </c>
      <c r="K1001">
        <v>0</v>
      </c>
    </row>
    <row r="1002" spans="1:11" x14ac:dyDescent="0.25">
      <c r="A1002" t="s">
        <v>1040</v>
      </c>
      <c r="B1002" s="1">
        <v>45276</v>
      </c>
      <c r="C1002" t="s">
        <v>20</v>
      </c>
      <c r="D1002" t="s">
        <v>27</v>
      </c>
      <c r="E1002">
        <v>5400</v>
      </c>
      <c r="F1002" t="s">
        <v>14</v>
      </c>
      <c r="G1002" t="s">
        <v>15</v>
      </c>
      <c r="H1002" t="s">
        <v>33</v>
      </c>
      <c r="I1002" t="s">
        <v>34</v>
      </c>
      <c r="J1002" t="s">
        <v>41</v>
      </c>
      <c r="K1002">
        <v>0.1</v>
      </c>
    </row>
    <row r="1003" spans="1:11" x14ac:dyDescent="0.25">
      <c r="A1003" t="s">
        <v>1041</v>
      </c>
      <c r="B1003" s="1">
        <v>45142</v>
      </c>
      <c r="C1003" t="s">
        <v>31</v>
      </c>
      <c r="D1003" t="s">
        <v>27</v>
      </c>
      <c r="E1003">
        <v>10800</v>
      </c>
      <c r="F1003" t="s">
        <v>49</v>
      </c>
      <c r="G1003" t="s">
        <v>15</v>
      </c>
      <c r="H1003" t="s">
        <v>16</v>
      </c>
      <c r="I1003" t="s">
        <v>17</v>
      </c>
      <c r="J1003" t="s">
        <v>22</v>
      </c>
      <c r="K1003">
        <v>0.1</v>
      </c>
    </row>
    <row r="1004" spans="1:11" x14ac:dyDescent="0.25">
      <c r="A1004" t="s">
        <v>1042</v>
      </c>
      <c r="B1004" s="1">
        <v>45236</v>
      </c>
      <c r="C1004" t="s">
        <v>12</v>
      </c>
      <c r="D1004" t="s">
        <v>13</v>
      </c>
      <c r="E1004">
        <v>1500</v>
      </c>
      <c r="F1004" t="s">
        <v>21</v>
      </c>
      <c r="G1004" t="s">
        <v>24</v>
      </c>
      <c r="H1004" t="s">
        <v>33</v>
      </c>
      <c r="I1004" t="s">
        <v>34</v>
      </c>
      <c r="J1004" t="s">
        <v>25</v>
      </c>
      <c r="K1004">
        <v>0</v>
      </c>
    </row>
    <row r="1005" spans="1:11" x14ac:dyDescent="0.25">
      <c r="A1005" t="s">
        <v>1043</v>
      </c>
      <c r="B1005" s="1">
        <v>45108</v>
      </c>
      <c r="C1005" t="s">
        <v>31</v>
      </c>
      <c r="D1005" t="s">
        <v>13</v>
      </c>
      <c r="E1005">
        <v>1000</v>
      </c>
      <c r="F1005" t="s">
        <v>49</v>
      </c>
      <c r="G1005" t="s">
        <v>24</v>
      </c>
      <c r="H1005" t="s">
        <v>33</v>
      </c>
      <c r="I1005" t="s">
        <v>34</v>
      </c>
      <c r="J1005" t="s">
        <v>50</v>
      </c>
      <c r="K1005">
        <v>0</v>
      </c>
    </row>
    <row r="1006" spans="1:11" x14ac:dyDescent="0.25">
      <c r="A1006" t="s">
        <v>1044</v>
      </c>
      <c r="B1006" s="1">
        <v>45655</v>
      </c>
      <c r="C1006" t="s">
        <v>12</v>
      </c>
      <c r="D1006" t="s">
        <v>27</v>
      </c>
      <c r="E1006">
        <v>16200</v>
      </c>
      <c r="F1006" t="s">
        <v>21</v>
      </c>
      <c r="G1006" t="s">
        <v>28</v>
      </c>
      <c r="H1006" t="s">
        <v>33</v>
      </c>
      <c r="I1006" t="s">
        <v>34</v>
      </c>
      <c r="J1006" t="s">
        <v>29</v>
      </c>
      <c r="K1006">
        <v>0.1</v>
      </c>
    </row>
    <row r="1007" spans="1:11" x14ac:dyDescent="0.25">
      <c r="A1007" t="s">
        <v>1045</v>
      </c>
      <c r="B1007" s="1">
        <v>45097</v>
      </c>
      <c r="C1007" t="s">
        <v>20</v>
      </c>
      <c r="D1007" t="s">
        <v>13</v>
      </c>
      <c r="E1007">
        <v>500</v>
      </c>
      <c r="F1007" t="s">
        <v>14</v>
      </c>
      <c r="G1007" t="s">
        <v>15</v>
      </c>
      <c r="H1007" t="s">
        <v>16</v>
      </c>
      <c r="I1007" t="s">
        <v>17</v>
      </c>
      <c r="J1007" t="s">
        <v>18</v>
      </c>
      <c r="K1007">
        <v>0</v>
      </c>
    </row>
    <row r="1008" spans="1:11" x14ac:dyDescent="0.25">
      <c r="A1008" t="s">
        <v>1046</v>
      </c>
      <c r="B1008" s="1">
        <v>45163</v>
      </c>
      <c r="C1008" t="s">
        <v>12</v>
      </c>
      <c r="D1008" t="s">
        <v>27</v>
      </c>
      <c r="E1008">
        <v>16200</v>
      </c>
      <c r="F1008" t="s">
        <v>49</v>
      </c>
      <c r="G1008" t="s">
        <v>28</v>
      </c>
      <c r="H1008" t="s">
        <v>33</v>
      </c>
      <c r="I1008" t="s">
        <v>34</v>
      </c>
      <c r="J1008" t="s">
        <v>18</v>
      </c>
      <c r="K1008">
        <v>0.1</v>
      </c>
    </row>
    <row r="1009" spans="1:11" x14ac:dyDescent="0.25">
      <c r="A1009" t="s">
        <v>1047</v>
      </c>
      <c r="B1009" s="1">
        <v>45250</v>
      </c>
      <c r="C1009" t="s">
        <v>12</v>
      </c>
      <c r="D1009" t="s">
        <v>13</v>
      </c>
      <c r="E1009">
        <v>1500</v>
      </c>
      <c r="F1009" t="s">
        <v>32</v>
      </c>
      <c r="G1009" t="s">
        <v>28</v>
      </c>
      <c r="H1009" t="s">
        <v>16</v>
      </c>
      <c r="I1009" t="s">
        <v>17</v>
      </c>
      <c r="J1009" t="s">
        <v>25</v>
      </c>
      <c r="K1009">
        <v>0</v>
      </c>
    </row>
    <row r="1010" spans="1:11" x14ac:dyDescent="0.25">
      <c r="A1010" t="s">
        <v>1048</v>
      </c>
      <c r="B1010" s="1">
        <v>45645</v>
      </c>
      <c r="C1010" t="s">
        <v>20</v>
      </c>
      <c r="D1010" t="s">
        <v>27</v>
      </c>
      <c r="E1010">
        <v>5400</v>
      </c>
      <c r="F1010" t="s">
        <v>49</v>
      </c>
      <c r="G1010" t="s">
        <v>24</v>
      </c>
      <c r="H1010" t="s">
        <v>33</v>
      </c>
      <c r="I1010" t="s">
        <v>34</v>
      </c>
      <c r="J1010" t="s">
        <v>22</v>
      </c>
      <c r="K1010">
        <v>0.1</v>
      </c>
    </row>
    <row r="1011" spans="1:11" x14ac:dyDescent="0.25">
      <c r="A1011" t="s">
        <v>1049</v>
      </c>
      <c r="B1011" s="1">
        <v>45609</v>
      </c>
      <c r="C1011" t="s">
        <v>20</v>
      </c>
      <c r="D1011" t="s">
        <v>27</v>
      </c>
      <c r="E1011">
        <v>5400</v>
      </c>
      <c r="F1011" t="s">
        <v>49</v>
      </c>
      <c r="G1011" t="s">
        <v>15</v>
      </c>
      <c r="H1011" t="s">
        <v>33</v>
      </c>
      <c r="I1011" t="s">
        <v>34</v>
      </c>
      <c r="J1011" t="s">
        <v>35</v>
      </c>
      <c r="K1011">
        <v>0.1</v>
      </c>
    </row>
    <row r="1012" spans="1:11" x14ac:dyDescent="0.25">
      <c r="A1012" t="s">
        <v>1050</v>
      </c>
      <c r="B1012" s="1">
        <v>44989</v>
      </c>
      <c r="C1012" t="s">
        <v>12</v>
      </c>
      <c r="D1012" t="s">
        <v>13</v>
      </c>
      <c r="E1012">
        <v>1500</v>
      </c>
      <c r="F1012" t="s">
        <v>21</v>
      </c>
      <c r="G1012" t="s">
        <v>28</v>
      </c>
      <c r="H1012" t="s">
        <v>16</v>
      </c>
      <c r="I1012" t="s">
        <v>17</v>
      </c>
      <c r="J1012" t="s">
        <v>29</v>
      </c>
      <c r="K1012">
        <v>0</v>
      </c>
    </row>
    <row r="1013" spans="1:11" x14ac:dyDescent="0.25">
      <c r="A1013" t="s">
        <v>1051</v>
      </c>
      <c r="B1013" s="1">
        <v>45238</v>
      </c>
      <c r="C1013" t="s">
        <v>20</v>
      </c>
      <c r="D1013" t="s">
        <v>27</v>
      </c>
      <c r="E1013">
        <v>5400</v>
      </c>
      <c r="F1013" t="s">
        <v>32</v>
      </c>
      <c r="G1013" t="s">
        <v>24</v>
      </c>
      <c r="H1013" t="s">
        <v>16</v>
      </c>
      <c r="I1013" t="s">
        <v>17</v>
      </c>
      <c r="J1013" t="s">
        <v>25</v>
      </c>
      <c r="K1013">
        <v>0.1</v>
      </c>
    </row>
    <row r="1014" spans="1:11" x14ac:dyDescent="0.25">
      <c r="A1014" t="s">
        <v>1052</v>
      </c>
      <c r="B1014" s="1">
        <v>45254</v>
      </c>
      <c r="C1014" t="s">
        <v>20</v>
      </c>
      <c r="D1014" t="s">
        <v>13</v>
      </c>
      <c r="E1014">
        <v>500</v>
      </c>
      <c r="F1014" t="s">
        <v>14</v>
      </c>
      <c r="G1014" t="s">
        <v>15</v>
      </c>
      <c r="H1014" t="s">
        <v>33</v>
      </c>
      <c r="I1014" t="s">
        <v>34</v>
      </c>
      <c r="J1014" t="s">
        <v>37</v>
      </c>
      <c r="K1014">
        <v>0</v>
      </c>
    </row>
    <row r="1015" spans="1:11" x14ac:dyDescent="0.25">
      <c r="A1015" t="s">
        <v>1053</v>
      </c>
      <c r="B1015" s="1">
        <v>45178</v>
      </c>
      <c r="C1015" t="s">
        <v>31</v>
      </c>
      <c r="D1015" t="s">
        <v>13</v>
      </c>
      <c r="E1015">
        <v>1000</v>
      </c>
      <c r="F1015" t="s">
        <v>49</v>
      </c>
      <c r="G1015" t="s">
        <v>28</v>
      </c>
      <c r="H1015" t="s">
        <v>16</v>
      </c>
      <c r="I1015" t="s">
        <v>17</v>
      </c>
      <c r="J1015" t="s">
        <v>50</v>
      </c>
      <c r="K1015">
        <v>0</v>
      </c>
    </row>
    <row r="1016" spans="1:11" x14ac:dyDescent="0.25">
      <c r="A1016" t="s">
        <v>1054</v>
      </c>
      <c r="B1016" s="1">
        <v>45568</v>
      </c>
      <c r="C1016" t="s">
        <v>31</v>
      </c>
      <c r="D1016" t="s">
        <v>27</v>
      </c>
      <c r="E1016">
        <v>10800</v>
      </c>
      <c r="F1016" t="s">
        <v>49</v>
      </c>
      <c r="G1016" t="s">
        <v>15</v>
      </c>
      <c r="H1016" t="s">
        <v>33</v>
      </c>
      <c r="I1016" t="s">
        <v>34</v>
      </c>
      <c r="J1016" t="s">
        <v>35</v>
      </c>
      <c r="K1016">
        <v>0.1</v>
      </c>
    </row>
    <row r="1017" spans="1:11" x14ac:dyDescent="0.25">
      <c r="A1017" t="s">
        <v>1055</v>
      </c>
      <c r="B1017" s="1">
        <v>45464</v>
      </c>
      <c r="C1017" t="s">
        <v>12</v>
      </c>
      <c r="D1017" t="s">
        <v>27</v>
      </c>
      <c r="E1017">
        <v>16200</v>
      </c>
      <c r="F1017" t="s">
        <v>32</v>
      </c>
      <c r="G1017" t="s">
        <v>24</v>
      </c>
      <c r="H1017" t="s">
        <v>16</v>
      </c>
      <c r="I1017" t="s">
        <v>17</v>
      </c>
      <c r="J1017" t="s">
        <v>35</v>
      </c>
      <c r="K1017">
        <v>0.1</v>
      </c>
    </row>
    <row r="1018" spans="1:11" x14ac:dyDescent="0.25">
      <c r="A1018" t="s">
        <v>1056</v>
      </c>
      <c r="B1018" s="1">
        <v>45168</v>
      </c>
      <c r="C1018" t="s">
        <v>20</v>
      </c>
      <c r="D1018" t="s">
        <v>27</v>
      </c>
      <c r="E1018">
        <v>5400</v>
      </c>
      <c r="F1018" t="s">
        <v>49</v>
      </c>
      <c r="G1018" t="s">
        <v>24</v>
      </c>
      <c r="H1018" t="s">
        <v>16</v>
      </c>
      <c r="I1018" t="s">
        <v>17</v>
      </c>
      <c r="J1018" t="s">
        <v>25</v>
      </c>
      <c r="K1018">
        <v>0.1</v>
      </c>
    </row>
    <row r="1019" spans="1:11" x14ac:dyDescent="0.25">
      <c r="A1019" t="s">
        <v>1057</v>
      </c>
      <c r="B1019" s="1">
        <v>45211</v>
      </c>
      <c r="C1019" t="s">
        <v>20</v>
      </c>
      <c r="D1019" t="s">
        <v>13</v>
      </c>
      <c r="E1019">
        <v>500</v>
      </c>
      <c r="F1019" t="s">
        <v>32</v>
      </c>
      <c r="G1019" t="s">
        <v>28</v>
      </c>
      <c r="H1019" t="s">
        <v>16</v>
      </c>
      <c r="I1019" t="s">
        <v>17</v>
      </c>
      <c r="J1019" t="s">
        <v>39</v>
      </c>
      <c r="K1019">
        <v>0</v>
      </c>
    </row>
    <row r="1020" spans="1:11" x14ac:dyDescent="0.25">
      <c r="A1020" t="s">
        <v>1058</v>
      </c>
      <c r="B1020" s="1">
        <v>45225</v>
      </c>
      <c r="C1020" t="s">
        <v>12</v>
      </c>
      <c r="D1020" t="s">
        <v>27</v>
      </c>
      <c r="E1020">
        <v>16200</v>
      </c>
      <c r="F1020" t="s">
        <v>49</v>
      </c>
      <c r="G1020" t="s">
        <v>15</v>
      </c>
      <c r="H1020" t="s">
        <v>16</v>
      </c>
      <c r="I1020" t="s">
        <v>17</v>
      </c>
      <c r="J1020" t="s">
        <v>50</v>
      </c>
      <c r="K1020">
        <v>0.1</v>
      </c>
    </row>
    <row r="1021" spans="1:11" x14ac:dyDescent="0.25">
      <c r="A1021" t="s">
        <v>1059</v>
      </c>
      <c r="B1021" s="1">
        <v>45008</v>
      </c>
      <c r="C1021" t="s">
        <v>12</v>
      </c>
      <c r="D1021" t="s">
        <v>27</v>
      </c>
      <c r="E1021">
        <v>16200</v>
      </c>
      <c r="F1021" t="s">
        <v>14</v>
      </c>
      <c r="G1021" t="s">
        <v>15</v>
      </c>
      <c r="H1021" t="s">
        <v>33</v>
      </c>
      <c r="I1021" t="s">
        <v>34</v>
      </c>
      <c r="J1021" t="s">
        <v>37</v>
      </c>
      <c r="K1021">
        <v>0.1</v>
      </c>
    </row>
    <row r="1022" spans="1:11" x14ac:dyDescent="0.25">
      <c r="A1022" t="s">
        <v>1060</v>
      </c>
      <c r="B1022" s="1">
        <v>45046</v>
      </c>
      <c r="C1022" t="s">
        <v>20</v>
      </c>
      <c r="D1022" t="s">
        <v>13</v>
      </c>
      <c r="E1022">
        <v>500</v>
      </c>
      <c r="F1022" t="s">
        <v>32</v>
      </c>
      <c r="G1022" t="s">
        <v>28</v>
      </c>
      <c r="H1022" t="s">
        <v>33</v>
      </c>
      <c r="I1022" t="s">
        <v>34</v>
      </c>
      <c r="J1022" t="s">
        <v>35</v>
      </c>
      <c r="K1022">
        <v>0</v>
      </c>
    </row>
    <row r="1023" spans="1:11" x14ac:dyDescent="0.25">
      <c r="A1023" t="s">
        <v>1061</v>
      </c>
      <c r="B1023" s="1">
        <v>44931</v>
      </c>
      <c r="C1023" t="s">
        <v>12</v>
      </c>
      <c r="D1023" t="s">
        <v>13</v>
      </c>
      <c r="E1023">
        <v>1500</v>
      </c>
      <c r="F1023" t="s">
        <v>49</v>
      </c>
      <c r="G1023" t="s">
        <v>28</v>
      </c>
      <c r="H1023" t="s">
        <v>16</v>
      </c>
      <c r="I1023" t="s">
        <v>17</v>
      </c>
      <c r="J1023" t="s">
        <v>35</v>
      </c>
      <c r="K1023">
        <v>0</v>
      </c>
    </row>
    <row r="1024" spans="1:11" x14ac:dyDescent="0.25">
      <c r="A1024" t="s">
        <v>1062</v>
      </c>
      <c r="B1024" s="1">
        <v>45491</v>
      </c>
      <c r="C1024" t="s">
        <v>20</v>
      </c>
      <c r="D1024" t="s">
        <v>27</v>
      </c>
      <c r="E1024">
        <v>5400</v>
      </c>
      <c r="F1024" t="s">
        <v>32</v>
      </c>
      <c r="G1024" t="s">
        <v>24</v>
      </c>
      <c r="H1024" t="s">
        <v>16</v>
      </c>
      <c r="I1024" t="s">
        <v>17</v>
      </c>
      <c r="J1024" t="s">
        <v>25</v>
      </c>
      <c r="K1024">
        <v>0.1</v>
      </c>
    </row>
    <row r="1025" spans="1:11" x14ac:dyDescent="0.25">
      <c r="A1025" t="s">
        <v>1063</v>
      </c>
      <c r="B1025" s="1">
        <v>45123</v>
      </c>
      <c r="C1025" t="s">
        <v>31</v>
      </c>
      <c r="D1025" t="s">
        <v>13</v>
      </c>
      <c r="E1025">
        <v>1000</v>
      </c>
      <c r="F1025" t="s">
        <v>32</v>
      </c>
      <c r="G1025" t="s">
        <v>24</v>
      </c>
      <c r="H1025" t="s">
        <v>16</v>
      </c>
      <c r="I1025" t="s">
        <v>17</v>
      </c>
      <c r="J1025" t="s">
        <v>25</v>
      </c>
      <c r="K1025">
        <v>0</v>
      </c>
    </row>
    <row r="1026" spans="1:11" x14ac:dyDescent="0.25">
      <c r="A1026" t="s">
        <v>1064</v>
      </c>
      <c r="B1026" s="1">
        <v>45119</v>
      </c>
      <c r="C1026" t="s">
        <v>12</v>
      </c>
      <c r="D1026" t="s">
        <v>27</v>
      </c>
      <c r="E1026">
        <v>16200</v>
      </c>
      <c r="F1026" t="s">
        <v>49</v>
      </c>
      <c r="G1026" t="s">
        <v>24</v>
      </c>
      <c r="H1026" t="s">
        <v>16</v>
      </c>
      <c r="I1026" t="s">
        <v>17</v>
      </c>
      <c r="J1026" t="s">
        <v>58</v>
      </c>
      <c r="K1026">
        <v>0.1</v>
      </c>
    </row>
    <row r="1027" spans="1:11" x14ac:dyDescent="0.25">
      <c r="A1027" t="s">
        <v>1065</v>
      </c>
      <c r="B1027" s="1">
        <v>45452</v>
      </c>
      <c r="C1027" t="s">
        <v>20</v>
      </c>
      <c r="D1027" t="s">
        <v>27</v>
      </c>
      <c r="E1027">
        <v>5400</v>
      </c>
      <c r="F1027" t="s">
        <v>49</v>
      </c>
      <c r="G1027" t="s">
        <v>28</v>
      </c>
      <c r="H1027" t="s">
        <v>16</v>
      </c>
      <c r="I1027" t="s">
        <v>17</v>
      </c>
      <c r="J1027" t="s">
        <v>22</v>
      </c>
      <c r="K1027">
        <v>0.1</v>
      </c>
    </row>
    <row r="1028" spans="1:11" x14ac:dyDescent="0.25">
      <c r="A1028" t="s">
        <v>1066</v>
      </c>
      <c r="B1028" s="1">
        <v>45049</v>
      </c>
      <c r="C1028" t="s">
        <v>20</v>
      </c>
      <c r="D1028" t="s">
        <v>13</v>
      </c>
      <c r="E1028">
        <v>500</v>
      </c>
      <c r="F1028" t="s">
        <v>49</v>
      </c>
      <c r="G1028" t="s">
        <v>24</v>
      </c>
      <c r="H1028" t="s">
        <v>16</v>
      </c>
      <c r="I1028" t="s">
        <v>17</v>
      </c>
      <c r="J1028" t="s">
        <v>22</v>
      </c>
      <c r="K1028">
        <v>0</v>
      </c>
    </row>
    <row r="1029" spans="1:11" x14ac:dyDescent="0.25">
      <c r="A1029" t="s">
        <v>1067</v>
      </c>
      <c r="B1029" s="1">
        <v>45349</v>
      </c>
      <c r="C1029" t="s">
        <v>12</v>
      </c>
      <c r="D1029" t="s">
        <v>27</v>
      </c>
      <c r="E1029">
        <v>16200</v>
      </c>
      <c r="F1029" t="s">
        <v>32</v>
      </c>
      <c r="G1029" t="s">
        <v>28</v>
      </c>
      <c r="H1029" t="s">
        <v>16</v>
      </c>
      <c r="I1029" t="s">
        <v>17</v>
      </c>
      <c r="J1029" t="s">
        <v>44</v>
      </c>
      <c r="K1029">
        <v>0.1</v>
      </c>
    </row>
    <row r="1030" spans="1:11" x14ac:dyDescent="0.25">
      <c r="A1030" t="s">
        <v>1068</v>
      </c>
      <c r="B1030" s="1">
        <v>45302</v>
      </c>
      <c r="C1030" t="s">
        <v>12</v>
      </c>
      <c r="D1030" t="s">
        <v>27</v>
      </c>
      <c r="E1030">
        <v>16200</v>
      </c>
      <c r="F1030" t="s">
        <v>49</v>
      </c>
      <c r="G1030" t="s">
        <v>28</v>
      </c>
      <c r="H1030" t="s">
        <v>33</v>
      </c>
      <c r="I1030" t="s">
        <v>34</v>
      </c>
      <c r="J1030" t="s">
        <v>35</v>
      </c>
      <c r="K1030">
        <v>0.1</v>
      </c>
    </row>
    <row r="1031" spans="1:11" x14ac:dyDescent="0.25">
      <c r="A1031" t="s">
        <v>1069</v>
      </c>
      <c r="B1031" s="1">
        <v>45117</v>
      </c>
      <c r="C1031" t="s">
        <v>12</v>
      </c>
      <c r="D1031" t="s">
        <v>13</v>
      </c>
      <c r="E1031">
        <v>1500</v>
      </c>
      <c r="F1031" t="s">
        <v>21</v>
      </c>
      <c r="G1031" t="s">
        <v>24</v>
      </c>
      <c r="H1031" t="s">
        <v>16</v>
      </c>
      <c r="I1031" t="s">
        <v>17</v>
      </c>
      <c r="J1031" t="s">
        <v>22</v>
      </c>
      <c r="K1031">
        <v>0</v>
      </c>
    </row>
    <row r="1032" spans="1:11" x14ac:dyDescent="0.25">
      <c r="A1032" t="s">
        <v>1070</v>
      </c>
      <c r="B1032" s="1">
        <v>45164</v>
      </c>
      <c r="C1032" t="s">
        <v>20</v>
      </c>
      <c r="D1032" t="s">
        <v>13</v>
      </c>
      <c r="E1032">
        <v>500</v>
      </c>
      <c r="F1032" t="s">
        <v>32</v>
      </c>
      <c r="G1032" t="s">
        <v>28</v>
      </c>
      <c r="H1032" t="s">
        <v>16</v>
      </c>
      <c r="I1032" t="s">
        <v>17</v>
      </c>
      <c r="J1032" t="s">
        <v>25</v>
      </c>
      <c r="K1032">
        <v>0</v>
      </c>
    </row>
    <row r="1033" spans="1:11" x14ac:dyDescent="0.25">
      <c r="A1033" t="s">
        <v>1071</v>
      </c>
      <c r="B1033" s="1">
        <v>45040</v>
      </c>
      <c r="C1033" t="s">
        <v>31</v>
      </c>
      <c r="D1033" t="s">
        <v>13</v>
      </c>
      <c r="E1033">
        <v>1000</v>
      </c>
      <c r="F1033" t="s">
        <v>49</v>
      </c>
      <c r="G1033" t="s">
        <v>28</v>
      </c>
      <c r="H1033" t="s">
        <v>33</v>
      </c>
      <c r="I1033" t="s">
        <v>34</v>
      </c>
      <c r="J1033" t="s">
        <v>35</v>
      </c>
      <c r="K1033">
        <v>0</v>
      </c>
    </row>
    <row r="1034" spans="1:11" x14ac:dyDescent="0.25">
      <c r="A1034" t="s">
        <v>1072</v>
      </c>
      <c r="B1034" s="1">
        <v>45190</v>
      </c>
      <c r="C1034" t="s">
        <v>12</v>
      </c>
      <c r="D1034" t="s">
        <v>27</v>
      </c>
      <c r="E1034">
        <v>16200</v>
      </c>
      <c r="F1034" t="s">
        <v>14</v>
      </c>
      <c r="G1034" t="s">
        <v>15</v>
      </c>
      <c r="H1034" t="s">
        <v>33</v>
      </c>
      <c r="I1034" t="s">
        <v>34</v>
      </c>
      <c r="J1034" t="s">
        <v>55</v>
      </c>
      <c r="K1034">
        <v>0.1</v>
      </c>
    </row>
    <row r="1035" spans="1:11" x14ac:dyDescent="0.25">
      <c r="A1035" t="s">
        <v>1073</v>
      </c>
      <c r="B1035" s="1">
        <v>45561</v>
      </c>
      <c r="C1035" t="s">
        <v>20</v>
      </c>
      <c r="D1035" t="s">
        <v>27</v>
      </c>
      <c r="E1035">
        <v>5400</v>
      </c>
      <c r="F1035" t="s">
        <v>14</v>
      </c>
      <c r="G1035" t="s">
        <v>15</v>
      </c>
      <c r="H1035" t="s">
        <v>33</v>
      </c>
      <c r="I1035" t="s">
        <v>34</v>
      </c>
      <c r="J1035" t="s">
        <v>22</v>
      </c>
      <c r="K1035">
        <v>0.1</v>
      </c>
    </row>
    <row r="1036" spans="1:11" x14ac:dyDescent="0.25">
      <c r="A1036" t="s">
        <v>1074</v>
      </c>
      <c r="B1036" s="1">
        <v>44961</v>
      </c>
      <c r="C1036" t="s">
        <v>20</v>
      </c>
      <c r="D1036" t="s">
        <v>27</v>
      </c>
      <c r="E1036">
        <v>5400</v>
      </c>
      <c r="F1036" t="s">
        <v>21</v>
      </c>
      <c r="G1036" t="s">
        <v>24</v>
      </c>
      <c r="H1036" t="s">
        <v>33</v>
      </c>
      <c r="I1036" t="s">
        <v>34</v>
      </c>
      <c r="J1036" t="s">
        <v>18</v>
      </c>
      <c r="K1036">
        <v>0.1</v>
      </c>
    </row>
    <row r="1037" spans="1:11" x14ac:dyDescent="0.25">
      <c r="A1037" t="s">
        <v>1075</v>
      </c>
      <c r="B1037" s="1">
        <v>45201</v>
      </c>
      <c r="C1037" t="s">
        <v>12</v>
      </c>
      <c r="D1037" t="s">
        <v>27</v>
      </c>
      <c r="E1037">
        <v>16200</v>
      </c>
      <c r="F1037" t="s">
        <v>14</v>
      </c>
      <c r="G1037" t="s">
        <v>24</v>
      </c>
      <c r="H1037" t="s">
        <v>33</v>
      </c>
      <c r="I1037" t="s">
        <v>34</v>
      </c>
      <c r="J1037" t="s">
        <v>55</v>
      </c>
      <c r="K1037">
        <v>0.1</v>
      </c>
    </row>
    <row r="1038" spans="1:11" x14ac:dyDescent="0.25">
      <c r="A1038" t="s">
        <v>1076</v>
      </c>
      <c r="B1038" s="1">
        <v>45217</v>
      </c>
      <c r="C1038" t="s">
        <v>31</v>
      </c>
      <c r="D1038" t="s">
        <v>27</v>
      </c>
      <c r="E1038">
        <v>10800</v>
      </c>
      <c r="F1038" t="s">
        <v>49</v>
      </c>
      <c r="G1038" t="s">
        <v>28</v>
      </c>
      <c r="H1038" t="s">
        <v>16</v>
      </c>
      <c r="I1038" t="s">
        <v>17</v>
      </c>
      <c r="J1038" t="s">
        <v>22</v>
      </c>
      <c r="K1038">
        <v>0.1</v>
      </c>
    </row>
    <row r="1039" spans="1:11" x14ac:dyDescent="0.25">
      <c r="A1039" t="s">
        <v>1077</v>
      </c>
      <c r="B1039" s="1">
        <v>45153</v>
      </c>
      <c r="C1039" t="s">
        <v>31</v>
      </c>
      <c r="D1039" t="s">
        <v>27</v>
      </c>
      <c r="E1039">
        <v>10800</v>
      </c>
      <c r="F1039" t="s">
        <v>14</v>
      </c>
      <c r="G1039" t="s">
        <v>15</v>
      </c>
      <c r="H1039" t="s">
        <v>33</v>
      </c>
      <c r="I1039" t="s">
        <v>34</v>
      </c>
      <c r="J1039" t="s">
        <v>41</v>
      </c>
      <c r="K1039">
        <v>0.1</v>
      </c>
    </row>
    <row r="1040" spans="1:11" x14ac:dyDescent="0.25">
      <c r="A1040" t="s">
        <v>1078</v>
      </c>
      <c r="B1040" s="1">
        <v>45408</v>
      </c>
      <c r="C1040" t="s">
        <v>20</v>
      </c>
      <c r="D1040" t="s">
        <v>27</v>
      </c>
      <c r="E1040">
        <v>5400</v>
      </c>
      <c r="F1040" t="s">
        <v>21</v>
      </c>
      <c r="G1040" t="s">
        <v>15</v>
      </c>
      <c r="H1040" t="s">
        <v>16</v>
      </c>
      <c r="I1040" t="s">
        <v>17</v>
      </c>
      <c r="J1040" t="s">
        <v>25</v>
      </c>
      <c r="K1040">
        <v>0.1</v>
      </c>
    </row>
    <row r="1041" spans="1:11" x14ac:dyDescent="0.25">
      <c r="A1041" t="s">
        <v>1079</v>
      </c>
      <c r="B1041" s="1">
        <v>44991</v>
      </c>
      <c r="C1041" t="s">
        <v>31</v>
      </c>
      <c r="D1041" t="s">
        <v>13</v>
      </c>
      <c r="E1041">
        <v>1000</v>
      </c>
      <c r="F1041" t="s">
        <v>32</v>
      </c>
      <c r="G1041" t="s">
        <v>15</v>
      </c>
      <c r="H1041" t="s">
        <v>33</v>
      </c>
      <c r="I1041" t="s">
        <v>34</v>
      </c>
      <c r="J1041" t="s">
        <v>66</v>
      </c>
      <c r="K1041">
        <v>0</v>
      </c>
    </row>
    <row r="1042" spans="1:11" x14ac:dyDescent="0.25">
      <c r="A1042" t="s">
        <v>1080</v>
      </c>
      <c r="B1042" s="1">
        <v>45044</v>
      </c>
      <c r="C1042" t="s">
        <v>20</v>
      </c>
      <c r="D1042" t="s">
        <v>13</v>
      </c>
      <c r="E1042">
        <v>500</v>
      </c>
      <c r="F1042" t="s">
        <v>14</v>
      </c>
      <c r="G1042" t="s">
        <v>15</v>
      </c>
      <c r="H1042" t="s">
        <v>33</v>
      </c>
      <c r="I1042" t="s">
        <v>34</v>
      </c>
      <c r="J1042" t="s">
        <v>41</v>
      </c>
      <c r="K1042">
        <v>0</v>
      </c>
    </row>
    <row r="1043" spans="1:11" x14ac:dyDescent="0.25">
      <c r="A1043" t="s">
        <v>1081</v>
      </c>
      <c r="B1043" s="1">
        <v>45513</v>
      </c>
      <c r="C1043" t="s">
        <v>12</v>
      </c>
      <c r="D1043" t="s">
        <v>27</v>
      </c>
      <c r="E1043">
        <v>16200</v>
      </c>
      <c r="F1043" t="s">
        <v>14</v>
      </c>
      <c r="G1043" t="s">
        <v>24</v>
      </c>
      <c r="H1043" t="s">
        <v>33</v>
      </c>
      <c r="I1043" t="s">
        <v>34</v>
      </c>
      <c r="J1043" t="s">
        <v>18</v>
      </c>
      <c r="K1043">
        <v>0.1</v>
      </c>
    </row>
    <row r="1044" spans="1:11" x14ac:dyDescent="0.25">
      <c r="A1044" t="s">
        <v>1082</v>
      </c>
      <c r="B1044" s="1">
        <v>45651</v>
      </c>
      <c r="C1044" t="s">
        <v>12</v>
      </c>
      <c r="D1044" t="s">
        <v>27</v>
      </c>
      <c r="E1044">
        <v>16200</v>
      </c>
      <c r="F1044" t="s">
        <v>49</v>
      </c>
      <c r="G1044" t="s">
        <v>15</v>
      </c>
      <c r="H1044" t="s">
        <v>33</v>
      </c>
      <c r="I1044" t="s">
        <v>34</v>
      </c>
      <c r="J1044" t="s">
        <v>25</v>
      </c>
      <c r="K1044">
        <v>0.1</v>
      </c>
    </row>
    <row r="1045" spans="1:11" x14ac:dyDescent="0.25">
      <c r="A1045" t="s">
        <v>1083</v>
      </c>
      <c r="B1045" s="1">
        <v>45462</v>
      </c>
      <c r="C1045" t="s">
        <v>31</v>
      </c>
      <c r="D1045" t="s">
        <v>27</v>
      </c>
      <c r="E1045">
        <v>10800</v>
      </c>
      <c r="F1045" t="s">
        <v>49</v>
      </c>
      <c r="G1045" t="s">
        <v>15</v>
      </c>
      <c r="H1045" t="s">
        <v>33</v>
      </c>
      <c r="I1045" t="s">
        <v>34</v>
      </c>
      <c r="J1045" t="s">
        <v>58</v>
      </c>
      <c r="K1045">
        <v>0.1</v>
      </c>
    </row>
    <row r="1046" spans="1:11" x14ac:dyDescent="0.25">
      <c r="A1046" t="s">
        <v>1084</v>
      </c>
      <c r="B1046" s="1">
        <v>45625</v>
      </c>
      <c r="C1046" t="s">
        <v>31</v>
      </c>
      <c r="D1046" t="s">
        <v>27</v>
      </c>
      <c r="E1046">
        <v>10800</v>
      </c>
      <c r="F1046" t="s">
        <v>21</v>
      </c>
      <c r="G1046" t="s">
        <v>24</v>
      </c>
      <c r="H1046" t="s">
        <v>33</v>
      </c>
      <c r="I1046" t="s">
        <v>34</v>
      </c>
      <c r="J1046" t="s">
        <v>29</v>
      </c>
      <c r="K1046">
        <v>0.1</v>
      </c>
    </row>
    <row r="1047" spans="1:11" x14ac:dyDescent="0.25">
      <c r="A1047" t="s">
        <v>1085</v>
      </c>
      <c r="B1047" s="1">
        <v>45111</v>
      </c>
      <c r="C1047" t="s">
        <v>31</v>
      </c>
      <c r="D1047" t="s">
        <v>13</v>
      </c>
      <c r="E1047">
        <v>1000</v>
      </c>
      <c r="F1047" t="s">
        <v>49</v>
      </c>
      <c r="G1047" t="s">
        <v>15</v>
      </c>
      <c r="H1047" t="s">
        <v>16</v>
      </c>
      <c r="I1047" t="s">
        <v>17</v>
      </c>
      <c r="J1047" t="s">
        <v>18</v>
      </c>
      <c r="K1047">
        <v>0</v>
      </c>
    </row>
    <row r="1048" spans="1:11" x14ac:dyDescent="0.25">
      <c r="A1048" t="s">
        <v>1086</v>
      </c>
      <c r="B1048" s="1">
        <v>45248</v>
      </c>
      <c r="C1048" t="s">
        <v>12</v>
      </c>
      <c r="D1048" t="s">
        <v>13</v>
      </c>
      <c r="E1048">
        <v>1500</v>
      </c>
      <c r="F1048" t="s">
        <v>49</v>
      </c>
      <c r="G1048" t="s">
        <v>28</v>
      </c>
      <c r="H1048" t="s">
        <v>33</v>
      </c>
      <c r="I1048" t="s">
        <v>34</v>
      </c>
      <c r="J1048" t="s">
        <v>50</v>
      </c>
      <c r="K1048">
        <v>0</v>
      </c>
    </row>
    <row r="1049" spans="1:11" x14ac:dyDescent="0.25">
      <c r="A1049" t="s">
        <v>1087</v>
      </c>
      <c r="B1049" s="1">
        <v>45482</v>
      </c>
      <c r="C1049" t="s">
        <v>31</v>
      </c>
      <c r="D1049" t="s">
        <v>13</v>
      </c>
      <c r="E1049">
        <v>1000</v>
      </c>
      <c r="F1049" t="s">
        <v>32</v>
      </c>
      <c r="G1049" t="s">
        <v>24</v>
      </c>
      <c r="H1049" t="s">
        <v>33</v>
      </c>
      <c r="I1049" t="s">
        <v>34</v>
      </c>
      <c r="J1049" t="s">
        <v>35</v>
      </c>
      <c r="K1049">
        <v>0</v>
      </c>
    </row>
    <row r="1050" spans="1:11" x14ac:dyDescent="0.25">
      <c r="A1050" t="s">
        <v>1088</v>
      </c>
      <c r="B1050" s="1">
        <v>45390</v>
      </c>
      <c r="C1050" t="s">
        <v>31</v>
      </c>
      <c r="D1050" t="s">
        <v>27</v>
      </c>
      <c r="E1050">
        <v>10800</v>
      </c>
      <c r="F1050" t="s">
        <v>21</v>
      </c>
      <c r="G1050" t="s">
        <v>15</v>
      </c>
      <c r="H1050" t="s">
        <v>16</v>
      </c>
      <c r="I1050" t="s">
        <v>17</v>
      </c>
      <c r="J1050" t="s">
        <v>25</v>
      </c>
      <c r="K1050">
        <v>0.1</v>
      </c>
    </row>
    <row r="1051" spans="1:11" x14ac:dyDescent="0.25">
      <c r="A1051" t="s">
        <v>1089</v>
      </c>
      <c r="B1051" s="1">
        <v>45062</v>
      </c>
      <c r="C1051" t="s">
        <v>12</v>
      </c>
      <c r="D1051" t="s">
        <v>27</v>
      </c>
      <c r="E1051">
        <v>16200</v>
      </c>
      <c r="F1051" t="s">
        <v>32</v>
      </c>
      <c r="G1051" t="s">
        <v>24</v>
      </c>
      <c r="H1051" t="s">
        <v>33</v>
      </c>
      <c r="I1051" t="s">
        <v>34</v>
      </c>
      <c r="J1051" t="s">
        <v>25</v>
      </c>
      <c r="K1051">
        <v>0.1</v>
      </c>
    </row>
    <row r="1052" spans="1:11" x14ac:dyDescent="0.25">
      <c r="A1052" t="s">
        <v>1090</v>
      </c>
      <c r="B1052" s="1">
        <v>45488</v>
      </c>
      <c r="C1052" t="s">
        <v>20</v>
      </c>
      <c r="D1052" t="s">
        <v>27</v>
      </c>
      <c r="E1052">
        <v>5400</v>
      </c>
      <c r="F1052" t="s">
        <v>14</v>
      </c>
      <c r="G1052" t="s">
        <v>24</v>
      </c>
      <c r="H1052" t="s">
        <v>33</v>
      </c>
      <c r="I1052" t="s">
        <v>34</v>
      </c>
      <c r="J1052" t="s">
        <v>55</v>
      </c>
      <c r="K1052">
        <v>0.1</v>
      </c>
    </row>
    <row r="1053" spans="1:11" x14ac:dyDescent="0.25">
      <c r="A1053" t="s">
        <v>1091</v>
      </c>
      <c r="B1053" s="1">
        <v>45375</v>
      </c>
      <c r="C1053" t="s">
        <v>20</v>
      </c>
      <c r="D1053" t="s">
        <v>13</v>
      </c>
      <c r="E1053">
        <v>500</v>
      </c>
      <c r="F1053" t="s">
        <v>21</v>
      </c>
      <c r="G1053" t="s">
        <v>24</v>
      </c>
      <c r="H1053" t="s">
        <v>33</v>
      </c>
      <c r="I1053" t="s">
        <v>34</v>
      </c>
      <c r="J1053" t="s">
        <v>22</v>
      </c>
      <c r="K1053">
        <v>0</v>
      </c>
    </row>
    <row r="1054" spans="1:11" x14ac:dyDescent="0.25">
      <c r="A1054" t="s">
        <v>1092</v>
      </c>
      <c r="B1054" s="1">
        <v>45104</v>
      </c>
      <c r="C1054" t="s">
        <v>20</v>
      </c>
      <c r="D1054" t="s">
        <v>27</v>
      </c>
      <c r="E1054">
        <v>5400</v>
      </c>
      <c r="F1054" t="s">
        <v>32</v>
      </c>
      <c r="G1054" t="s">
        <v>28</v>
      </c>
      <c r="H1054" t="s">
        <v>33</v>
      </c>
      <c r="I1054" t="s">
        <v>34</v>
      </c>
      <c r="J1054" t="s">
        <v>25</v>
      </c>
      <c r="K1054">
        <v>0.1</v>
      </c>
    </row>
    <row r="1055" spans="1:11" x14ac:dyDescent="0.25">
      <c r="A1055" t="s">
        <v>1093</v>
      </c>
      <c r="B1055" s="1">
        <v>45652</v>
      </c>
      <c r="C1055" t="s">
        <v>20</v>
      </c>
      <c r="D1055" t="s">
        <v>27</v>
      </c>
      <c r="E1055">
        <v>5400</v>
      </c>
      <c r="F1055" t="s">
        <v>14</v>
      </c>
      <c r="G1055" t="s">
        <v>24</v>
      </c>
      <c r="H1055" t="s">
        <v>33</v>
      </c>
      <c r="I1055" t="s">
        <v>34</v>
      </c>
      <c r="J1055" t="s">
        <v>41</v>
      </c>
      <c r="K1055">
        <v>0.1</v>
      </c>
    </row>
    <row r="1056" spans="1:11" x14ac:dyDescent="0.25">
      <c r="A1056" t="s">
        <v>1094</v>
      </c>
      <c r="B1056" s="1">
        <v>45239</v>
      </c>
      <c r="C1056" t="s">
        <v>20</v>
      </c>
      <c r="D1056" t="s">
        <v>13</v>
      </c>
      <c r="E1056">
        <v>500</v>
      </c>
      <c r="F1056" t="s">
        <v>49</v>
      </c>
      <c r="G1056" t="s">
        <v>15</v>
      </c>
      <c r="H1056" t="s">
        <v>16</v>
      </c>
      <c r="I1056" t="s">
        <v>17</v>
      </c>
      <c r="J1056" t="s">
        <v>25</v>
      </c>
      <c r="K1056">
        <v>0</v>
      </c>
    </row>
    <row r="1057" spans="1:11" x14ac:dyDescent="0.25">
      <c r="A1057" t="s">
        <v>1095</v>
      </c>
      <c r="B1057" s="1">
        <v>45205</v>
      </c>
      <c r="C1057" t="s">
        <v>20</v>
      </c>
      <c r="D1057" t="s">
        <v>13</v>
      </c>
      <c r="E1057">
        <v>500</v>
      </c>
      <c r="F1057" t="s">
        <v>21</v>
      </c>
      <c r="G1057" t="s">
        <v>28</v>
      </c>
      <c r="H1057" t="s">
        <v>16</v>
      </c>
      <c r="I1057" t="s">
        <v>17</v>
      </c>
      <c r="J1057" t="s">
        <v>18</v>
      </c>
      <c r="K1057">
        <v>0</v>
      </c>
    </row>
    <row r="1058" spans="1:11" x14ac:dyDescent="0.25">
      <c r="A1058" t="s">
        <v>1096</v>
      </c>
      <c r="B1058" s="1">
        <v>44936</v>
      </c>
      <c r="C1058" t="s">
        <v>31</v>
      </c>
      <c r="D1058" t="s">
        <v>27</v>
      </c>
      <c r="E1058">
        <v>10800</v>
      </c>
      <c r="F1058" t="s">
        <v>14</v>
      </c>
      <c r="G1058" t="s">
        <v>28</v>
      </c>
      <c r="H1058" t="s">
        <v>33</v>
      </c>
      <c r="I1058" t="s">
        <v>34</v>
      </c>
      <c r="J1058" t="s">
        <v>37</v>
      </c>
      <c r="K1058">
        <v>0.1</v>
      </c>
    </row>
    <row r="1059" spans="1:11" x14ac:dyDescent="0.25">
      <c r="A1059" t="s">
        <v>1097</v>
      </c>
      <c r="B1059" s="1">
        <v>45353</v>
      </c>
      <c r="C1059" t="s">
        <v>20</v>
      </c>
      <c r="D1059" t="s">
        <v>27</v>
      </c>
      <c r="E1059">
        <v>5400</v>
      </c>
      <c r="F1059" t="s">
        <v>21</v>
      </c>
      <c r="G1059" t="s">
        <v>28</v>
      </c>
      <c r="H1059" t="s">
        <v>16</v>
      </c>
      <c r="I1059" t="s">
        <v>17</v>
      </c>
      <c r="J1059" t="s">
        <v>29</v>
      </c>
      <c r="K1059">
        <v>0.1</v>
      </c>
    </row>
    <row r="1060" spans="1:11" x14ac:dyDescent="0.25">
      <c r="A1060" t="s">
        <v>1098</v>
      </c>
      <c r="B1060" s="1">
        <v>45266</v>
      </c>
      <c r="C1060" t="s">
        <v>20</v>
      </c>
      <c r="D1060" t="s">
        <v>13</v>
      </c>
      <c r="E1060">
        <v>500</v>
      </c>
      <c r="F1060" t="s">
        <v>14</v>
      </c>
      <c r="G1060" t="s">
        <v>28</v>
      </c>
      <c r="H1060" t="s">
        <v>33</v>
      </c>
      <c r="I1060" t="s">
        <v>34</v>
      </c>
      <c r="J1060" t="s">
        <v>41</v>
      </c>
      <c r="K1060">
        <v>0</v>
      </c>
    </row>
    <row r="1061" spans="1:11" x14ac:dyDescent="0.25">
      <c r="A1061" t="s">
        <v>1099</v>
      </c>
      <c r="B1061" s="1">
        <v>45617</v>
      </c>
      <c r="C1061" t="s">
        <v>20</v>
      </c>
      <c r="D1061" t="s">
        <v>27</v>
      </c>
      <c r="E1061">
        <v>5400</v>
      </c>
      <c r="F1061" t="s">
        <v>32</v>
      </c>
      <c r="G1061" t="s">
        <v>28</v>
      </c>
      <c r="H1061" t="s">
        <v>33</v>
      </c>
      <c r="I1061" t="s">
        <v>34</v>
      </c>
      <c r="J1061" t="s">
        <v>35</v>
      </c>
      <c r="K1061">
        <v>0.1</v>
      </c>
    </row>
    <row r="1062" spans="1:11" x14ac:dyDescent="0.25">
      <c r="A1062" t="s">
        <v>1100</v>
      </c>
      <c r="B1062" s="1">
        <v>45140</v>
      </c>
      <c r="C1062" t="s">
        <v>31</v>
      </c>
      <c r="D1062" t="s">
        <v>27</v>
      </c>
      <c r="E1062">
        <v>10800</v>
      </c>
      <c r="F1062" t="s">
        <v>32</v>
      </c>
      <c r="G1062" t="s">
        <v>24</v>
      </c>
      <c r="H1062" t="s">
        <v>33</v>
      </c>
      <c r="I1062" t="s">
        <v>34</v>
      </c>
      <c r="J1062" t="s">
        <v>35</v>
      </c>
      <c r="K1062">
        <v>0.1</v>
      </c>
    </row>
    <row r="1063" spans="1:11" x14ac:dyDescent="0.25">
      <c r="A1063" t="s">
        <v>1101</v>
      </c>
      <c r="B1063" s="1">
        <v>45491</v>
      </c>
      <c r="C1063" t="s">
        <v>20</v>
      </c>
      <c r="D1063" t="s">
        <v>27</v>
      </c>
      <c r="E1063">
        <v>5400</v>
      </c>
      <c r="F1063" t="s">
        <v>21</v>
      </c>
      <c r="G1063" t="s">
        <v>15</v>
      </c>
      <c r="H1063" t="s">
        <v>33</v>
      </c>
      <c r="I1063" t="s">
        <v>34</v>
      </c>
      <c r="J1063" t="s">
        <v>18</v>
      </c>
      <c r="K1063">
        <v>0.1</v>
      </c>
    </row>
    <row r="1064" spans="1:11" x14ac:dyDescent="0.25">
      <c r="A1064" t="s">
        <v>1102</v>
      </c>
      <c r="B1064" s="1">
        <v>45539</v>
      </c>
      <c r="C1064" t="s">
        <v>12</v>
      </c>
      <c r="D1064" t="s">
        <v>27</v>
      </c>
      <c r="E1064">
        <v>16200</v>
      </c>
      <c r="F1064" t="s">
        <v>49</v>
      </c>
      <c r="G1064" t="s">
        <v>28</v>
      </c>
      <c r="H1064" t="s">
        <v>16</v>
      </c>
      <c r="I1064" t="s">
        <v>17</v>
      </c>
      <c r="J1064" t="s">
        <v>58</v>
      </c>
      <c r="K1064">
        <v>0.1</v>
      </c>
    </row>
    <row r="1065" spans="1:11" x14ac:dyDescent="0.25">
      <c r="A1065" t="s">
        <v>1103</v>
      </c>
      <c r="B1065" s="1">
        <v>45361</v>
      </c>
      <c r="C1065" t="s">
        <v>31</v>
      </c>
      <c r="D1065" t="s">
        <v>13</v>
      </c>
      <c r="E1065">
        <v>1000</v>
      </c>
      <c r="F1065" t="s">
        <v>14</v>
      </c>
      <c r="G1065" t="s">
        <v>28</v>
      </c>
      <c r="H1065" t="s">
        <v>33</v>
      </c>
      <c r="I1065" t="s">
        <v>34</v>
      </c>
      <c r="J1065" t="s">
        <v>18</v>
      </c>
      <c r="K1065">
        <v>0</v>
      </c>
    </row>
    <row r="1066" spans="1:11" x14ac:dyDescent="0.25">
      <c r="A1066" t="s">
        <v>1104</v>
      </c>
      <c r="B1066" s="1">
        <v>45443</v>
      </c>
      <c r="C1066" t="s">
        <v>31</v>
      </c>
      <c r="D1066" t="s">
        <v>27</v>
      </c>
      <c r="E1066">
        <v>10800</v>
      </c>
      <c r="F1066" t="s">
        <v>14</v>
      </c>
      <c r="G1066" t="s">
        <v>24</v>
      </c>
      <c r="H1066" t="s">
        <v>16</v>
      </c>
      <c r="I1066" t="s">
        <v>17</v>
      </c>
      <c r="J1066" t="s">
        <v>55</v>
      </c>
      <c r="K1066">
        <v>0.1</v>
      </c>
    </row>
    <row r="1067" spans="1:11" x14ac:dyDescent="0.25">
      <c r="A1067" t="s">
        <v>1105</v>
      </c>
      <c r="B1067" s="1">
        <v>45418</v>
      </c>
      <c r="C1067" t="s">
        <v>12</v>
      </c>
      <c r="D1067" t="s">
        <v>27</v>
      </c>
      <c r="E1067">
        <v>16200</v>
      </c>
      <c r="F1067" t="s">
        <v>21</v>
      </c>
      <c r="G1067" t="s">
        <v>24</v>
      </c>
      <c r="H1067" t="s">
        <v>16</v>
      </c>
      <c r="I1067" t="s">
        <v>17</v>
      </c>
      <c r="J1067" t="s">
        <v>25</v>
      </c>
      <c r="K1067">
        <v>0.1</v>
      </c>
    </row>
    <row r="1068" spans="1:11" x14ac:dyDescent="0.25">
      <c r="A1068" t="s">
        <v>1106</v>
      </c>
      <c r="B1068" s="1">
        <v>45528</v>
      </c>
      <c r="C1068" t="s">
        <v>31</v>
      </c>
      <c r="D1068" t="s">
        <v>13</v>
      </c>
      <c r="E1068">
        <v>1000</v>
      </c>
      <c r="F1068" t="s">
        <v>49</v>
      </c>
      <c r="G1068" t="s">
        <v>28</v>
      </c>
      <c r="H1068" t="s">
        <v>33</v>
      </c>
      <c r="I1068" t="s">
        <v>34</v>
      </c>
      <c r="J1068" t="s">
        <v>58</v>
      </c>
      <c r="K1068">
        <v>0</v>
      </c>
    </row>
    <row r="1069" spans="1:11" x14ac:dyDescent="0.25">
      <c r="A1069" t="s">
        <v>1107</v>
      </c>
      <c r="B1069" s="1">
        <v>44939</v>
      </c>
      <c r="C1069" t="s">
        <v>20</v>
      </c>
      <c r="D1069" t="s">
        <v>27</v>
      </c>
      <c r="E1069">
        <v>5400</v>
      </c>
      <c r="F1069" t="s">
        <v>21</v>
      </c>
      <c r="G1069" t="s">
        <v>24</v>
      </c>
      <c r="H1069" t="s">
        <v>33</v>
      </c>
      <c r="I1069" t="s">
        <v>34</v>
      </c>
      <c r="J1069" t="s">
        <v>29</v>
      </c>
      <c r="K1069">
        <v>0.1</v>
      </c>
    </row>
    <row r="1070" spans="1:11" x14ac:dyDescent="0.25">
      <c r="A1070" t="s">
        <v>1108</v>
      </c>
      <c r="B1070" s="1">
        <v>45147</v>
      </c>
      <c r="C1070" t="s">
        <v>12</v>
      </c>
      <c r="D1070" t="s">
        <v>13</v>
      </c>
      <c r="E1070">
        <v>1500</v>
      </c>
      <c r="F1070" t="s">
        <v>49</v>
      </c>
      <c r="G1070" t="s">
        <v>15</v>
      </c>
      <c r="H1070" t="s">
        <v>33</v>
      </c>
      <c r="I1070" t="s">
        <v>34</v>
      </c>
      <c r="J1070" t="s">
        <v>58</v>
      </c>
      <c r="K1070">
        <v>0</v>
      </c>
    </row>
    <row r="1071" spans="1:11" x14ac:dyDescent="0.25">
      <c r="A1071" t="s">
        <v>1109</v>
      </c>
      <c r="B1071" s="1">
        <v>45515</v>
      </c>
      <c r="C1071" t="s">
        <v>31</v>
      </c>
      <c r="D1071" t="s">
        <v>13</v>
      </c>
      <c r="E1071">
        <v>1000</v>
      </c>
      <c r="F1071" t="s">
        <v>32</v>
      </c>
      <c r="G1071" t="s">
        <v>28</v>
      </c>
      <c r="H1071" t="s">
        <v>16</v>
      </c>
      <c r="I1071" t="s">
        <v>17</v>
      </c>
      <c r="J1071" t="s">
        <v>25</v>
      </c>
      <c r="K1071">
        <v>0</v>
      </c>
    </row>
    <row r="1072" spans="1:11" x14ac:dyDescent="0.25">
      <c r="A1072" t="s">
        <v>1110</v>
      </c>
      <c r="B1072" s="1">
        <v>45255</v>
      </c>
      <c r="C1072" t="s">
        <v>20</v>
      </c>
      <c r="D1072" t="s">
        <v>27</v>
      </c>
      <c r="E1072">
        <v>5400</v>
      </c>
      <c r="F1072" t="s">
        <v>14</v>
      </c>
      <c r="G1072" t="s">
        <v>28</v>
      </c>
      <c r="H1072" t="s">
        <v>33</v>
      </c>
      <c r="I1072" t="s">
        <v>34</v>
      </c>
      <c r="J1072" t="s">
        <v>18</v>
      </c>
      <c r="K1072">
        <v>0.1</v>
      </c>
    </row>
    <row r="1073" spans="1:11" x14ac:dyDescent="0.25">
      <c r="A1073" t="s">
        <v>1111</v>
      </c>
      <c r="B1073" s="1">
        <v>45447</v>
      </c>
      <c r="C1073" t="s">
        <v>12</v>
      </c>
      <c r="D1073" t="s">
        <v>27</v>
      </c>
      <c r="E1073">
        <v>16200</v>
      </c>
      <c r="F1073" t="s">
        <v>49</v>
      </c>
      <c r="G1073" t="s">
        <v>24</v>
      </c>
      <c r="H1073" t="s">
        <v>33</v>
      </c>
      <c r="I1073" t="s">
        <v>34</v>
      </c>
      <c r="J1073" t="s">
        <v>18</v>
      </c>
      <c r="K1073">
        <v>0.1</v>
      </c>
    </row>
    <row r="1074" spans="1:11" x14ac:dyDescent="0.25">
      <c r="A1074" t="s">
        <v>1112</v>
      </c>
      <c r="B1074" s="1">
        <v>45539</v>
      </c>
      <c r="C1074" t="s">
        <v>20</v>
      </c>
      <c r="D1074" t="s">
        <v>27</v>
      </c>
      <c r="E1074">
        <v>5400</v>
      </c>
      <c r="F1074" t="s">
        <v>49</v>
      </c>
      <c r="G1074" t="s">
        <v>15</v>
      </c>
      <c r="H1074" t="s">
        <v>33</v>
      </c>
      <c r="I1074" t="s">
        <v>34</v>
      </c>
      <c r="J1074" t="s">
        <v>58</v>
      </c>
      <c r="K1074">
        <v>0.1</v>
      </c>
    </row>
    <row r="1075" spans="1:11" x14ac:dyDescent="0.25">
      <c r="A1075" t="s">
        <v>1113</v>
      </c>
      <c r="B1075" s="1">
        <v>45192</v>
      </c>
      <c r="C1075" t="s">
        <v>31</v>
      </c>
      <c r="D1075" t="s">
        <v>13</v>
      </c>
      <c r="E1075">
        <v>1000</v>
      </c>
      <c r="F1075" t="s">
        <v>49</v>
      </c>
      <c r="G1075" t="s">
        <v>28</v>
      </c>
      <c r="H1075" t="s">
        <v>33</v>
      </c>
      <c r="I1075" t="s">
        <v>34</v>
      </c>
      <c r="J1075" t="s">
        <v>22</v>
      </c>
      <c r="K1075">
        <v>0</v>
      </c>
    </row>
    <row r="1076" spans="1:11" x14ac:dyDescent="0.25">
      <c r="A1076" t="s">
        <v>1114</v>
      </c>
      <c r="B1076" s="1">
        <v>45369</v>
      </c>
      <c r="C1076" t="s">
        <v>31</v>
      </c>
      <c r="D1076" t="s">
        <v>13</v>
      </c>
      <c r="E1076">
        <v>1000</v>
      </c>
      <c r="F1076" t="s">
        <v>21</v>
      </c>
      <c r="G1076" t="s">
        <v>24</v>
      </c>
      <c r="H1076" t="s">
        <v>16</v>
      </c>
      <c r="I1076" t="s">
        <v>17</v>
      </c>
      <c r="J1076" t="s">
        <v>18</v>
      </c>
      <c r="K1076">
        <v>0</v>
      </c>
    </row>
    <row r="1077" spans="1:11" x14ac:dyDescent="0.25">
      <c r="A1077" t="s">
        <v>1115</v>
      </c>
      <c r="B1077" s="1">
        <v>45642</v>
      </c>
      <c r="C1077" t="s">
        <v>31</v>
      </c>
      <c r="D1077" t="s">
        <v>13</v>
      </c>
      <c r="E1077">
        <v>1000</v>
      </c>
      <c r="F1077" t="s">
        <v>32</v>
      </c>
      <c r="G1077" t="s">
        <v>28</v>
      </c>
      <c r="H1077" t="s">
        <v>16</v>
      </c>
      <c r="I1077" t="s">
        <v>17</v>
      </c>
      <c r="J1077" t="s">
        <v>39</v>
      </c>
      <c r="K1077">
        <v>0</v>
      </c>
    </row>
    <row r="1078" spans="1:11" x14ac:dyDescent="0.25">
      <c r="A1078" t="s">
        <v>1116</v>
      </c>
      <c r="B1078" s="1">
        <v>44947</v>
      </c>
      <c r="C1078" t="s">
        <v>31</v>
      </c>
      <c r="D1078" t="s">
        <v>13</v>
      </c>
      <c r="E1078">
        <v>1000</v>
      </c>
      <c r="F1078" t="s">
        <v>14</v>
      </c>
      <c r="G1078" t="s">
        <v>15</v>
      </c>
      <c r="H1078" t="s">
        <v>16</v>
      </c>
      <c r="I1078" t="s">
        <v>17</v>
      </c>
      <c r="J1078" t="s">
        <v>22</v>
      </c>
      <c r="K1078">
        <v>0</v>
      </c>
    </row>
    <row r="1079" spans="1:11" x14ac:dyDescent="0.25">
      <c r="A1079" t="s">
        <v>1117</v>
      </c>
      <c r="B1079" s="1">
        <v>45374</v>
      </c>
      <c r="C1079" t="s">
        <v>31</v>
      </c>
      <c r="D1079" t="s">
        <v>13</v>
      </c>
      <c r="E1079">
        <v>1000</v>
      </c>
      <c r="F1079" t="s">
        <v>14</v>
      </c>
      <c r="G1079" t="s">
        <v>24</v>
      </c>
      <c r="H1079" t="s">
        <v>33</v>
      </c>
      <c r="I1079" t="s">
        <v>34</v>
      </c>
      <c r="J1079" t="s">
        <v>18</v>
      </c>
      <c r="K1079">
        <v>0</v>
      </c>
    </row>
    <row r="1080" spans="1:11" x14ac:dyDescent="0.25">
      <c r="A1080" t="s">
        <v>1118</v>
      </c>
      <c r="B1080" s="1">
        <v>45491</v>
      </c>
      <c r="C1080" t="s">
        <v>12</v>
      </c>
      <c r="D1080" t="s">
        <v>13</v>
      </c>
      <c r="E1080">
        <v>1500</v>
      </c>
      <c r="F1080" t="s">
        <v>14</v>
      </c>
      <c r="G1080" t="s">
        <v>28</v>
      </c>
      <c r="H1080" t="s">
        <v>33</v>
      </c>
      <c r="I1080" t="s">
        <v>34</v>
      </c>
      <c r="J1080" t="s">
        <v>37</v>
      </c>
      <c r="K1080">
        <v>0</v>
      </c>
    </row>
    <row r="1081" spans="1:11" x14ac:dyDescent="0.25">
      <c r="A1081" t="s">
        <v>1119</v>
      </c>
      <c r="B1081" s="1">
        <v>45215</v>
      </c>
      <c r="C1081" t="s">
        <v>20</v>
      </c>
      <c r="D1081" t="s">
        <v>27</v>
      </c>
      <c r="E1081">
        <v>5400</v>
      </c>
      <c r="F1081" t="s">
        <v>32</v>
      </c>
      <c r="G1081" t="s">
        <v>15</v>
      </c>
      <c r="H1081" t="s">
        <v>33</v>
      </c>
      <c r="I1081" t="s">
        <v>34</v>
      </c>
      <c r="J1081" t="s">
        <v>25</v>
      </c>
      <c r="K1081">
        <v>0.1</v>
      </c>
    </row>
    <row r="1082" spans="1:11" x14ac:dyDescent="0.25">
      <c r="A1082" t="s">
        <v>1120</v>
      </c>
      <c r="B1082" s="1">
        <v>45359</v>
      </c>
      <c r="C1082" t="s">
        <v>31</v>
      </c>
      <c r="D1082" t="s">
        <v>27</v>
      </c>
      <c r="E1082">
        <v>10800</v>
      </c>
      <c r="F1082" t="s">
        <v>32</v>
      </c>
      <c r="G1082" t="s">
        <v>15</v>
      </c>
      <c r="H1082" t="s">
        <v>33</v>
      </c>
      <c r="I1082" t="s">
        <v>34</v>
      </c>
      <c r="J1082" t="s">
        <v>25</v>
      </c>
      <c r="K1082">
        <v>0.1</v>
      </c>
    </row>
    <row r="1083" spans="1:11" x14ac:dyDescent="0.25">
      <c r="A1083" t="s">
        <v>1121</v>
      </c>
      <c r="B1083" s="1">
        <v>45642</v>
      </c>
      <c r="C1083" t="s">
        <v>12</v>
      </c>
      <c r="D1083" t="s">
        <v>13</v>
      </c>
      <c r="E1083">
        <v>1500</v>
      </c>
      <c r="F1083" t="s">
        <v>14</v>
      </c>
      <c r="G1083" t="s">
        <v>24</v>
      </c>
      <c r="H1083" t="s">
        <v>33</v>
      </c>
      <c r="I1083" t="s">
        <v>34</v>
      </c>
      <c r="J1083" t="s">
        <v>37</v>
      </c>
      <c r="K1083">
        <v>0</v>
      </c>
    </row>
    <row r="1084" spans="1:11" x14ac:dyDescent="0.25">
      <c r="A1084" t="s">
        <v>1122</v>
      </c>
      <c r="B1084" s="1">
        <v>45360</v>
      </c>
      <c r="C1084" t="s">
        <v>12</v>
      </c>
      <c r="D1084" t="s">
        <v>13</v>
      </c>
      <c r="E1084">
        <v>1500</v>
      </c>
      <c r="F1084" t="s">
        <v>14</v>
      </c>
      <c r="G1084" t="s">
        <v>28</v>
      </c>
      <c r="H1084" t="s">
        <v>16</v>
      </c>
      <c r="I1084" t="s">
        <v>17</v>
      </c>
      <c r="J1084" t="s">
        <v>37</v>
      </c>
      <c r="K1084">
        <v>0</v>
      </c>
    </row>
    <row r="1085" spans="1:11" x14ac:dyDescent="0.25">
      <c r="A1085" t="s">
        <v>1123</v>
      </c>
      <c r="B1085" s="1">
        <v>45154</v>
      </c>
      <c r="C1085" t="s">
        <v>20</v>
      </c>
      <c r="D1085" t="s">
        <v>27</v>
      </c>
      <c r="E1085">
        <v>5400</v>
      </c>
      <c r="F1085" t="s">
        <v>49</v>
      </c>
      <c r="G1085" t="s">
        <v>28</v>
      </c>
      <c r="H1085" t="s">
        <v>33</v>
      </c>
      <c r="I1085" t="s">
        <v>34</v>
      </c>
      <c r="J1085" t="s">
        <v>18</v>
      </c>
      <c r="K1085">
        <v>0.1</v>
      </c>
    </row>
    <row r="1086" spans="1:11" x14ac:dyDescent="0.25">
      <c r="A1086" t="s">
        <v>1124</v>
      </c>
      <c r="B1086" s="1">
        <v>45126</v>
      </c>
      <c r="C1086" t="s">
        <v>12</v>
      </c>
      <c r="D1086" t="s">
        <v>27</v>
      </c>
      <c r="E1086">
        <v>16200</v>
      </c>
      <c r="F1086" t="s">
        <v>49</v>
      </c>
      <c r="G1086" t="s">
        <v>24</v>
      </c>
      <c r="H1086" t="s">
        <v>33</v>
      </c>
      <c r="I1086" t="s">
        <v>34</v>
      </c>
      <c r="J1086" t="s">
        <v>58</v>
      </c>
      <c r="K1086">
        <v>0.1</v>
      </c>
    </row>
    <row r="1087" spans="1:11" x14ac:dyDescent="0.25">
      <c r="A1087" t="s">
        <v>1125</v>
      </c>
      <c r="B1087" s="1">
        <v>45193</v>
      </c>
      <c r="C1087" t="s">
        <v>20</v>
      </c>
      <c r="D1087" t="s">
        <v>27</v>
      </c>
      <c r="E1087">
        <v>5400</v>
      </c>
      <c r="F1087" t="s">
        <v>21</v>
      </c>
      <c r="G1087" t="s">
        <v>28</v>
      </c>
      <c r="H1087" t="s">
        <v>16</v>
      </c>
      <c r="I1087" t="s">
        <v>17</v>
      </c>
      <c r="J1087" t="s">
        <v>29</v>
      </c>
      <c r="K1087">
        <v>0.1</v>
      </c>
    </row>
    <row r="1088" spans="1:11" x14ac:dyDescent="0.25">
      <c r="A1088" t="s">
        <v>1126</v>
      </c>
      <c r="B1088" s="1">
        <v>45074</v>
      </c>
      <c r="C1088" t="s">
        <v>12</v>
      </c>
      <c r="D1088" t="s">
        <v>13</v>
      </c>
      <c r="E1088">
        <v>1500</v>
      </c>
      <c r="F1088" t="s">
        <v>32</v>
      </c>
      <c r="G1088" t="s">
        <v>15</v>
      </c>
      <c r="H1088" t="s">
        <v>16</v>
      </c>
      <c r="I1088" t="s">
        <v>17</v>
      </c>
      <c r="J1088" t="s">
        <v>25</v>
      </c>
      <c r="K1088">
        <v>0</v>
      </c>
    </row>
    <row r="1089" spans="1:11" x14ac:dyDescent="0.25">
      <c r="A1089" t="s">
        <v>1127</v>
      </c>
      <c r="B1089" s="1">
        <v>45600</v>
      </c>
      <c r="C1089" t="s">
        <v>20</v>
      </c>
      <c r="D1089" t="s">
        <v>13</v>
      </c>
      <c r="E1089">
        <v>500</v>
      </c>
      <c r="F1089" t="s">
        <v>32</v>
      </c>
      <c r="G1089" t="s">
        <v>15</v>
      </c>
      <c r="H1089" t="s">
        <v>16</v>
      </c>
      <c r="I1089" t="s">
        <v>17</v>
      </c>
      <c r="J1089" t="s">
        <v>39</v>
      </c>
      <c r="K1089">
        <v>0</v>
      </c>
    </row>
    <row r="1090" spans="1:11" x14ac:dyDescent="0.25">
      <c r="A1090" t="s">
        <v>1128</v>
      </c>
      <c r="B1090" s="1">
        <v>45207</v>
      </c>
      <c r="C1090" t="s">
        <v>20</v>
      </c>
      <c r="D1090" t="s">
        <v>13</v>
      </c>
      <c r="E1090">
        <v>500</v>
      </c>
      <c r="F1090" t="s">
        <v>14</v>
      </c>
      <c r="G1090" t="s">
        <v>24</v>
      </c>
      <c r="H1090" t="s">
        <v>33</v>
      </c>
      <c r="I1090" t="s">
        <v>34</v>
      </c>
      <c r="J1090" t="s">
        <v>55</v>
      </c>
      <c r="K1090">
        <v>0</v>
      </c>
    </row>
    <row r="1091" spans="1:11" x14ac:dyDescent="0.25">
      <c r="A1091" t="s">
        <v>1129</v>
      </c>
      <c r="B1091" s="1">
        <v>44993</v>
      </c>
      <c r="C1091" t="s">
        <v>31</v>
      </c>
      <c r="D1091" t="s">
        <v>27</v>
      </c>
      <c r="E1091">
        <v>10800</v>
      </c>
      <c r="F1091" t="s">
        <v>32</v>
      </c>
      <c r="G1091" t="s">
        <v>28</v>
      </c>
      <c r="H1091" t="s">
        <v>33</v>
      </c>
      <c r="I1091" t="s">
        <v>34</v>
      </c>
      <c r="J1091" t="s">
        <v>25</v>
      </c>
      <c r="K1091">
        <v>0.1</v>
      </c>
    </row>
    <row r="1092" spans="1:11" x14ac:dyDescent="0.25">
      <c r="A1092" t="s">
        <v>1130</v>
      </c>
      <c r="B1092" s="1">
        <v>45401</v>
      </c>
      <c r="C1092" t="s">
        <v>31</v>
      </c>
      <c r="D1092" t="s">
        <v>13</v>
      </c>
      <c r="E1092">
        <v>1000</v>
      </c>
      <c r="F1092" t="s">
        <v>32</v>
      </c>
      <c r="G1092" t="s">
        <v>15</v>
      </c>
      <c r="H1092" t="s">
        <v>33</v>
      </c>
      <c r="I1092" t="s">
        <v>34</v>
      </c>
      <c r="J1092" t="s">
        <v>66</v>
      </c>
      <c r="K1092">
        <v>0</v>
      </c>
    </row>
    <row r="1093" spans="1:11" x14ac:dyDescent="0.25">
      <c r="A1093" t="s">
        <v>1131</v>
      </c>
      <c r="B1093" s="1">
        <v>45162</v>
      </c>
      <c r="C1093" t="s">
        <v>20</v>
      </c>
      <c r="D1093" t="s">
        <v>27</v>
      </c>
      <c r="E1093">
        <v>5400</v>
      </c>
      <c r="F1093" t="s">
        <v>21</v>
      </c>
      <c r="G1093" t="s">
        <v>15</v>
      </c>
      <c r="H1093" t="s">
        <v>33</v>
      </c>
      <c r="I1093" t="s">
        <v>34</v>
      </c>
      <c r="J1093" t="s">
        <v>29</v>
      </c>
      <c r="K1093">
        <v>0.1</v>
      </c>
    </row>
    <row r="1094" spans="1:11" x14ac:dyDescent="0.25">
      <c r="A1094" t="s">
        <v>1132</v>
      </c>
      <c r="B1094" s="1">
        <v>44930</v>
      </c>
      <c r="C1094" t="s">
        <v>31</v>
      </c>
      <c r="D1094" t="s">
        <v>13</v>
      </c>
      <c r="E1094">
        <v>1000</v>
      </c>
      <c r="F1094" t="s">
        <v>32</v>
      </c>
      <c r="G1094" t="s">
        <v>28</v>
      </c>
      <c r="H1094" t="s">
        <v>33</v>
      </c>
      <c r="I1094" t="s">
        <v>34</v>
      </c>
      <c r="J1094" t="s">
        <v>35</v>
      </c>
      <c r="K1094">
        <v>0</v>
      </c>
    </row>
    <row r="1095" spans="1:11" x14ac:dyDescent="0.25">
      <c r="A1095" t="s">
        <v>1133</v>
      </c>
      <c r="B1095" s="1">
        <v>45529</v>
      </c>
      <c r="C1095" t="s">
        <v>20</v>
      </c>
      <c r="D1095" t="s">
        <v>13</v>
      </c>
      <c r="E1095">
        <v>500</v>
      </c>
      <c r="F1095" t="s">
        <v>21</v>
      </c>
      <c r="G1095" t="s">
        <v>24</v>
      </c>
      <c r="H1095" t="s">
        <v>33</v>
      </c>
      <c r="I1095" t="s">
        <v>34</v>
      </c>
      <c r="J1095" t="s">
        <v>25</v>
      </c>
      <c r="K1095">
        <v>0</v>
      </c>
    </row>
    <row r="1096" spans="1:11" x14ac:dyDescent="0.25">
      <c r="A1096" t="s">
        <v>1134</v>
      </c>
      <c r="B1096" s="1">
        <v>45456</v>
      </c>
      <c r="C1096" t="s">
        <v>31</v>
      </c>
      <c r="D1096" t="s">
        <v>27</v>
      </c>
      <c r="E1096">
        <v>10800</v>
      </c>
      <c r="F1096" t="s">
        <v>49</v>
      </c>
      <c r="G1096" t="s">
        <v>28</v>
      </c>
      <c r="H1096" t="s">
        <v>16</v>
      </c>
      <c r="I1096" t="s">
        <v>17</v>
      </c>
      <c r="J1096" t="s">
        <v>22</v>
      </c>
      <c r="K1096">
        <v>0.1</v>
      </c>
    </row>
    <row r="1097" spans="1:11" x14ac:dyDescent="0.25">
      <c r="A1097" t="s">
        <v>1135</v>
      </c>
      <c r="B1097" s="1">
        <v>44966</v>
      </c>
      <c r="C1097" t="s">
        <v>20</v>
      </c>
      <c r="D1097" t="s">
        <v>27</v>
      </c>
      <c r="E1097">
        <v>5400</v>
      </c>
      <c r="F1097" t="s">
        <v>14</v>
      </c>
      <c r="G1097" t="s">
        <v>15</v>
      </c>
      <c r="H1097" t="s">
        <v>16</v>
      </c>
      <c r="I1097" t="s">
        <v>17</v>
      </c>
      <c r="J1097" t="s">
        <v>41</v>
      </c>
      <c r="K1097">
        <v>0.1</v>
      </c>
    </row>
    <row r="1098" spans="1:11" x14ac:dyDescent="0.25">
      <c r="A1098" t="s">
        <v>1136</v>
      </c>
      <c r="B1098" s="1">
        <v>44969</v>
      </c>
      <c r="C1098" t="s">
        <v>31</v>
      </c>
      <c r="D1098" t="s">
        <v>13</v>
      </c>
      <c r="E1098">
        <v>1000</v>
      </c>
      <c r="F1098" t="s">
        <v>32</v>
      </c>
      <c r="G1098" t="s">
        <v>24</v>
      </c>
      <c r="H1098" t="s">
        <v>33</v>
      </c>
      <c r="I1098" t="s">
        <v>34</v>
      </c>
      <c r="J1098" t="s">
        <v>35</v>
      </c>
      <c r="K1098">
        <v>0</v>
      </c>
    </row>
    <row r="1099" spans="1:11" x14ac:dyDescent="0.25">
      <c r="A1099" t="s">
        <v>1137</v>
      </c>
      <c r="B1099" s="1">
        <v>45578</v>
      </c>
      <c r="C1099" t="s">
        <v>12</v>
      </c>
      <c r="D1099" t="s">
        <v>13</v>
      </c>
      <c r="E1099">
        <v>1500</v>
      </c>
      <c r="F1099" t="s">
        <v>14</v>
      </c>
      <c r="G1099" t="s">
        <v>24</v>
      </c>
      <c r="H1099" t="s">
        <v>33</v>
      </c>
      <c r="I1099" t="s">
        <v>34</v>
      </c>
      <c r="J1099" t="s">
        <v>37</v>
      </c>
      <c r="K1099">
        <v>0</v>
      </c>
    </row>
    <row r="1100" spans="1:11" x14ac:dyDescent="0.25">
      <c r="A1100" t="s">
        <v>1138</v>
      </c>
      <c r="B1100" s="1">
        <v>45410</v>
      </c>
      <c r="C1100" t="s">
        <v>12</v>
      </c>
      <c r="D1100" t="s">
        <v>13</v>
      </c>
      <c r="E1100">
        <v>1500</v>
      </c>
      <c r="F1100" t="s">
        <v>14</v>
      </c>
      <c r="G1100" t="s">
        <v>15</v>
      </c>
      <c r="H1100" t="s">
        <v>33</v>
      </c>
      <c r="I1100" t="s">
        <v>34</v>
      </c>
      <c r="J1100" t="s">
        <v>18</v>
      </c>
      <c r="K1100">
        <v>0</v>
      </c>
    </row>
    <row r="1101" spans="1:11" x14ac:dyDescent="0.25">
      <c r="A1101" t="s">
        <v>1139</v>
      </c>
      <c r="B1101" s="1">
        <v>44950</v>
      </c>
      <c r="C1101" t="s">
        <v>31</v>
      </c>
      <c r="D1101" t="s">
        <v>13</v>
      </c>
      <c r="E1101">
        <v>1000</v>
      </c>
      <c r="F1101" t="s">
        <v>49</v>
      </c>
      <c r="G1101" t="s">
        <v>28</v>
      </c>
      <c r="H1101" t="s">
        <v>33</v>
      </c>
      <c r="I1101" t="s">
        <v>34</v>
      </c>
      <c r="J1101" t="s">
        <v>35</v>
      </c>
      <c r="K1101">
        <v>0</v>
      </c>
    </row>
    <row r="1102" spans="1:11" x14ac:dyDescent="0.25">
      <c r="A1102" t="s">
        <v>1140</v>
      </c>
      <c r="B1102" s="1">
        <v>45061</v>
      </c>
      <c r="C1102" t="s">
        <v>12</v>
      </c>
      <c r="D1102" t="s">
        <v>27</v>
      </c>
      <c r="E1102">
        <v>16200</v>
      </c>
      <c r="F1102" t="s">
        <v>49</v>
      </c>
      <c r="G1102" t="s">
        <v>28</v>
      </c>
      <c r="H1102" t="s">
        <v>16</v>
      </c>
      <c r="I1102" t="s">
        <v>17</v>
      </c>
      <c r="J1102" t="s">
        <v>50</v>
      </c>
      <c r="K1102">
        <v>0.1</v>
      </c>
    </row>
    <row r="1103" spans="1:11" x14ac:dyDescent="0.25">
      <c r="A1103" t="s">
        <v>1141</v>
      </c>
      <c r="B1103" s="1">
        <v>45505</v>
      </c>
      <c r="C1103" t="s">
        <v>20</v>
      </c>
      <c r="D1103" t="s">
        <v>27</v>
      </c>
      <c r="E1103">
        <v>5400</v>
      </c>
      <c r="F1103" t="s">
        <v>14</v>
      </c>
      <c r="G1103" t="s">
        <v>28</v>
      </c>
      <c r="H1103" t="s">
        <v>33</v>
      </c>
      <c r="I1103" t="s">
        <v>34</v>
      </c>
      <c r="J1103" t="s">
        <v>55</v>
      </c>
      <c r="K1103">
        <v>0.1</v>
      </c>
    </row>
    <row r="1104" spans="1:11" x14ac:dyDescent="0.25">
      <c r="A1104" t="s">
        <v>1142</v>
      </c>
      <c r="B1104" s="1">
        <v>45058</v>
      </c>
      <c r="C1104" t="s">
        <v>12</v>
      </c>
      <c r="D1104" t="s">
        <v>27</v>
      </c>
      <c r="E1104">
        <v>16200</v>
      </c>
      <c r="F1104" t="s">
        <v>49</v>
      </c>
      <c r="G1104" t="s">
        <v>28</v>
      </c>
      <c r="H1104" t="s">
        <v>33</v>
      </c>
      <c r="I1104" t="s">
        <v>34</v>
      </c>
      <c r="J1104" t="s">
        <v>22</v>
      </c>
      <c r="K1104">
        <v>0.1</v>
      </c>
    </row>
    <row r="1105" spans="1:11" x14ac:dyDescent="0.25">
      <c r="A1105" t="s">
        <v>1143</v>
      </c>
      <c r="B1105" s="1">
        <v>45518</v>
      </c>
      <c r="C1105" t="s">
        <v>12</v>
      </c>
      <c r="D1105" t="s">
        <v>27</v>
      </c>
      <c r="E1105">
        <v>16200</v>
      </c>
      <c r="F1105" t="s">
        <v>49</v>
      </c>
      <c r="G1105" t="s">
        <v>24</v>
      </c>
      <c r="H1105" t="s">
        <v>16</v>
      </c>
      <c r="I1105" t="s">
        <v>17</v>
      </c>
      <c r="J1105" t="s">
        <v>18</v>
      </c>
      <c r="K1105">
        <v>0.1</v>
      </c>
    </row>
    <row r="1106" spans="1:11" x14ac:dyDescent="0.25">
      <c r="A1106" t="s">
        <v>1144</v>
      </c>
      <c r="B1106" s="1">
        <v>45449</v>
      </c>
      <c r="C1106" t="s">
        <v>31</v>
      </c>
      <c r="D1106" t="s">
        <v>27</v>
      </c>
      <c r="E1106">
        <v>10800</v>
      </c>
      <c r="F1106" t="s">
        <v>32</v>
      </c>
      <c r="G1106" t="s">
        <v>28</v>
      </c>
      <c r="H1106" t="s">
        <v>33</v>
      </c>
      <c r="I1106" t="s">
        <v>34</v>
      </c>
      <c r="J1106" t="s">
        <v>35</v>
      </c>
      <c r="K1106">
        <v>0.1</v>
      </c>
    </row>
    <row r="1107" spans="1:11" x14ac:dyDescent="0.25">
      <c r="A1107" t="s">
        <v>1145</v>
      </c>
      <c r="B1107" s="1">
        <v>45619</v>
      </c>
      <c r="C1107" t="s">
        <v>31</v>
      </c>
      <c r="D1107" t="s">
        <v>27</v>
      </c>
      <c r="E1107">
        <v>10800</v>
      </c>
      <c r="F1107" t="s">
        <v>49</v>
      </c>
      <c r="G1107" t="s">
        <v>24</v>
      </c>
      <c r="H1107" t="s">
        <v>16</v>
      </c>
      <c r="I1107" t="s">
        <v>17</v>
      </c>
      <c r="J1107" t="s">
        <v>18</v>
      </c>
      <c r="K1107">
        <v>0.1</v>
      </c>
    </row>
    <row r="1108" spans="1:11" x14ac:dyDescent="0.25">
      <c r="A1108" t="s">
        <v>1146</v>
      </c>
      <c r="B1108" s="1">
        <v>45499</v>
      </c>
      <c r="C1108" t="s">
        <v>20</v>
      </c>
      <c r="D1108" t="s">
        <v>13</v>
      </c>
      <c r="E1108">
        <v>500</v>
      </c>
      <c r="F1108" t="s">
        <v>14</v>
      </c>
      <c r="G1108" t="s">
        <v>24</v>
      </c>
      <c r="H1108" t="s">
        <v>16</v>
      </c>
      <c r="I1108" t="s">
        <v>17</v>
      </c>
      <c r="J1108" t="s">
        <v>37</v>
      </c>
      <c r="K1108">
        <v>0</v>
      </c>
    </row>
    <row r="1109" spans="1:11" x14ac:dyDescent="0.25">
      <c r="A1109" t="s">
        <v>1147</v>
      </c>
      <c r="B1109" s="1">
        <v>45339</v>
      </c>
      <c r="C1109" t="s">
        <v>31</v>
      </c>
      <c r="D1109" t="s">
        <v>13</v>
      </c>
      <c r="E1109">
        <v>1000</v>
      </c>
      <c r="F1109" t="s">
        <v>21</v>
      </c>
      <c r="G1109" t="s">
        <v>24</v>
      </c>
      <c r="H1109" t="s">
        <v>16</v>
      </c>
      <c r="I1109" t="s">
        <v>17</v>
      </c>
      <c r="J1109" t="s">
        <v>29</v>
      </c>
      <c r="K1109">
        <v>0</v>
      </c>
    </row>
    <row r="1110" spans="1:11" x14ac:dyDescent="0.25">
      <c r="A1110" t="s">
        <v>1148</v>
      </c>
      <c r="B1110" s="1">
        <v>44964</v>
      </c>
      <c r="C1110" t="s">
        <v>12</v>
      </c>
      <c r="D1110" t="s">
        <v>27</v>
      </c>
      <c r="E1110">
        <v>16200</v>
      </c>
      <c r="F1110" t="s">
        <v>14</v>
      </c>
      <c r="G1110" t="s">
        <v>28</v>
      </c>
      <c r="H1110" t="s">
        <v>33</v>
      </c>
      <c r="I1110" t="s">
        <v>34</v>
      </c>
      <c r="J1110" t="s">
        <v>22</v>
      </c>
      <c r="K1110">
        <v>0.1</v>
      </c>
    </row>
    <row r="1111" spans="1:11" x14ac:dyDescent="0.25">
      <c r="A1111" t="s">
        <v>1149</v>
      </c>
      <c r="B1111" s="1">
        <v>45418</v>
      </c>
      <c r="C1111" t="s">
        <v>31</v>
      </c>
      <c r="D1111" t="s">
        <v>13</v>
      </c>
      <c r="E1111">
        <v>1000</v>
      </c>
      <c r="F1111" t="s">
        <v>21</v>
      </c>
      <c r="G1111" t="s">
        <v>15</v>
      </c>
      <c r="H1111" t="s">
        <v>33</v>
      </c>
      <c r="I1111" t="s">
        <v>34</v>
      </c>
      <c r="J1111" t="s">
        <v>18</v>
      </c>
      <c r="K1111">
        <v>0</v>
      </c>
    </row>
    <row r="1112" spans="1:11" x14ac:dyDescent="0.25">
      <c r="A1112" t="s">
        <v>1150</v>
      </c>
      <c r="B1112" s="1">
        <v>45547</v>
      </c>
      <c r="C1112" t="s">
        <v>12</v>
      </c>
      <c r="D1112" t="s">
        <v>13</v>
      </c>
      <c r="E1112">
        <v>1500</v>
      </c>
      <c r="F1112" t="s">
        <v>21</v>
      </c>
      <c r="G1112" t="s">
        <v>15</v>
      </c>
      <c r="H1112" t="s">
        <v>33</v>
      </c>
      <c r="I1112" t="s">
        <v>34</v>
      </c>
      <c r="J1112" t="s">
        <v>29</v>
      </c>
      <c r="K1112">
        <v>0</v>
      </c>
    </row>
    <row r="1113" spans="1:11" x14ac:dyDescent="0.25">
      <c r="A1113" t="s">
        <v>1151</v>
      </c>
      <c r="B1113" s="1">
        <v>45427</v>
      </c>
      <c r="C1113" t="s">
        <v>12</v>
      </c>
      <c r="D1113" t="s">
        <v>13</v>
      </c>
      <c r="E1113">
        <v>1500</v>
      </c>
      <c r="F1113" t="s">
        <v>32</v>
      </c>
      <c r="G1113" t="s">
        <v>28</v>
      </c>
      <c r="H1113" t="s">
        <v>16</v>
      </c>
      <c r="I1113" t="s">
        <v>17</v>
      </c>
      <c r="J1113" t="s">
        <v>39</v>
      </c>
      <c r="K1113">
        <v>0</v>
      </c>
    </row>
    <row r="1114" spans="1:11" x14ac:dyDescent="0.25">
      <c r="A1114" t="s">
        <v>1152</v>
      </c>
      <c r="B1114" s="1">
        <v>45424</v>
      </c>
      <c r="C1114" t="s">
        <v>20</v>
      </c>
      <c r="D1114" t="s">
        <v>13</v>
      </c>
      <c r="E1114">
        <v>500</v>
      </c>
      <c r="F1114" t="s">
        <v>14</v>
      </c>
      <c r="G1114" t="s">
        <v>24</v>
      </c>
      <c r="H1114" t="s">
        <v>33</v>
      </c>
      <c r="I1114" t="s">
        <v>34</v>
      </c>
      <c r="J1114" t="s">
        <v>37</v>
      </c>
      <c r="K1114">
        <v>0</v>
      </c>
    </row>
    <row r="1115" spans="1:11" x14ac:dyDescent="0.25">
      <c r="A1115" t="s">
        <v>1153</v>
      </c>
      <c r="B1115" s="1">
        <v>45279</v>
      </c>
      <c r="C1115" t="s">
        <v>12</v>
      </c>
      <c r="D1115" t="s">
        <v>13</v>
      </c>
      <c r="E1115">
        <v>1500</v>
      </c>
      <c r="F1115" t="s">
        <v>14</v>
      </c>
      <c r="G1115" t="s">
        <v>15</v>
      </c>
      <c r="H1115" t="s">
        <v>33</v>
      </c>
      <c r="I1115" t="s">
        <v>34</v>
      </c>
      <c r="J1115" t="s">
        <v>55</v>
      </c>
      <c r="K1115">
        <v>0</v>
      </c>
    </row>
    <row r="1116" spans="1:11" x14ac:dyDescent="0.25">
      <c r="A1116" t="s">
        <v>1154</v>
      </c>
      <c r="B1116" s="1">
        <v>45004</v>
      </c>
      <c r="C1116" t="s">
        <v>12</v>
      </c>
      <c r="D1116" t="s">
        <v>13</v>
      </c>
      <c r="E1116">
        <v>1500</v>
      </c>
      <c r="F1116" t="s">
        <v>49</v>
      </c>
      <c r="G1116" t="s">
        <v>28</v>
      </c>
      <c r="H1116" t="s">
        <v>16</v>
      </c>
      <c r="I1116" t="s">
        <v>17</v>
      </c>
      <c r="J1116" t="s">
        <v>58</v>
      </c>
      <c r="K1116">
        <v>0</v>
      </c>
    </row>
    <row r="1117" spans="1:11" x14ac:dyDescent="0.25">
      <c r="A1117" t="s">
        <v>1155</v>
      </c>
      <c r="B1117" s="1">
        <v>45458</v>
      </c>
      <c r="C1117" t="s">
        <v>12</v>
      </c>
      <c r="D1117" t="s">
        <v>27</v>
      </c>
      <c r="E1117">
        <v>16200</v>
      </c>
      <c r="F1117" t="s">
        <v>14</v>
      </c>
      <c r="G1117" t="s">
        <v>28</v>
      </c>
      <c r="H1117" t="s">
        <v>33</v>
      </c>
      <c r="I1117" t="s">
        <v>34</v>
      </c>
      <c r="J1117" t="s">
        <v>41</v>
      </c>
      <c r="K1117">
        <v>0.1</v>
      </c>
    </row>
    <row r="1118" spans="1:11" x14ac:dyDescent="0.25">
      <c r="A1118" t="s">
        <v>1156</v>
      </c>
      <c r="B1118" s="1">
        <v>45558</v>
      </c>
      <c r="C1118" t="s">
        <v>20</v>
      </c>
      <c r="D1118" t="s">
        <v>13</v>
      </c>
      <c r="E1118">
        <v>500</v>
      </c>
      <c r="F1118" t="s">
        <v>32</v>
      </c>
      <c r="G1118" t="s">
        <v>15</v>
      </c>
      <c r="H1118" t="s">
        <v>33</v>
      </c>
      <c r="I1118" t="s">
        <v>34</v>
      </c>
      <c r="J1118" t="s">
        <v>39</v>
      </c>
      <c r="K1118">
        <v>0</v>
      </c>
    </row>
    <row r="1119" spans="1:11" x14ac:dyDescent="0.25">
      <c r="A1119" t="s">
        <v>1157</v>
      </c>
      <c r="B1119" s="1">
        <v>45211</v>
      </c>
      <c r="C1119" t="s">
        <v>31</v>
      </c>
      <c r="D1119" t="s">
        <v>13</v>
      </c>
      <c r="E1119">
        <v>1000</v>
      </c>
      <c r="F1119" t="s">
        <v>21</v>
      </c>
      <c r="G1119" t="s">
        <v>15</v>
      </c>
      <c r="H1119" t="s">
        <v>16</v>
      </c>
      <c r="I1119" t="s">
        <v>17</v>
      </c>
      <c r="J1119" t="s">
        <v>29</v>
      </c>
      <c r="K1119">
        <v>0</v>
      </c>
    </row>
    <row r="1120" spans="1:11" x14ac:dyDescent="0.25">
      <c r="A1120" t="s">
        <v>1158</v>
      </c>
      <c r="B1120" s="1">
        <v>45233</v>
      </c>
      <c r="C1120" t="s">
        <v>31</v>
      </c>
      <c r="D1120" t="s">
        <v>13</v>
      </c>
      <c r="E1120">
        <v>1000</v>
      </c>
      <c r="F1120" t="s">
        <v>14</v>
      </c>
      <c r="G1120" t="s">
        <v>15</v>
      </c>
      <c r="H1120" t="s">
        <v>16</v>
      </c>
      <c r="I1120" t="s">
        <v>17</v>
      </c>
      <c r="J1120" t="s">
        <v>55</v>
      </c>
      <c r="K1120">
        <v>0</v>
      </c>
    </row>
    <row r="1121" spans="1:11" x14ac:dyDescent="0.25">
      <c r="A1121" t="s">
        <v>1159</v>
      </c>
      <c r="B1121" s="1">
        <v>45030</v>
      </c>
      <c r="C1121" t="s">
        <v>20</v>
      </c>
      <c r="D1121" t="s">
        <v>27</v>
      </c>
      <c r="E1121">
        <v>5400</v>
      </c>
      <c r="F1121" t="s">
        <v>21</v>
      </c>
      <c r="G1121" t="s">
        <v>28</v>
      </c>
      <c r="H1121" t="s">
        <v>16</v>
      </c>
      <c r="I1121" t="s">
        <v>17</v>
      </c>
      <c r="J1121" t="s">
        <v>18</v>
      </c>
      <c r="K1121">
        <v>0.1</v>
      </c>
    </row>
    <row r="1122" spans="1:11" x14ac:dyDescent="0.25">
      <c r="A1122" t="s">
        <v>1160</v>
      </c>
      <c r="B1122" s="1">
        <v>45079</v>
      </c>
      <c r="C1122" t="s">
        <v>20</v>
      </c>
      <c r="D1122" t="s">
        <v>27</v>
      </c>
      <c r="E1122">
        <v>5400</v>
      </c>
      <c r="F1122" t="s">
        <v>32</v>
      </c>
      <c r="G1122" t="s">
        <v>24</v>
      </c>
      <c r="H1122" t="s">
        <v>16</v>
      </c>
      <c r="I1122" t="s">
        <v>17</v>
      </c>
      <c r="J1122" t="s">
        <v>25</v>
      </c>
      <c r="K1122">
        <v>0.1</v>
      </c>
    </row>
    <row r="1123" spans="1:11" x14ac:dyDescent="0.25">
      <c r="A1123" t="s">
        <v>1161</v>
      </c>
      <c r="B1123" s="1">
        <v>45143</v>
      </c>
      <c r="C1123" t="s">
        <v>31</v>
      </c>
      <c r="D1123" t="s">
        <v>27</v>
      </c>
      <c r="E1123">
        <v>10800</v>
      </c>
      <c r="F1123" t="s">
        <v>21</v>
      </c>
      <c r="G1123" t="s">
        <v>28</v>
      </c>
      <c r="H1123" t="s">
        <v>16</v>
      </c>
      <c r="I1123" t="s">
        <v>17</v>
      </c>
      <c r="J1123" t="s">
        <v>25</v>
      </c>
      <c r="K1123">
        <v>0.1</v>
      </c>
    </row>
    <row r="1124" spans="1:11" x14ac:dyDescent="0.25">
      <c r="A1124" t="s">
        <v>1162</v>
      </c>
      <c r="B1124" s="1">
        <v>45220</v>
      </c>
      <c r="C1124" t="s">
        <v>20</v>
      </c>
      <c r="D1124" t="s">
        <v>27</v>
      </c>
      <c r="E1124">
        <v>5400</v>
      </c>
      <c r="F1124" t="s">
        <v>21</v>
      </c>
      <c r="G1124" t="s">
        <v>24</v>
      </c>
      <c r="H1124" t="s">
        <v>16</v>
      </c>
      <c r="I1124" t="s">
        <v>17</v>
      </c>
      <c r="J1124" t="s">
        <v>22</v>
      </c>
      <c r="K1124">
        <v>0.1</v>
      </c>
    </row>
    <row r="1125" spans="1:11" x14ac:dyDescent="0.25">
      <c r="A1125" t="s">
        <v>1163</v>
      </c>
      <c r="B1125" s="1">
        <v>45278</v>
      </c>
      <c r="C1125" t="s">
        <v>12</v>
      </c>
      <c r="D1125" t="s">
        <v>13</v>
      </c>
      <c r="E1125">
        <v>1500</v>
      </c>
      <c r="F1125" t="s">
        <v>21</v>
      </c>
      <c r="G1125" t="s">
        <v>24</v>
      </c>
      <c r="H1125" t="s">
        <v>33</v>
      </c>
      <c r="I1125" t="s">
        <v>34</v>
      </c>
      <c r="J1125" t="s">
        <v>29</v>
      </c>
      <c r="K1125">
        <v>0</v>
      </c>
    </row>
    <row r="1126" spans="1:11" x14ac:dyDescent="0.25">
      <c r="A1126" t="s">
        <v>1164</v>
      </c>
      <c r="B1126" s="1">
        <v>45648</v>
      </c>
      <c r="C1126" t="s">
        <v>31</v>
      </c>
      <c r="D1126" t="s">
        <v>13</v>
      </c>
      <c r="E1126">
        <v>1000</v>
      </c>
      <c r="F1126" t="s">
        <v>14</v>
      </c>
      <c r="G1126" t="s">
        <v>28</v>
      </c>
      <c r="H1126" t="s">
        <v>16</v>
      </c>
      <c r="I1126" t="s">
        <v>17</v>
      </c>
      <c r="J1126" t="s">
        <v>37</v>
      </c>
      <c r="K1126">
        <v>0</v>
      </c>
    </row>
    <row r="1127" spans="1:11" x14ac:dyDescent="0.25">
      <c r="A1127" t="s">
        <v>1165</v>
      </c>
      <c r="B1127" s="1">
        <v>45459</v>
      </c>
      <c r="C1127" t="s">
        <v>12</v>
      </c>
      <c r="D1127" t="s">
        <v>13</v>
      </c>
      <c r="E1127">
        <v>1500</v>
      </c>
      <c r="F1127" t="s">
        <v>14</v>
      </c>
      <c r="G1127" t="s">
        <v>15</v>
      </c>
      <c r="H1127" t="s">
        <v>33</v>
      </c>
      <c r="I1127" t="s">
        <v>34</v>
      </c>
      <c r="J1127" t="s">
        <v>37</v>
      </c>
      <c r="K1127">
        <v>0</v>
      </c>
    </row>
    <row r="1128" spans="1:11" x14ac:dyDescent="0.25">
      <c r="A1128" t="s">
        <v>1166</v>
      </c>
      <c r="B1128" s="1">
        <v>45488</v>
      </c>
      <c r="C1128" t="s">
        <v>31</v>
      </c>
      <c r="D1128" t="s">
        <v>27</v>
      </c>
      <c r="E1128">
        <v>10800</v>
      </c>
      <c r="F1128" t="s">
        <v>14</v>
      </c>
      <c r="G1128" t="s">
        <v>15</v>
      </c>
      <c r="H1128" t="s">
        <v>16</v>
      </c>
      <c r="I1128" t="s">
        <v>17</v>
      </c>
      <c r="J1128" t="s">
        <v>41</v>
      </c>
      <c r="K1128">
        <v>0.1</v>
      </c>
    </row>
    <row r="1129" spans="1:11" x14ac:dyDescent="0.25">
      <c r="A1129" t="s">
        <v>1167</v>
      </c>
      <c r="B1129" s="1">
        <v>45415</v>
      </c>
      <c r="C1129" t="s">
        <v>31</v>
      </c>
      <c r="D1129" t="s">
        <v>13</v>
      </c>
      <c r="E1129">
        <v>1000</v>
      </c>
      <c r="F1129" t="s">
        <v>32</v>
      </c>
      <c r="G1129" t="s">
        <v>24</v>
      </c>
      <c r="H1129" t="s">
        <v>33</v>
      </c>
      <c r="I1129" t="s">
        <v>34</v>
      </c>
      <c r="J1129" t="s">
        <v>25</v>
      </c>
      <c r="K1129">
        <v>0</v>
      </c>
    </row>
    <row r="1130" spans="1:11" x14ac:dyDescent="0.25">
      <c r="A1130" t="s">
        <v>1168</v>
      </c>
      <c r="B1130" s="1">
        <v>45024</v>
      </c>
      <c r="C1130" t="s">
        <v>20</v>
      </c>
      <c r="D1130" t="s">
        <v>13</v>
      </c>
      <c r="E1130">
        <v>500</v>
      </c>
      <c r="F1130" t="s">
        <v>32</v>
      </c>
      <c r="G1130" t="s">
        <v>24</v>
      </c>
      <c r="H1130" t="s">
        <v>33</v>
      </c>
      <c r="I1130" t="s">
        <v>34</v>
      </c>
      <c r="J1130" t="s">
        <v>39</v>
      </c>
      <c r="K1130">
        <v>0</v>
      </c>
    </row>
    <row r="1131" spans="1:11" x14ac:dyDescent="0.25">
      <c r="A1131" t="s">
        <v>1169</v>
      </c>
      <c r="B1131" s="1">
        <v>45506</v>
      </c>
      <c r="C1131" t="s">
        <v>31</v>
      </c>
      <c r="D1131" t="s">
        <v>13</v>
      </c>
      <c r="E1131">
        <v>1000</v>
      </c>
      <c r="F1131" t="s">
        <v>21</v>
      </c>
      <c r="G1131" t="s">
        <v>15</v>
      </c>
      <c r="H1131" t="s">
        <v>33</v>
      </c>
      <c r="I1131" t="s">
        <v>34</v>
      </c>
      <c r="J1131" t="s">
        <v>18</v>
      </c>
      <c r="K1131">
        <v>0</v>
      </c>
    </row>
    <row r="1132" spans="1:11" x14ac:dyDescent="0.25">
      <c r="A1132" t="s">
        <v>1170</v>
      </c>
      <c r="B1132" s="1">
        <v>45318</v>
      </c>
      <c r="C1132" t="s">
        <v>20</v>
      </c>
      <c r="D1132" t="s">
        <v>13</v>
      </c>
      <c r="E1132">
        <v>500</v>
      </c>
      <c r="F1132" t="s">
        <v>21</v>
      </c>
      <c r="G1132" t="s">
        <v>24</v>
      </c>
      <c r="H1132" t="s">
        <v>33</v>
      </c>
      <c r="I1132" t="s">
        <v>34</v>
      </c>
      <c r="J1132" t="s">
        <v>25</v>
      </c>
      <c r="K1132">
        <v>0</v>
      </c>
    </row>
    <row r="1133" spans="1:11" x14ac:dyDescent="0.25">
      <c r="A1133" t="s">
        <v>1171</v>
      </c>
      <c r="B1133" s="1">
        <v>45557</v>
      </c>
      <c r="C1133" t="s">
        <v>12</v>
      </c>
      <c r="D1133" t="s">
        <v>27</v>
      </c>
      <c r="E1133">
        <v>16200</v>
      </c>
      <c r="F1133" t="s">
        <v>14</v>
      </c>
      <c r="G1133" t="s">
        <v>28</v>
      </c>
      <c r="H1133" t="s">
        <v>33</v>
      </c>
      <c r="I1133" t="s">
        <v>34</v>
      </c>
      <c r="J1133" t="s">
        <v>18</v>
      </c>
      <c r="K1133">
        <v>0.1</v>
      </c>
    </row>
    <row r="1134" spans="1:11" x14ac:dyDescent="0.25">
      <c r="A1134" t="s">
        <v>1172</v>
      </c>
      <c r="B1134" s="1">
        <v>45189</v>
      </c>
      <c r="C1134" t="s">
        <v>20</v>
      </c>
      <c r="D1134" t="s">
        <v>13</v>
      </c>
      <c r="E1134">
        <v>500</v>
      </c>
      <c r="F1134" t="s">
        <v>49</v>
      </c>
      <c r="G1134" t="s">
        <v>24</v>
      </c>
      <c r="H1134" t="s">
        <v>16</v>
      </c>
      <c r="I1134" t="s">
        <v>17</v>
      </c>
      <c r="J1134" t="s">
        <v>25</v>
      </c>
      <c r="K1134">
        <v>0</v>
      </c>
    </row>
    <row r="1135" spans="1:11" x14ac:dyDescent="0.25">
      <c r="A1135" t="s">
        <v>1173</v>
      </c>
      <c r="B1135" s="1">
        <v>45272</v>
      </c>
      <c r="C1135" t="s">
        <v>20</v>
      </c>
      <c r="D1135" t="s">
        <v>27</v>
      </c>
      <c r="E1135">
        <v>5400</v>
      </c>
      <c r="F1135" t="s">
        <v>14</v>
      </c>
      <c r="G1135" t="s">
        <v>28</v>
      </c>
      <c r="H1135" t="s">
        <v>33</v>
      </c>
      <c r="I1135" t="s">
        <v>34</v>
      </c>
      <c r="J1135" t="s">
        <v>37</v>
      </c>
      <c r="K1135">
        <v>0.1</v>
      </c>
    </row>
    <row r="1136" spans="1:11" x14ac:dyDescent="0.25">
      <c r="A1136" t="s">
        <v>1174</v>
      </c>
      <c r="B1136" s="1">
        <v>45280</v>
      </c>
      <c r="C1136" t="s">
        <v>31</v>
      </c>
      <c r="D1136" t="s">
        <v>27</v>
      </c>
      <c r="E1136">
        <v>10800</v>
      </c>
      <c r="F1136" t="s">
        <v>21</v>
      </c>
      <c r="G1136" t="s">
        <v>24</v>
      </c>
      <c r="H1136" t="s">
        <v>16</v>
      </c>
      <c r="I1136" t="s">
        <v>17</v>
      </c>
      <c r="J1136" t="s">
        <v>18</v>
      </c>
      <c r="K1136">
        <v>0.1</v>
      </c>
    </row>
    <row r="1137" spans="1:11" x14ac:dyDescent="0.25">
      <c r="A1137" t="s">
        <v>1175</v>
      </c>
      <c r="B1137" s="1">
        <v>45615</v>
      </c>
      <c r="C1137" t="s">
        <v>20</v>
      </c>
      <c r="D1137" t="s">
        <v>27</v>
      </c>
      <c r="E1137">
        <v>5400</v>
      </c>
      <c r="F1137" t="s">
        <v>49</v>
      </c>
      <c r="G1137" t="s">
        <v>24</v>
      </c>
      <c r="H1137" t="s">
        <v>33</v>
      </c>
      <c r="I1137" t="s">
        <v>34</v>
      </c>
      <c r="J1137" t="s">
        <v>25</v>
      </c>
      <c r="K1137">
        <v>0.1</v>
      </c>
    </row>
    <row r="1138" spans="1:11" x14ac:dyDescent="0.25">
      <c r="A1138" t="s">
        <v>1176</v>
      </c>
      <c r="B1138" s="1">
        <v>45120</v>
      </c>
      <c r="C1138" t="s">
        <v>20</v>
      </c>
      <c r="D1138" t="s">
        <v>13</v>
      </c>
      <c r="E1138">
        <v>500</v>
      </c>
      <c r="F1138" t="s">
        <v>21</v>
      </c>
      <c r="G1138" t="s">
        <v>24</v>
      </c>
      <c r="H1138" t="s">
        <v>16</v>
      </c>
      <c r="I1138" t="s">
        <v>17</v>
      </c>
      <c r="J1138" t="s">
        <v>18</v>
      </c>
      <c r="K1138">
        <v>0</v>
      </c>
    </row>
    <row r="1139" spans="1:11" x14ac:dyDescent="0.25">
      <c r="A1139" t="s">
        <v>1177</v>
      </c>
      <c r="B1139" s="1">
        <v>45483</v>
      </c>
      <c r="C1139" t="s">
        <v>31</v>
      </c>
      <c r="D1139" t="s">
        <v>27</v>
      </c>
      <c r="E1139">
        <v>10800</v>
      </c>
      <c r="F1139" t="s">
        <v>32</v>
      </c>
      <c r="G1139" t="s">
        <v>28</v>
      </c>
      <c r="H1139" t="s">
        <v>16</v>
      </c>
      <c r="I1139" t="s">
        <v>17</v>
      </c>
      <c r="J1139" t="s">
        <v>25</v>
      </c>
      <c r="K1139">
        <v>0.1</v>
      </c>
    </row>
    <row r="1140" spans="1:11" x14ac:dyDescent="0.25">
      <c r="A1140" t="s">
        <v>1178</v>
      </c>
      <c r="B1140" s="1">
        <v>45311</v>
      </c>
      <c r="C1140" t="s">
        <v>20</v>
      </c>
      <c r="D1140" t="s">
        <v>27</v>
      </c>
      <c r="E1140">
        <v>5400</v>
      </c>
      <c r="F1140" t="s">
        <v>14</v>
      </c>
      <c r="G1140" t="s">
        <v>24</v>
      </c>
      <c r="H1140" t="s">
        <v>16</v>
      </c>
      <c r="I1140" t="s">
        <v>17</v>
      </c>
      <c r="J1140" t="s">
        <v>41</v>
      </c>
      <c r="K1140">
        <v>0.1</v>
      </c>
    </row>
    <row r="1141" spans="1:11" x14ac:dyDescent="0.25">
      <c r="A1141" t="s">
        <v>1179</v>
      </c>
      <c r="B1141" s="1">
        <v>45354</v>
      </c>
      <c r="C1141" t="s">
        <v>12</v>
      </c>
      <c r="D1141" t="s">
        <v>27</v>
      </c>
      <c r="E1141">
        <v>16200</v>
      </c>
      <c r="F1141" t="s">
        <v>21</v>
      </c>
      <c r="G1141" t="s">
        <v>28</v>
      </c>
      <c r="H1141" t="s">
        <v>33</v>
      </c>
      <c r="I1141" t="s">
        <v>34</v>
      </c>
      <c r="J1141" t="s">
        <v>29</v>
      </c>
      <c r="K1141">
        <v>0.1</v>
      </c>
    </row>
    <row r="1142" spans="1:11" x14ac:dyDescent="0.25">
      <c r="A1142" t="s">
        <v>1180</v>
      </c>
      <c r="B1142" s="1">
        <v>45611</v>
      </c>
      <c r="C1142" t="s">
        <v>20</v>
      </c>
      <c r="D1142" t="s">
        <v>27</v>
      </c>
      <c r="E1142">
        <v>5400</v>
      </c>
      <c r="F1142" t="s">
        <v>21</v>
      </c>
      <c r="G1142" t="s">
        <v>24</v>
      </c>
      <c r="H1142" t="s">
        <v>16</v>
      </c>
      <c r="I1142" t="s">
        <v>17</v>
      </c>
      <c r="J1142" t="s">
        <v>18</v>
      </c>
      <c r="K1142">
        <v>0.1</v>
      </c>
    </row>
    <row r="1143" spans="1:11" x14ac:dyDescent="0.25">
      <c r="A1143" t="s">
        <v>1181</v>
      </c>
      <c r="B1143" s="1">
        <v>45037</v>
      </c>
      <c r="C1143" t="s">
        <v>20</v>
      </c>
      <c r="D1143" t="s">
        <v>27</v>
      </c>
      <c r="E1143">
        <v>5400</v>
      </c>
      <c r="F1143" t="s">
        <v>21</v>
      </c>
      <c r="G1143" t="s">
        <v>24</v>
      </c>
      <c r="H1143" t="s">
        <v>16</v>
      </c>
      <c r="I1143" t="s">
        <v>17</v>
      </c>
      <c r="J1143" t="s">
        <v>22</v>
      </c>
      <c r="K1143">
        <v>0.1</v>
      </c>
    </row>
    <row r="1144" spans="1:11" x14ac:dyDescent="0.25">
      <c r="A1144" t="s">
        <v>1182</v>
      </c>
      <c r="B1144" s="1">
        <v>45551</v>
      </c>
      <c r="C1144" t="s">
        <v>20</v>
      </c>
      <c r="D1144" t="s">
        <v>13</v>
      </c>
      <c r="E1144">
        <v>500</v>
      </c>
      <c r="F1144" t="s">
        <v>49</v>
      </c>
      <c r="G1144" t="s">
        <v>28</v>
      </c>
      <c r="H1144" t="s">
        <v>16</v>
      </c>
      <c r="I1144" t="s">
        <v>17</v>
      </c>
      <c r="J1144" t="s">
        <v>35</v>
      </c>
      <c r="K1144">
        <v>0</v>
      </c>
    </row>
    <row r="1145" spans="1:11" x14ac:dyDescent="0.25">
      <c r="A1145" t="s">
        <v>1183</v>
      </c>
      <c r="B1145" s="1">
        <v>45606</v>
      </c>
      <c r="C1145" t="s">
        <v>31</v>
      </c>
      <c r="D1145" t="s">
        <v>27</v>
      </c>
      <c r="E1145">
        <v>10800</v>
      </c>
      <c r="F1145" t="s">
        <v>49</v>
      </c>
      <c r="G1145" t="s">
        <v>15</v>
      </c>
      <c r="H1145" t="s">
        <v>33</v>
      </c>
      <c r="I1145" t="s">
        <v>34</v>
      </c>
      <c r="J1145" t="s">
        <v>35</v>
      </c>
      <c r="K1145">
        <v>0.1</v>
      </c>
    </row>
    <row r="1146" spans="1:11" x14ac:dyDescent="0.25">
      <c r="A1146" t="s">
        <v>1184</v>
      </c>
      <c r="B1146" s="1">
        <v>45283</v>
      </c>
      <c r="C1146" t="s">
        <v>12</v>
      </c>
      <c r="D1146" t="s">
        <v>13</v>
      </c>
      <c r="E1146">
        <v>1500</v>
      </c>
      <c r="F1146" t="s">
        <v>49</v>
      </c>
      <c r="G1146" t="s">
        <v>15</v>
      </c>
      <c r="H1146" t="s">
        <v>33</v>
      </c>
      <c r="I1146" t="s">
        <v>34</v>
      </c>
      <c r="J1146" t="s">
        <v>58</v>
      </c>
      <c r="K1146">
        <v>0</v>
      </c>
    </row>
    <row r="1147" spans="1:11" x14ac:dyDescent="0.25">
      <c r="A1147" t="s">
        <v>1185</v>
      </c>
      <c r="B1147" s="1">
        <v>45555</v>
      </c>
      <c r="C1147" t="s">
        <v>12</v>
      </c>
      <c r="D1147" t="s">
        <v>27</v>
      </c>
      <c r="E1147">
        <v>16200</v>
      </c>
      <c r="F1147" t="s">
        <v>21</v>
      </c>
      <c r="G1147" t="s">
        <v>24</v>
      </c>
      <c r="H1147" t="s">
        <v>33</v>
      </c>
      <c r="I1147" t="s">
        <v>34</v>
      </c>
      <c r="J1147" t="s">
        <v>29</v>
      </c>
      <c r="K1147">
        <v>0.1</v>
      </c>
    </row>
    <row r="1148" spans="1:11" x14ac:dyDescent="0.25">
      <c r="A1148" t="s">
        <v>1186</v>
      </c>
      <c r="B1148" s="1">
        <v>45354</v>
      </c>
      <c r="C1148" t="s">
        <v>12</v>
      </c>
      <c r="D1148" t="s">
        <v>27</v>
      </c>
      <c r="E1148">
        <v>16200</v>
      </c>
      <c r="F1148" t="s">
        <v>14</v>
      </c>
      <c r="G1148" t="s">
        <v>24</v>
      </c>
      <c r="H1148" t="s">
        <v>16</v>
      </c>
      <c r="I1148" t="s">
        <v>17</v>
      </c>
      <c r="J1148" t="s">
        <v>18</v>
      </c>
      <c r="K1148">
        <v>0.1</v>
      </c>
    </row>
    <row r="1149" spans="1:11" x14ac:dyDescent="0.25">
      <c r="A1149" t="s">
        <v>1187</v>
      </c>
      <c r="B1149" s="1">
        <v>45495</v>
      </c>
      <c r="C1149" t="s">
        <v>20</v>
      </c>
      <c r="D1149" t="s">
        <v>13</v>
      </c>
      <c r="E1149">
        <v>500</v>
      </c>
      <c r="F1149" t="s">
        <v>32</v>
      </c>
      <c r="G1149" t="s">
        <v>28</v>
      </c>
      <c r="H1149" t="s">
        <v>33</v>
      </c>
      <c r="I1149" t="s">
        <v>34</v>
      </c>
      <c r="J1149" t="s">
        <v>39</v>
      </c>
      <c r="K1149">
        <v>0</v>
      </c>
    </row>
    <row r="1150" spans="1:11" x14ac:dyDescent="0.25">
      <c r="A1150" t="s">
        <v>1188</v>
      </c>
      <c r="B1150" s="1">
        <v>45108</v>
      </c>
      <c r="C1150" t="s">
        <v>12</v>
      </c>
      <c r="D1150" t="s">
        <v>13</v>
      </c>
      <c r="E1150">
        <v>1500</v>
      </c>
      <c r="F1150" t="s">
        <v>49</v>
      </c>
      <c r="G1150" t="s">
        <v>15</v>
      </c>
      <c r="H1150" t="s">
        <v>33</v>
      </c>
      <c r="I1150" t="s">
        <v>34</v>
      </c>
      <c r="J1150" t="s">
        <v>50</v>
      </c>
      <c r="K1150">
        <v>0</v>
      </c>
    </row>
    <row r="1151" spans="1:11" x14ac:dyDescent="0.25">
      <c r="A1151" t="s">
        <v>1189</v>
      </c>
      <c r="B1151" s="1">
        <v>45121</v>
      </c>
      <c r="C1151" t="s">
        <v>12</v>
      </c>
      <c r="D1151" t="s">
        <v>13</v>
      </c>
      <c r="E1151">
        <v>1500</v>
      </c>
      <c r="F1151" t="s">
        <v>49</v>
      </c>
      <c r="G1151" t="s">
        <v>15</v>
      </c>
      <c r="H1151" t="s">
        <v>33</v>
      </c>
      <c r="I1151" t="s">
        <v>34</v>
      </c>
      <c r="J1151" t="s">
        <v>58</v>
      </c>
      <c r="K1151">
        <v>0</v>
      </c>
    </row>
    <row r="1152" spans="1:11" x14ac:dyDescent="0.25">
      <c r="A1152" t="s">
        <v>1190</v>
      </c>
      <c r="B1152" s="1">
        <v>44985</v>
      </c>
      <c r="C1152" t="s">
        <v>31</v>
      </c>
      <c r="D1152" t="s">
        <v>13</v>
      </c>
      <c r="E1152">
        <v>1000</v>
      </c>
      <c r="F1152" t="s">
        <v>21</v>
      </c>
      <c r="G1152" t="s">
        <v>15</v>
      </c>
      <c r="H1152" t="s">
        <v>16</v>
      </c>
      <c r="I1152" t="s">
        <v>17</v>
      </c>
      <c r="J1152" t="s">
        <v>25</v>
      </c>
      <c r="K1152">
        <v>0</v>
      </c>
    </row>
    <row r="1153" spans="1:11" x14ac:dyDescent="0.25">
      <c r="A1153" t="s">
        <v>1191</v>
      </c>
      <c r="B1153" s="1">
        <v>45173</v>
      </c>
      <c r="C1153" t="s">
        <v>20</v>
      </c>
      <c r="D1153" t="s">
        <v>27</v>
      </c>
      <c r="E1153">
        <v>5400</v>
      </c>
      <c r="F1153" t="s">
        <v>32</v>
      </c>
      <c r="G1153" t="s">
        <v>24</v>
      </c>
      <c r="H1153" t="s">
        <v>33</v>
      </c>
      <c r="I1153" t="s">
        <v>34</v>
      </c>
      <c r="J1153" t="s">
        <v>39</v>
      </c>
      <c r="K1153">
        <v>0.1</v>
      </c>
    </row>
    <row r="1154" spans="1:11" x14ac:dyDescent="0.25">
      <c r="A1154" t="s">
        <v>1192</v>
      </c>
      <c r="B1154" s="1">
        <v>45188</v>
      </c>
      <c r="C1154" t="s">
        <v>31</v>
      </c>
      <c r="D1154" t="s">
        <v>13</v>
      </c>
      <c r="E1154">
        <v>1000</v>
      </c>
      <c r="F1154" t="s">
        <v>49</v>
      </c>
      <c r="G1154" t="s">
        <v>24</v>
      </c>
      <c r="H1154" t="s">
        <v>16</v>
      </c>
      <c r="I1154" t="s">
        <v>17</v>
      </c>
      <c r="J1154" t="s">
        <v>22</v>
      </c>
      <c r="K1154">
        <v>0</v>
      </c>
    </row>
    <row r="1155" spans="1:11" x14ac:dyDescent="0.25">
      <c r="A1155" t="s">
        <v>1193</v>
      </c>
      <c r="B1155" s="1">
        <v>45015</v>
      </c>
      <c r="C1155" t="s">
        <v>12</v>
      </c>
      <c r="D1155" t="s">
        <v>13</v>
      </c>
      <c r="E1155">
        <v>1500</v>
      </c>
      <c r="F1155" t="s">
        <v>32</v>
      </c>
      <c r="G1155" t="s">
        <v>15</v>
      </c>
      <c r="H1155" t="s">
        <v>33</v>
      </c>
      <c r="I1155" t="s">
        <v>34</v>
      </c>
      <c r="J1155" t="s">
        <v>39</v>
      </c>
      <c r="K1155">
        <v>0</v>
      </c>
    </row>
    <row r="1156" spans="1:11" x14ac:dyDescent="0.25">
      <c r="A1156" t="s">
        <v>1194</v>
      </c>
      <c r="B1156" s="1">
        <v>45441</v>
      </c>
      <c r="C1156" t="s">
        <v>12</v>
      </c>
      <c r="D1156" t="s">
        <v>13</v>
      </c>
      <c r="E1156">
        <v>1500</v>
      </c>
      <c r="F1156" t="s">
        <v>49</v>
      </c>
      <c r="G1156" t="s">
        <v>28</v>
      </c>
      <c r="H1156" t="s">
        <v>16</v>
      </c>
      <c r="I1156" t="s">
        <v>17</v>
      </c>
      <c r="J1156" t="s">
        <v>58</v>
      </c>
      <c r="K1156">
        <v>0</v>
      </c>
    </row>
    <row r="1157" spans="1:11" x14ac:dyDescent="0.25">
      <c r="A1157" t="s">
        <v>1195</v>
      </c>
      <c r="B1157" s="1">
        <v>45656</v>
      </c>
      <c r="C1157" t="s">
        <v>31</v>
      </c>
      <c r="D1157" t="s">
        <v>27</v>
      </c>
      <c r="E1157">
        <v>10800</v>
      </c>
      <c r="F1157" t="s">
        <v>14</v>
      </c>
      <c r="G1157" t="s">
        <v>15</v>
      </c>
      <c r="H1157" t="s">
        <v>16</v>
      </c>
      <c r="I1157" t="s">
        <v>17</v>
      </c>
      <c r="J1157" t="s">
        <v>41</v>
      </c>
      <c r="K1157">
        <v>0.1</v>
      </c>
    </row>
    <row r="1158" spans="1:11" x14ac:dyDescent="0.25">
      <c r="A1158" t="s">
        <v>1196</v>
      </c>
      <c r="B1158" s="1">
        <v>45413</v>
      </c>
      <c r="C1158" t="s">
        <v>20</v>
      </c>
      <c r="D1158" t="s">
        <v>27</v>
      </c>
      <c r="E1158">
        <v>5400</v>
      </c>
      <c r="F1158" t="s">
        <v>32</v>
      </c>
      <c r="G1158" t="s">
        <v>15</v>
      </c>
      <c r="H1158" t="s">
        <v>33</v>
      </c>
      <c r="I1158" t="s">
        <v>34</v>
      </c>
      <c r="J1158" t="s">
        <v>44</v>
      </c>
      <c r="K1158">
        <v>0.1</v>
      </c>
    </row>
    <row r="1159" spans="1:11" x14ac:dyDescent="0.25">
      <c r="A1159" t="s">
        <v>1197</v>
      </c>
      <c r="B1159" s="1">
        <v>45077</v>
      </c>
      <c r="C1159" t="s">
        <v>12</v>
      </c>
      <c r="D1159" t="s">
        <v>13</v>
      </c>
      <c r="E1159">
        <v>1500</v>
      </c>
      <c r="F1159" t="s">
        <v>21</v>
      </c>
      <c r="G1159" t="s">
        <v>15</v>
      </c>
      <c r="H1159" t="s">
        <v>16</v>
      </c>
      <c r="I1159" t="s">
        <v>17</v>
      </c>
      <c r="J1159" t="s">
        <v>22</v>
      </c>
      <c r="K1159">
        <v>0</v>
      </c>
    </row>
    <row r="1160" spans="1:11" x14ac:dyDescent="0.25">
      <c r="A1160" t="s">
        <v>1198</v>
      </c>
      <c r="B1160" s="1">
        <v>45638</v>
      </c>
      <c r="C1160" t="s">
        <v>12</v>
      </c>
      <c r="D1160" t="s">
        <v>13</v>
      </c>
      <c r="E1160">
        <v>1500</v>
      </c>
      <c r="F1160" t="s">
        <v>49</v>
      </c>
      <c r="G1160" t="s">
        <v>24</v>
      </c>
      <c r="H1160" t="s">
        <v>16</v>
      </c>
      <c r="I1160" t="s">
        <v>17</v>
      </c>
      <c r="J1160" t="s">
        <v>18</v>
      </c>
      <c r="K1160">
        <v>0</v>
      </c>
    </row>
    <row r="1161" spans="1:11" x14ac:dyDescent="0.25">
      <c r="A1161" t="s">
        <v>1199</v>
      </c>
      <c r="B1161" s="1">
        <v>45514</v>
      </c>
      <c r="C1161" t="s">
        <v>20</v>
      </c>
      <c r="D1161" t="s">
        <v>13</v>
      </c>
      <c r="E1161">
        <v>500</v>
      </c>
      <c r="F1161" t="s">
        <v>32</v>
      </c>
      <c r="G1161" t="s">
        <v>28</v>
      </c>
      <c r="H1161" t="s">
        <v>16</v>
      </c>
      <c r="I1161" t="s">
        <v>17</v>
      </c>
      <c r="J1161" t="s">
        <v>25</v>
      </c>
      <c r="K1161">
        <v>0</v>
      </c>
    </row>
    <row r="1162" spans="1:11" x14ac:dyDescent="0.25">
      <c r="A1162" t="s">
        <v>1200</v>
      </c>
      <c r="B1162" s="1">
        <v>45397</v>
      </c>
      <c r="C1162" t="s">
        <v>31</v>
      </c>
      <c r="D1162" t="s">
        <v>27</v>
      </c>
      <c r="E1162">
        <v>10800</v>
      </c>
      <c r="F1162" t="s">
        <v>49</v>
      </c>
      <c r="G1162" t="s">
        <v>24</v>
      </c>
      <c r="H1162" t="s">
        <v>16</v>
      </c>
      <c r="I1162" t="s">
        <v>17</v>
      </c>
      <c r="J1162" t="s">
        <v>50</v>
      </c>
      <c r="K1162">
        <v>0.1</v>
      </c>
    </row>
    <row r="1163" spans="1:11" x14ac:dyDescent="0.25">
      <c r="A1163" t="s">
        <v>1201</v>
      </c>
      <c r="B1163" s="1">
        <v>45056</v>
      </c>
      <c r="C1163" t="s">
        <v>20</v>
      </c>
      <c r="D1163" t="s">
        <v>27</v>
      </c>
      <c r="E1163">
        <v>5400</v>
      </c>
      <c r="F1163" t="s">
        <v>49</v>
      </c>
      <c r="G1163" t="s">
        <v>28</v>
      </c>
      <c r="H1163" t="s">
        <v>16</v>
      </c>
      <c r="I1163" t="s">
        <v>17</v>
      </c>
      <c r="J1163" t="s">
        <v>50</v>
      </c>
      <c r="K1163">
        <v>0.1</v>
      </c>
    </row>
    <row r="1164" spans="1:11" x14ac:dyDescent="0.25">
      <c r="A1164" t="s">
        <v>1202</v>
      </c>
      <c r="B1164" s="1">
        <v>45458</v>
      </c>
      <c r="C1164" t="s">
        <v>12</v>
      </c>
      <c r="D1164" t="s">
        <v>13</v>
      </c>
      <c r="E1164">
        <v>1500</v>
      </c>
      <c r="F1164" t="s">
        <v>14</v>
      </c>
      <c r="G1164" t="s">
        <v>15</v>
      </c>
      <c r="H1164" t="s">
        <v>33</v>
      </c>
      <c r="I1164" t="s">
        <v>34</v>
      </c>
      <c r="J1164" t="s">
        <v>22</v>
      </c>
      <c r="K1164">
        <v>0</v>
      </c>
    </row>
    <row r="1165" spans="1:11" x14ac:dyDescent="0.25">
      <c r="A1165" t="s">
        <v>1203</v>
      </c>
      <c r="B1165" s="1">
        <v>45539</v>
      </c>
      <c r="C1165" t="s">
        <v>31</v>
      </c>
      <c r="D1165" t="s">
        <v>13</v>
      </c>
      <c r="E1165">
        <v>1000</v>
      </c>
      <c r="F1165" t="s">
        <v>21</v>
      </c>
      <c r="G1165" t="s">
        <v>28</v>
      </c>
      <c r="H1165" t="s">
        <v>16</v>
      </c>
      <c r="I1165" t="s">
        <v>17</v>
      </c>
      <c r="J1165" t="s">
        <v>25</v>
      </c>
      <c r="K1165">
        <v>0</v>
      </c>
    </row>
    <row r="1166" spans="1:11" x14ac:dyDescent="0.25">
      <c r="A1166" t="s">
        <v>1204</v>
      </c>
      <c r="B1166" s="1">
        <v>45221</v>
      </c>
      <c r="C1166" t="s">
        <v>31</v>
      </c>
      <c r="D1166" t="s">
        <v>13</v>
      </c>
      <c r="E1166">
        <v>1000</v>
      </c>
      <c r="F1166" t="s">
        <v>14</v>
      </c>
      <c r="G1166" t="s">
        <v>28</v>
      </c>
      <c r="H1166" t="s">
        <v>33</v>
      </c>
      <c r="I1166" t="s">
        <v>34</v>
      </c>
      <c r="J1166" t="s">
        <v>37</v>
      </c>
      <c r="K1166">
        <v>0</v>
      </c>
    </row>
    <row r="1167" spans="1:11" x14ac:dyDescent="0.25">
      <c r="A1167" t="s">
        <v>1205</v>
      </c>
      <c r="B1167" s="1">
        <v>45244</v>
      </c>
      <c r="C1167" t="s">
        <v>12</v>
      </c>
      <c r="D1167" t="s">
        <v>27</v>
      </c>
      <c r="E1167">
        <v>16200</v>
      </c>
      <c r="F1167" t="s">
        <v>14</v>
      </c>
      <c r="G1167" t="s">
        <v>28</v>
      </c>
      <c r="H1167" t="s">
        <v>33</v>
      </c>
      <c r="I1167" t="s">
        <v>34</v>
      </c>
      <c r="J1167" t="s">
        <v>18</v>
      </c>
      <c r="K1167">
        <v>0.1</v>
      </c>
    </row>
    <row r="1168" spans="1:11" x14ac:dyDescent="0.25">
      <c r="A1168" t="s">
        <v>1206</v>
      </c>
      <c r="B1168" s="1">
        <v>45373</v>
      </c>
      <c r="C1168" t="s">
        <v>31</v>
      </c>
      <c r="D1168" t="s">
        <v>13</v>
      </c>
      <c r="E1168">
        <v>1000</v>
      </c>
      <c r="F1168" t="s">
        <v>32</v>
      </c>
      <c r="G1168" t="s">
        <v>24</v>
      </c>
      <c r="H1168" t="s">
        <v>33</v>
      </c>
      <c r="I1168" t="s">
        <v>34</v>
      </c>
      <c r="J1168" t="s">
        <v>39</v>
      </c>
      <c r="K1168">
        <v>0</v>
      </c>
    </row>
    <row r="1169" spans="1:11" x14ac:dyDescent="0.25">
      <c r="A1169" t="s">
        <v>1207</v>
      </c>
      <c r="B1169" s="1">
        <v>45302</v>
      </c>
      <c r="C1169" t="s">
        <v>20</v>
      </c>
      <c r="D1169" t="s">
        <v>27</v>
      </c>
      <c r="E1169">
        <v>5400</v>
      </c>
      <c r="F1169" t="s">
        <v>32</v>
      </c>
      <c r="G1169" t="s">
        <v>24</v>
      </c>
      <c r="H1169" t="s">
        <v>33</v>
      </c>
      <c r="I1169" t="s">
        <v>34</v>
      </c>
      <c r="J1169" t="s">
        <v>66</v>
      </c>
      <c r="K1169">
        <v>0.1</v>
      </c>
    </row>
    <row r="1170" spans="1:11" x14ac:dyDescent="0.25">
      <c r="A1170" t="s">
        <v>1208</v>
      </c>
      <c r="B1170" s="1">
        <v>45347</v>
      </c>
      <c r="C1170" t="s">
        <v>20</v>
      </c>
      <c r="D1170" t="s">
        <v>27</v>
      </c>
      <c r="E1170">
        <v>5400</v>
      </c>
      <c r="F1170" t="s">
        <v>14</v>
      </c>
      <c r="G1170" t="s">
        <v>28</v>
      </c>
      <c r="H1170" t="s">
        <v>16</v>
      </c>
      <c r="I1170" t="s">
        <v>17</v>
      </c>
      <c r="J1170" t="s">
        <v>41</v>
      </c>
      <c r="K1170">
        <v>0.1</v>
      </c>
    </row>
    <row r="1171" spans="1:11" x14ac:dyDescent="0.25">
      <c r="A1171" t="s">
        <v>1209</v>
      </c>
      <c r="B1171" s="1">
        <v>45117</v>
      </c>
      <c r="C1171" t="s">
        <v>20</v>
      </c>
      <c r="D1171" t="s">
        <v>27</v>
      </c>
      <c r="E1171">
        <v>5400</v>
      </c>
      <c r="F1171" t="s">
        <v>21</v>
      </c>
      <c r="G1171" t="s">
        <v>15</v>
      </c>
      <c r="H1171" t="s">
        <v>16</v>
      </c>
      <c r="I1171" t="s">
        <v>17</v>
      </c>
      <c r="J1171" t="s">
        <v>22</v>
      </c>
      <c r="K1171">
        <v>0.1</v>
      </c>
    </row>
    <row r="1172" spans="1:11" x14ac:dyDescent="0.25">
      <c r="A1172" t="s">
        <v>1210</v>
      </c>
      <c r="B1172" s="1">
        <v>45475</v>
      </c>
      <c r="C1172" t="s">
        <v>31</v>
      </c>
      <c r="D1172" t="s">
        <v>27</v>
      </c>
      <c r="E1172">
        <v>10800</v>
      </c>
      <c r="F1172" t="s">
        <v>49</v>
      </c>
      <c r="G1172" t="s">
        <v>15</v>
      </c>
      <c r="H1172" t="s">
        <v>33</v>
      </c>
      <c r="I1172" t="s">
        <v>34</v>
      </c>
      <c r="J1172" t="s">
        <v>25</v>
      </c>
      <c r="K1172">
        <v>0.1</v>
      </c>
    </row>
    <row r="1173" spans="1:11" x14ac:dyDescent="0.25">
      <c r="A1173" t="s">
        <v>1211</v>
      </c>
      <c r="B1173" s="1">
        <v>45468</v>
      </c>
      <c r="C1173" t="s">
        <v>31</v>
      </c>
      <c r="D1173" t="s">
        <v>13</v>
      </c>
      <c r="E1173">
        <v>1000</v>
      </c>
      <c r="F1173" t="s">
        <v>14</v>
      </c>
      <c r="G1173" t="s">
        <v>15</v>
      </c>
      <c r="H1173" t="s">
        <v>16</v>
      </c>
      <c r="I1173" t="s">
        <v>17</v>
      </c>
      <c r="J1173" t="s">
        <v>37</v>
      </c>
      <c r="K1173">
        <v>0</v>
      </c>
    </row>
    <row r="1174" spans="1:11" x14ac:dyDescent="0.25">
      <c r="A1174" t="s">
        <v>1212</v>
      </c>
      <c r="B1174" s="1">
        <v>45560</v>
      </c>
      <c r="C1174" t="s">
        <v>12</v>
      </c>
      <c r="D1174" t="s">
        <v>13</v>
      </c>
      <c r="E1174">
        <v>1500</v>
      </c>
      <c r="F1174" t="s">
        <v>21</v>
      </c>
      <c r="G1174" t="s">
        <v>15</v>
      </c>
      <c r="H1174" t="s">
        <v>16</v>
      </c>
      <c r="I1174" t="s">
        <v>17</v>
      </c>
      <c r="J1174" t="s">
        <v>29</v>
      </c>
      <c r="K1174">
        <v>0</v>
      </c>
    </row>
    <row r="1175" spans="1:11" x14ac:dyDescent="0.25">
      <c r="A1175" t="s">
        <v>1213</v>
      </c>
      <c r="B1175" s="1">
        <v>45224</v>
      </c>
      <c r="C1175" t="s">
        <v>20</v>
      </c>
      <c r="D1175" t="s">
        <v>13</v>
      </c>
      <c r="E1175">
        <v>500</v>
      </c>
      <c r="F1175" t="s">
        <v>21</v>
      </c>
      <c r="G1175" t="s">
        <v>28</v>
      </c>
      <c r="H1175" t="s">
        <v>33</v>
      </c>
      <c r="I1175" t="s">
        <v>34</v>
      </c>
      <c r="J1175" t="s">
        <v>18</v>
      </c>
      <c r="K1175">
        <v>0</v>
      </c>
    </row>
    <row r="1176" spans="1:11" x14ac:dyDescent="0.25">
      <c r="A1176" t="s">
        <v>1214</v>
      </c>
      <c r="B1176" s="1">
        <v>45237</v>
      </c>
      <c r="C1176" t="s">
        <v>31</v>
      </c>
      <c r="D1176" t="s">
        <v>27</v>
      </c>
      <c r="E1176">
        <v>10800</v>
      </c>
      <c r="F1176" t="s">
        <v>21</v>
      </c>
      <c r="G1176" t="s">
        <v>28</v>
      </c>
      <c r="H1176" t="s">
        <v>33</v>
      </c>
      <c r="I1176" t="s">
        <v>34</v>
      </c>
      <c r="J1176" t="s">
        <v>18</v>
      </c>
      <c r="K1176">
        <v>0.1</v>
      </c>
    </row>
    <row r="1177" spans="1:11" x14ac:dyDescent="0.25">
      <c r="A1177" t="s">
        <v>1215</v>
      </c>
      <c r="B1177" s="1">
        <v>45206</v>
      </c>
      <c r="C1177" t="s">
        <v>20</v>
      </c>
      <c r="D1177" t="s">
        <v>27</v>
      </c>
      <c r="E1177">
        <v>5400</v>
      </c>
      <c r="F1177" t="s">
        <v>14</v>
      </c>
      <c r="G1177" t="s">
        <v>24</v>
      </c>
      <c r="H1177" t="s">
        <v>16</v>
      </c>
      <c r="I1177" t="s">
        <v>17</v>
      </c>
      <c r="J1177" t="s">
        <v>37</v>
      </c>
      <c r="K1177">
        <v>0.1</v>
      </c>
    </row>
    <row r="1178" spans="1:11" x14ac:dyDescent="0.25">
      <c r="A1178" t="s">
        <v>1216</v>
      </c>
      <c r="B1178" s="1">
        <v>45397</v>
      </c>
      <c r="C1178" t="s">
        <v>31</v>
      </c>
      <c r="D1178" t="s">
        <v>27</v>
      </c>
      <c r="E1178">
        <v>10800</v>
      </c>
      <c r="F1178" t="s">
        <v>14</v>
      </c>
      <c r="G1178" t="s">
        <v>24</v>
      </c>
      <c r="H1178" t="s">
        <v>16</v>
      </c>
      <c r="I1178" t="s">
        <v>17</v>
      </c>
      <c r="J1178" t="s">
        <v>37</v>
      </c>
      <c r="K1178">
        <v>0.1</v>
      </c>
    </row>
    <row r="1179" spans="1:11" x14ac:dyDescent="0.25">
      <c r="A1179" t="s">
        <v>1217</v>
      </c>
      <c r="B1179" s="1">
        <v>45267</v>
      </c>
      <c r="C1179" t="s">
        <v>12</v>
      </c>
      <c r="D1179" t="s">
        <v>27</v>
      </c>
      <c r="E1179">
        <v>16200</v>
      </c>
      <c r="F1179" t="s">
        <v>32</v>
      </c>
      <c r="G1179" t="s">
        <v>28</v>
      </c>
      <c r="H1179" t="s">
        <v>16</v>
      </c>
      <c r="I1179" t="s">
        <v>17</v>
      </c>
      <c r="J1179" t="s">
        <v>25</v>
      </c>
      <c r="K1179">
        <v>0.1</v>
      </c>
    </row>
    <row r="1180" spans="1:11" x14ac:dyDescent="0.25">
      <c r="A1180" t="s">
        <v>1218</v>
      </c>
      <c r="B1180" s="1">
        <v>45522</v>
      </c>
      <c r="C1180" t="s">
        <v>12</v>
      </c>
      <c r="D1180" t="s">
        <v>13</v>
      </c>
      <c r="E1180">
        <v>1500</v>
      </c>
      <c r="F1180" t="s">
        <v>32</v>
      </c>
      <c r="G1180" t="s">
        <v>28</v>
      </c>
      <c r="H1180" t="s">
        <v>16</v>
      </c>
      <c r="I1180" t="s">
        <v>17</v>
      </c>
      <c r="J1180" t="s">
        <v>25</v>
      </c>
      <c r="K1180">
        <v>0</v>
      </c>
    </row>
    <row r="1181" spans="1:11" x14ac:dyDescent="0.25">
      <c r="A1181" t="s">
        <v>1219</v>
      </c>
      <c r="B1181" s="1">
        <v>45084</v>
      </c>
      <c r="C1181" t="s">
        <v>12</v>
      </c>
      <c r="D1181" t="s">
        <v>13</v>
      </c>
      <c r="E1181">
        <v>1500</v>
      </c>
      <c r="F1181" t="s">
        <v>14</v>
      </c>
      <c r="G1181" t="s">
        <v>28</v>
      </c>
      <c r="H1181" t="s">
        <v>33</v>
      </c>
      <c r="I1181" t="s">
        <v>34</v>
      </c>
      <c r="J1181" t="s">
        <v>37</v>
      </c>
      <c r="K1181">
        <v>0</v>
      </c>
    </row>
    <row r="1182" spans="1:11" x14ac:dyDescent="0.25">
      <c r="A1182" t="s">
        <v>1220</v>
      </c>
      <c r="B1182" s="1">
        <v>45267</v>
      </c>
      <c r="C1182" t="s">
        <v>12</v>
      </c>
      <c r="D1182" t="s">
        <v>13</v>
      </c>
      <c r="E1182">
        <v>1500</v>
      </c>
      <c r="F1182" t="s">
        <v>32</v>
      </c>
      <c r="G1182" t="s">
        <v>15</v>
      </c>
      <c r="H1182" t="s">
        <v>16</v>
      </c>
      <c r="I1182" t="s">
        <v>17</v>
      </c>
      <c r="J1182" t="s">
        <v>66</v>
      </c>
      <c r="K1182">
        <v>0</v>
      </c>
    </row>
    <row r="1183" spans="1:11" x14ac:dyDescent="0.25">
      <c r="A1183" t="s">
        <v>1221</v>
      </c>
      <c r="B1183" s="1">
        <v>45478</v>
      </c>
      <c r="C1183" t="s">
        <v>20</v>
      </c>
      <c r="D1183" t="s">
        <v>13</v>
      </c>
      <c r="E1183">
        <v>500</v>
      </c>
      <c r="F1183" t="s">
        <v>14</v>
      </c>
      <c r="G1183" t="s">
        <v>24</v>
      </c>
      <c r="H1183" t="s">
        <v>16</v>
      </c>
      <c r="I1183" t="s">
        <v>17</v>
      </c>
      <c r="J1183" t="s">
        <v>55</v>
      </c>
      <c r="K1183">
        <v>0</v>
      </c>
    </row>
    <row r="1184" spans="1:11" x14ac:dyDescent="0.25">
      <c r="A1184" t="s">
        <v>1222</v>
      </c>
      <c r="B1184" s="1">
        <v>45186</v>
      </c>
      <c r="C1184" t="s">
        <v>12</v>
      </c>
      <c r="D1184" t="s">
        <v>13</v>
      </c>
      <c r="E1184">
        <v>1500</v>
      </c>
      <c r="F1184" t="s">
        <v>21</v>
      </c>
      <c r="G1184" t="s">
        <v>15</v>
      </c>
      <c r="H1184" t="s">
        <v>33</v>
      </c>
      <c r="I1184" t="s">
        <v>34</v>
      </c>
      <c r="J1184" t="s">
        <v>29</v>
      </c>
      <c r="K1184">
        <v>0</v>
      </c>
    </row>
    <row r="1185" spans="1:11" x14ac:dyDescent="0.25">
      <c r="A1185" t="s">
        <v>1223</v>
      </c>
      <c r="B1185" s="1">
        <v>45339</v>
      </c>
      <c r="C1185" t="s">
        <v>31</v>
      </c>
      <c r="D1185" t="s">
        <v>13</v>
      </c>
      <c r="E1185">
        <v>1000</v>
      </c>
      <c r="F1185" t="s">
        <v>32</v>
      </c>
      <c r="G1185" t="s">
        <v>28</v>
      </c>
      <c r="H1185" t="s">
        <v>33</v>
      </c>
      <c r="I1185" t="s">
        <v>34</v>
      </c>
      <c r="J1185" t="s">
        <v>66</v>
      </c>
      <c r="K1185">
        <v>0</v>
      </c>
    </row>
    <row r="1186" spans="1:11" x14ac:dyDescent="0.25">
      <c r="A1186" t="s">
        <v>1224</v>
      </c>
      <c r="B1186" s="1">
        <v>45189</v>
      </c>
      <c r="C1186" t="s">
        <v>20</v>
      </c>
      <c r="D1186" t="s">
        <v>13</v>
      </c>
      <c r="E1186">
        <v>500</v>
      </c>
      <c r="F1186" t="s">
        <v>32</v>
      </c>
      <c r="G1186" t="s">
        <v>28</v>
      </c>
      <c r="H1186" t="s">
        <v>33</v>
      </c>
      <c r="I1186" t="s">
        <v>34</v>
      </c>
      <c r="J1186" t="s">
        <v>25</v>
      </c>
      <c r="K1186">
        <v>0</v>
      </c>
    </row>
    <row r="1187" spans="1:11" x14ac:dyDescent="0.25">
      <c r="A1187" t="s">
        <v>1225</v>
      </c>
      <c r="B1187" s="1">
        <v>45271</v>
      </c>
      <c r="C1187" t="s">
        <v>20</v>
      </c>
      <c r="D1187" t="s">
        <v>13</v>
      </c>
      <c r="E1187">
        <v>500</v>
      </c>
      <c r="F1187" t="s">
        <v>21</v>
      </c>
      <c r="G1187" t="s">
        <v>15</v>
      </c>
      <c r="H1187" t="s">
        <v>33</v>
      </c>
      <c r="I1187" t="s">
        <v>34</v>
      </c>
      <c r="J1187" t="s">
        <v>25</v>
      </c>
      <c r="K1187">
        <v>0</v>
      </c>
    </row>
    <row r="1188" spans="1:11" x14ac:dyDescent="0.25">
      <c r="A1188" t="s">
        <v>1226</v>
      </c>
      <c r="B1188" s="1">
        <v>45283</v>
      </c>
      <c r="C1188" t="s">
        <v>31</v>
      </c>
      <c r="D1188" t="s">
        <v>13</v>
      </c>
      <c r="E1188">
        <v>1000</v>
      </c>
      <c r="F1188" t="s">
        <v>49</v>
      </c>
      <c r="G1188" t="s">
        <v>15</v>
      </c>
      <c r="H1188" t="s">
        <v>16</v>
      </c>
      <c r="I1188" t="s">
        <v>17</v>
      </c>
      <c r="J1188" t="s">
        <v>58</v>
      </c>
      <c r="K1188">
        <v>0</v>
      </c>
    </row>
    <row r="1189" spans="1:11" x14ac:dyDescent="0.25">
      <c r="A1189" t="s">
        <v>1227</v>
      </c>
      <c r="B1189" s="1">
        <v>45571</v>
      </c>
      <c r="C1189" t="s">
        <v>20</v>
      </c>
      <c r="D1189" t="s">
        <v>13</v>
      </c>
      <c r="E1189">
        <v>500</v>
      </c>
      <c r="F1189" t="s">
        <v>21</v>
      </c>
      <c r="G1189" t="s">
        <v>24</v>
      </c>
      <c r="H1189" t="s">
        <v>33</v>
      </c>
      <c r="I1189" t="s">
        <v>34</v>
      </c>
      <c r="J1189" t="s">
        <v>22</v>
      </c>
      <c r="K1189">
        <v>0</v>
      </c>
    </row>
    <row r="1190" spans="1:11" x14ac:dyDescent="0.25">
      <c r="A1190" t="s">
        <v>1228</v>
      </c>
      <c r="B1190" s="1">
        <v>45454</v>
      </c>
      <c r="C1190" t="s">
        <v>20</v>
      </c>
      <c r="D1190" t="s">
        <v>27</v>
      </c>
      <c r="E1190">
        <v>5400</v>
      </c>
      <c r="F1190" t="s">
        <v>14</v>
      </c>
      <c r="G1190" t="s">
        <v>28</v>
      </c>
      <c r="H1190" t="s">
        <v>33</v>
      </c>
      <c r="I1190" t="s">
        <v>34</v>
      </c>
      <c r="J1190" t="s">
        <v>55</v>
      </c>
      <c r="K1190">
        <v>0.1</v>
      </c>
    </row>
    <row r="1191" spans="1:11" x14ac:dyDescent="0.25">
      <c r="A1191" t="s">
        <v>1229</v>
      </c>
      <c r="B1191" s="1">
        <v>45496</v>
      </c>
      <c r="C1191" t="s">
        <v>12</v>
      </c>
      <c r="D1191" t="s">
        <v>27</v>
      </c>
      <c r="E1191">
        <v>16200</v>
      </c>
      <c r="F1191" t="s">
        <v>21</v>
      </c>
      <c r="G1191" t="s">
        <v>28</v>
      </c>
      <c r="H1191" t="s">
        <v>33</v>
      </c>
      <c r="I1191" t="s">
        <v>34</v>
      </c>
      <c r="J1191" t="s">
        <v>29</v>
      </c>
      <c r="K1191">
        <v>0.1</v>
      </c>
    </row>
    <row r="1192" spans="1:11" x14ac:dyDescent="0.25">
      <c r="A1192" t="s">
        <v>1230</v>
      </c>
      <c r="B1192" s="1">
        <v>45552</v>
      </c>
      <c r="C1192" t="s">
        <v>12</v>
      </c>
      <c r="D1192" t="s">
        <v>13</v>
      </c>
      <c r="E1192">
        <v>1500</v>
      </c>
      <c r="F1192" t="s">
        <v>14</v>
      </c>
      <c r="G1192" t="s">
        <v>15</v>
      </c>
      <c r="H1192" t="s">
        <v>16</v>
      </c>
      <c r="I1192" t="s">
        <v>17</v>
      </c>
      <c r="J1192" t="s">
        <v>55</v>
      </c>
      <c r="K1192">
        <v>0</v>
      </c>
    </row>
    <row r="1193" spans="1:11" x14ac:dyDescent="0.25">
      <c r="A1193" t="s">
        <v>1231</v>
      </c>
      <c r="B1193" s="1">
        <v>45220</v>
      </c>
      <c r="C1193" t="s">
        <v>20</v>
      </c>
      <c r="D1193" t="s">
        <v>13</v>
      </c>
      <c r="E1193">
        <v>500</v>
      </c>
      <c r="F1193" t="s">
        <v>49</v>
      </c>
      <c r="G1193" t="s">
        <v>28</v>
      </c>
      <c r="H1193" t="s">
        <v>33</v>
      </c>
      <c r="I1193" t="s">
        <v>34</v>
      </c>
      <c r="J1193" t="s">
        <v>25</v>
      </c>
      <c r="K1193">
        <v>0</v>
      </c>
    </row>
    <row r="1194" spans="1:11" x14ac:dyDescent="0.25">
      <c r="A1194" t="s">
        <v>1232</v>
      </c>
      <c r="B1194" s="1">
        <v>45605</v>
      </c>
      <c r="C1194" t="s">
        <v>31</v>
      </c>
      <c r="D1194" t="s">
        <v>27</v>
      </c>
      <c r="E1194">
        <v>10800</v>
      </c>
      <c r="F1194" t="s">
        <v>32</v>
      </c>
      <c r="G1194" t="s">
        <v>24</v>
      </c>
      <c r="H1194" t="s">
        <v>33</v>
      </c>
      <c r="I1194" t="s">
        <v>34</v>
      </c>
      <c r="J1194" t="s">
        <v>44</v>
      </c>
      <c r="K1194">
        <v>0.1</v>
      </c>
    </row>
    <row r="1195" spans="1:11" x14ac:dyDescent="0.25">
      <c r="A1195" t="s">
        <v>1233</v>
      </c>
      <c r="B1195" s="1">
        <v>45148</v>
      </c>
      <c r="C1195" t="s">
        <v>12</v>
      </c>
      <c r="D1195" t="s">
        <v>13</v>
      </c>
      <c r="E1195">
        <v>1500</v>
      </c>
      <c r="F1195" t="s">
        <v>49</v>
      </c>
      <c r="G1195" t="s">
        <v>15</v>
      </c>
      <c r="H1195" t="s">
        <v>16</v>
      </c>
      <c r="I1195" t="s">
        <v>17</v>
      </c>
      <c r="J1195" t="s">
        <v>25</v>
      </c>
      <c r="K1195">
        <v>0</v>
      </c>
    </row>
    <row r="1196" spans="1:11" x14ac:dyDescent="0.25">
      <c r="A1196" t="s">
        <v>1234</v>
      </c>
      <c r="B1196" s="1">
        <v>45650</v>
      </c>
      <c r="C1196" t="s">
        <v>31</v>
      </c>
      <c r="D1196" t="s">
        <v>27</v>
      </c>
      <c r="E1196">
        <v>10800</v>
      </c>
      <c r="F1196" t="s">
        <v>32</v>
      </c>
      <c r="G1196" t="s">
        <v>28</v>
      </c>
      <c r="H1196" t="s">
        <v>16</v>
      </c>
      <c r="I1196" t="s">
        <v>17</v>
      </c>
      <c r="J1196" t="s">
        <v>39</v>
      </c>
      <c r="K1196">
        <v>0.1</v>
      </c>
    </row>
    <row r="1197" spans="1:11" x14ac:dyDescent="0.25">
      <c r="A1197" t="s">
        <v>1235</v>
      </c>
      <c r="B1197" s="1">
        <v>45528</v>
      </c>
      <c r="C1197" t="s">
        <v>31</v>
      </c>
      <c r="D1197" t="s">
        <v>13</v>
      </c>
      <c r="E1197">
        <v>1000</v>
      </c>
      <c r="F1197" t="s">
        <v>21</v>
      </c>
      <c r="G1197" t="s">
        <v>24</v>
      </c>
      <c r="H1197" t="s">
        <v>33</v>
      </c>
      <c r="I1197" t="s">
        <v>34</v>
      </c>
      <c r="J1197" t="s">
        <v>29</v>
      </c>
      <c r="K1197">
        <v>0</v>
      </c>
    </row>
    <row r="1198" spans="1:11" x14ac:dyDescent="0.25">
      <c r="A1198" t="s">
        <v>1236</v>
      </c>
      <c r="B1198" s="1">
        <v>45583</v>
      </c>
      <c r="C1198" t="s">
        <v>31</v>
      </c>
      <c r="D1198" t="s">
        <v>27</v>
      </c>
      <c r="E1198">
        <v>10800</v>
      </c>
      <c r="F1198" t="s">
        <v>21</v>
      </c>
      <c r="G1198" t="s">
        <v>24</v>
      </c>
      <c r="H1198" t="s">
        <v>16</v>
      </c>
      <c r="I1198" t="s">
        <v>17</v>
      </c>
      <c r="J1198" t="s">
        <v>25</v>
      </c>
      <c r="K1198">
        <v>0.1</v>
      </c>
    </row>
    <row r="1199" spans="1:11" x14ac:dyDescent="0.25">
      <c r="A1199" t="s">
        <v>1237</v>
      </c>
      <c r="B1199" s="1">
        <v>45388</v>
      </c>
      <c r="C1199" t="s">
        <v>12</v>
      </c>
      <c r="D1199" t="s">
        <v>13</v>
      </c>
      <c r="E1199">
        <v>1500</v>
      </c>
      <c r="F1199" t="s">
        <v>14</v>
      </c>
      <c r="G1199" t="s">
        <v>24</v>
      </c>
      <c r="H1199" t="s">
        <v>33</v>
      </c>
      <c r="I1199" t="s">
        <v>34</v>
      </c>
      <c r="J1199" t="s">
        <v>55</v>
      </c>
      <c r="K1199">
        <v>0</v>
      </c>
    </row>
    <row r="1200" spans="1:11" x14ac:dyDescent="0.25">
      <c r="A1200" t="s">
        <v>1238</v>
      </c>
      <c r="B1200" s="1">
        <v>45604</v>
      </c>
      <c r="C1200" t="s">
        <v>31</v>
      </c>
      <c r="D1200" t="s">
        <v>27</v>
      </c>
      <c r="E1200">
        <v>10800</v>
      </c>
      <c r="F1200" t="s">
        <v>14</v>
      </c>
      <c r="G1200" t="s">
        <v>15</v>
      </c>
      <c r="H1200" t="s">
        <v>33</v>
      </c>
      <c r="I1200" t="s">
        <v>34</v>
      </c>
      <c r="J1200" t="s">
        <v>37</v>
      </c>
      <c r="K1200">
        <v>0.1</v>
      </c>
    </row>
    <row r="1201" spans="1:11" x14ac:dyDescent="0.25">
      <c r="A1201" t="s">
        <v>1239</v>
      </c>
      <c r="B1201" s="1">
        <v>45303</v>
      </c>
      <c r="C1201" t="s">
        <v>31</v>
      </c>
      <c r="D1201" t="s">
        <v>13</v>
      </c>
      <c r="E1201">
        <v>1000</v>
      </c>
      <c r="F1201" t="s">
        <v>21</v>
      </c>
      <c r="G1201" t="s">
        <v>28</v>
      </c>
      <c r="H1201" t="s">
        <v>33</v>
      </c>
      <c r="I1201" t="s">
        <v>34</v>
      </c>
      <c r="J1201" t="s">
        <v>29</v>
      </c>
      <c r="K1201">
        <v>0</v>
      </c>
    </row>
    <row r="1202" spans="1:11" x14ac:dyDescent="0.25">
      <c r="A1202" t="s">
        <v>1240</v>
      </c>
      <c r="B1202" s="1">
        <v>45512</v>
      </c>
      <c r="C1202" t="s">
        <v>31</v>
      </c>
      <c r="D1202" t="s">
        <v>27</v>
      </c>
      <c r="E1202">
        <v>10800</v>
      </c>
      <c r="F1202" t="s">
        <v>49</v>
      </c>
      <c r="G1202" t="s">
        <v>24</v>
      </c>
      <c r="H1202" t="s">
        <v>33</v>
      </c>
      <c r="I1202" t="s">
        <v>34</v>
      </c>
      <c r="J1202" t="s">
        <v>25</v>
      </c>
      <c r="K1202">
        <v>0.1</v>
      </c>
    </row>
    <row r="1203" spans="1:11" x14ac:dyDescent="0.25">
      <c r="A1203" t="s">
        <v>1241</v>
      </c>
      <c r="B1203" s="1">
        <v>45069</v>
      </c>
      <c r="C1203" t="s">
        <v>12</v>
      </c>
      <c r="D1203" t="s">
        <v>13</v>
      </c>
      <c r="E1203">
        <v>1500</v>
      </c>
      <c r="F1203" t="s">
        <v>21</v>
      </c>
      <c r="G1203" t="s">
        <v>15</v>
      </c>
      <c r="H1203" t="s">
        <v>33</v>
      </c>
      <c r="I1203" t="s">
        <v>34</v>
      </c>
      <c r="J1203" t="s">
        <v>29</v>
      </c>
      <c r="K1203">
        <v>0</v>
      </c>
    </row>
    <row r="1204" spans="1:11" x14ac:dyDescent="0.25">
      <c r="A1204" t="s">
        <v>1242</v>
      </c>
      <c r="B1204" s="1">
        <v>45116</v>
      </c>
      <c r="C1204" t="s">
        <v>20</v>
      </c>
      <c r="D1204" t="s">
        <v>27</v>
      </c>
      <c r="E1204">
        <v>5400</v>
      </c>
      <c r="F1204" t="s">
        <v>32</v>
      </c>
      <c r="G1204" t="s">
        <v>24</v>
      </c>
      <c r="H1204" t="s">
        <v>33</v>
      </c>
      <c r="I1204" t="s">
        <v>34</v>
      </c>
      <c r="J1204" t="s">
        <v>35</v>
      </c>
      <c r="K1204">
        <v>0.1</v>
      </c>
    </row>
    <row r="1205" spans="1:11" x14ac:dyDescent="0.25">
      <c r="A1205" t="s">
        <v>1243</v>
      </c>
      <c r="B1205" s="1">
        <v>45649</v>
      </c>
      <c r="C1205" t="s">
        <v>31</v>
      </c>
      <c r="D1205" t="s">
        <v>27</v>
      </c>
      <c r="E1205">
        <v>10800</v>
      </c>
      <c r="F1205" t="s">
        <v>32</v>
      </c>
      <c r="G1205" t="s">
        <v>28</v>
      </c>
      <c r="H1205" t="s">
        <v>33</v>
      </c>
      <c r="I1205" t="s">
        <v>34</v>
      </c>
      <c r="J1205" t="s">
        <v>25</v>
      </c>
      <c r="K1205">
        <v>0.1</v>
      </c>
    </row>
    <row r="1206" spans="1:11" x14ac:dyDescent="0.25">
      <c r="A1206" t="s">
        <v>1244</v>
      </c>
      <c r="B1206" s="1">
        <v>45217</v>
      </c>
      <c r="C1206" t="s">
        <v>31</v>
      </c>
      <c r="D1206" t="s">
        <v>27</v>
      </c>
      <c r="E1206">
        <v>10800</v>
      </c>
      <c r="F1206" t="s">
        <v>32</v>
      </c>
      <c r="G1206" t="s">
        <v>15</v>
      </c>
      <c r="H1206" t="s">
        <v>33</v>
      </c>
      <c r="I1206" t="s">
        <v>34</v>
      </c>
      <c r="J1206" t="s">
        <v>39</v>
      </c>
      <c r="K1206">
        <v>0.1</v>
      </c>
    </row>
    <row r="1207" spans="1:11" x14ac:dyDescent="0.25">
      <c r="A1207" t="s">
        <v>1245</v>
      </c>
      <c r="B1207" s="1">
        <v>45016</v>
      </c>
      <c r="C1207" t="s">
        <v>12</v>
      </c>
      <c r="D1207" t="s">
        <v>13</v>
      </c>
      <c r="E1207">
        <v>1500</v>
      </c>
      <c r="F1207" t="s">
        <v>49</v>
      </c>
      <c r="G1207" t="s">
        <v>24</v>
      </c>
      <c r="H1207" t="s">
        <v>33</v>
      </c>
      <c r="I1207" t="s">
        <v>34</v>
      </c>
      <c r="J1207" t="s">
        <v>22</v>
      </c>
      <c r="K1207">
        <v>0</v>
      </c>
    </row>
    <row r="1208" spans="1:11" x14ac:dyDescent="0.25">
      <c r="A1208" t="s">
        <v>1246</v>
      </c>
      <c r="B1208" s="1">
        <v>44945</v>
      </c>
      <c r="C1208" t="s">
        <v>31</v>
      </c>
      <c r="D1208" t="s">
        <v>27</v>
      </c>
      <c r="E1208">
        <v>10800</v>
      </c>
      <c r="F1208" t="s">
        <v>32</v>
      </c>
      <c r="G1208" t="s">
        <v>15</v>
      </c>
      <c r="H1208" t="s">
        <v>33</v>
      </c>
      <c r="I1208" t="s">
        <v>34</v>
      </c>
      <c r="J1208" t="s">
        <v>25</v>
      </c>
      <c r="K1208">
        <v>0.1</v>
      </c>
    </row>
    <row r="1209" spans="1:11" x14ac:dyDescent="0.25">
      <c r="A1209" t="s">
        <v>1247</v>
      </c>
      <c r="B1209" s="1">
        <v>45043</v>
      </c>
      <c r="C1209" t="s">
        <v>31</v>
      </c>
      <c r="D1209" t="s">
        <v>27</v>
      </c>
      <c r="E1209">
        <v>10800</v>
      </c>
      <c r="F1209" t="s">
        <v>49</v>
      </c>
      <c r="G1209" t="s">
        <v>28</v>
      </c>
      <c r="H1209" t="s">
        <v>33</v>
      </c>
      <c r="I1209" t="s">
        <v>34</v>
      </c>
      <c r="J1209" t="s">
        <v>22</v>
      </c>
      <c r="K1209">
        <v>0.1</v>
      </c>
    </row>
    <row r="1210" spans="1:11" x14ac:dyDescent="0.25">
      <c r="A1210" t="s">
        <v>1248</v>
      </c>
      <c r="B1210" s="1">
        <v>45633</v>
      </c>
      <c r="C1210" t="s">
        <v>31</v>
      </c>
      <c r="D1210" t="s">
        <v>13</v>
      </c>
      <c r="E1210">
        <v>1000</v>
      </c>
      <c r="F1210" t="s">
        <v>49</v>
      </c>
      <c r="G1210" t="s">
        <v>15</v>
      </c>
      <c r="H1210" t="s">
        <v>33</v>
      </c>
      <c r="I1210" t="s">
        <v>34</v>
      </c>
      <c r="J1210" t="s">
        <v>35</v>
      </c>
      <c r="K1210">
        <v>0</v>
      </c>
    </row>
    <row r="1211" spans="1:11" x14ac:dyDescent="0.25">
      <c r="A1211" t="s">
        <v>1249</v>
      </c>
      <c r="B1211" s="1">
        <v>45450</v>
      </c>
      <c r="C1211" t="s">
        <v>12</v>
      </c>
      <c r="D1211" t="s">
        <v>13</v>
      </c>
      <c r="E1211">
        <v>1500</v>
      </c>
      <c r="F1211" t="s">
        <v>14</v>
      </c>
      <c r="G1211" t="s">
        <v>28</v>
      </c>
      <c r="H1211" t="s">
        <v>33</v>
      </c>
      <c r="I1211" t="s">
        <v>34</v>
      </c>
      <c r="J1211" t="s">
        <v>22</v>
      </c>
      <c r="K1211">
        <v>0</v>
      </c>
    </row>
    <row r="1212" spans="1:11" x14ac:dyDescent="0.25">
      <c r="A1212" t="s">
        <v>1250</v>
      </c>
      <c r="B1212" s="1">
        <v>45249</v>
      </c>
      <c r="C1212" t="s">
        <v>31</v>
      </c>
      <c r="D1212" t="s">
        <v>27</v>
      </c>
      <c r="E1212">
        <v>10800</v>
      </c>
      <c r="F1212" t="s">
        <v>14</v>
      </c>
      <c r="G1212" t="s">
        <v>15</v>
      </c>
      <c r="H1212" t="s">
        <v>16</v>
      </c>
      <c r="I1212" t="s">
        <v>17</v>
      </c>
      <c r="J1212" t="s">
        <v>41</v>
      </c>
      <c r="K1212">
        <v>0.1</v>
      </c>
    </row>
    <row r="1213" spans="1:11" x14ac:dyDescent="0.25">
      <c r="A1213" t="s">
        <v>1251</v>
      </c>
      <c r="B1213" s="1">
        <v>45250</v>
      </c>
      <c r="C1213" t="s">
        <v>20</v>
      </c>
      <c r="D1213" t="s">
        <v>13</v>
      </c>
      <c r="E1213">
        <v>500</v>
      </c>
      <c r="F1213" t="s">
        <v>32</v>
      </c>
      <c r="G1213" t="s">
        <v>15</v>
      </c>
      <c r="H1213" t="s">
        <v>33</v>
      </c>
      <c r="I1213" t="s">
        <v>34</v>
      </c>
      <c r="J1213" t="s">
        <v>66</v>
      </c>
      <c r="K1213">
        <v>0</v>
      </c>
    </row>
    <row r="1214" spans="1:11" x14ac:dyDescent="0.25">
      <c r="A1214" t="s">
        <v>1252</v>
      </c>
      <c r="B1214" s="1">
        <v>45526</v>
      </c>
      <c r="C1214" t="s">
        <v>31</v>
      </c>
      <c r="D1214" t="s">
        <v>27</v>
      </c>
      <c r="E1214">
        <v>10800</v>
      </c>
      <c r="F1214" t="s">
        <v>21</v>
      </c>
      <c r="G1214" t="s">
        <v>28</v>
      </c>
      <c r="H1214" t="s">
        <v>16</v>
      </c>
      <c r="I1214" t="s">
        <v>17</v>
      </c>
      <c r="J1214" t="s">
        <v>25</v>
      </c>
      <c r="K1214">
        <v>0.1</v>
      </c>
    </row>
    <row r="1215" spans="1:11" x14ac:dyDescent="0.25">
      <c r="A1215" t="s">
        <v>1253</v>
      </c>
      <c r="B1215" s="1">
        <v>45312</v>
      </c>
      <c r="C1215" t="s">
        <v>31</v>
      </c>
      <c r="D1215" t="s">
        <v>27</v>
      </c>
      <c r="E1215">
        <v>10800</v>
      </c>
      <c r="F1215" t="s">
        <v>21</v>
      </c>
      <c r="G1215" t="s">
        <v>15</v>
      </c>
      <c r="H1215" t="s">
        <v>16</v>
      </c>
      <c r="I1215" t="s">
        <v>17</v>
      </c>
      <c r="J1215" t="s">
        <v>29</v>
      </c>
      <c r="K1215">
        <v>0.1</v>
      </c>
    </row>
    <row r="1216" spans="1:11" x14ac:dyDescent="0.25">
      <c r="A1216" t="s">
        <v>1254</v>
      </c>
      <c r="B1216" s="1">
        <v>45581</v>
      </c>
      <c r="C1216" t="s">
        <v>12</v>
      </c>
      <c r="D1216" t="s">
        <v>27</v>
      </c>
      <c r="E1216">
        <v>16200</v>
      </c>
      <c r="F1216" t="s">
        <v>14</v>
      </c>
      <c r="G1216" t="s">
        <v>15</v>
      </c>
      <c r="H1216" t="s">
        <v>33</v>
      </c>
      <c r="I1216" t="s">
        <v>34</v>
      </c>
      <c r="J1216" t="s">
        <v>41</v>
      </c>
      <c r="K1216">
        <v>0.1</v>
      </c>
    </row>
    <row r="1217" spans="1:11" x14ac:dyDescent="0.25">
      <c r="A1217" t="s">
        <v>1255</v>
      </c>
      <c r="B1217" s="1">
        <v>44972</v>
      </c>
      <c r="C1217" t="s">
        <v>20</v>
      </c>
      <c r="D1217" t="s">
        <v>27</v>
      </c>
      <c r="E1217">
        <v>5400</v>
      </c>
      <c r="F1217" t="s">
        <v>14</v>
      </c>
      <c r="G1217" t="s">
        <v>24</v>
      </c>
      <c r="H1217" t="s">
        <v>16</v>
      </c>
      <c r="I1217" t="s">
        <v>17</v>
      </c>
      <c r="J1217" t="s">
        <v>18</v>
      </c>
      <c r="K1217">
        <v>0.1</v>
      </c>
    </row>
    <row r="1218" spans="1:11" x14ac:dyDescent="0.25">
      <c r="A1218" t="s">
        <v>1256</v>
      </c>
      <c r="B1218" s="1">
        <v>44962</v>
      </c>
      <c r="C1218" t="s">
        <v>31</v>
      </c>
      <c r="D1218" t="s">
        <v>13</v>
      </c>
      <c r="E1218">
        <v>1000</v>
      </c>
      <c r="F1218" t="s">
        <v>32</v>
      </c>
      <c r="G1218" t="s">
        <v>24</v>
      </c>
      <c r="H1218" t="s">
        <v>33</v>
      </c>
      <c r="I1218" t="s">
        <v>34</v>
      </c>
      <c r="J1218" t="s">
        <v>66</v>
      </c>
      <c r="K1218">
        <v>0</v>
      </c>
    </row>
    <row r="1219" spans="1:11" x14ac:dyDescent="0.25">
      <c r="A1219" t="s">
        <v>1257</v>
      </c>
      <c r="B1219" s="1">
        <v>45657</v>
      </c>
      <c r="C1219" t="s">
        <v>31</v>
      </c>
      <c r="D1219" t="s">
        <v>13</v>
      </c>
      <c r="E1219">
        <v>1000</v>
      </c>
      <c r="F1219" t="s">
        <v>32</v>
      </c>
      <c r="G1219" t="s">
        <v>24</v>
      </c>
      <c r="H1219" t="s">
        <v>16</v>
      </c>
      <c r="I1219" t="s">
        <v>17</v>
      </c>
      <c r="J1219" t="s">
        <v>44</v>
      </c>
      <c r="K1219">
        <v>0</v>
      </c>
    </row>
    <row r="1220" spans="1:11" x14ac:dyDescent="0.25">
      <c r="A1220" t="s">
        <v>1258</v>
      </c>
      <c r="B1220" s="1">
        <v>45095</v>
      </c>
      <c r="C1220" t="s">
        <v>12</v>
      </c>
      <c r="D1220" t="s">
        <v>27</v>
      </c>
      <c r="E1220">
        <v>16200</v>
      </c>
      <c r="F1220" t="s">
        <v>14</v>
      </c>
      <c r="G1220" t="s">
        <v>24</v>
      </c>
      <c r="H1220" t="s">
        <v>16</v>
      </c>
      <c r="I1220" t="s">
        <v>17</v>
      </c>
      <c r="J1220" t="s">
        <v>18</v>
      </c>
      <c r="K1220">
        <v>0.1</v>
      </c>
    </row>
    <row r="1221" spans="1:11" x14ac:dyDescent="0.25">
      <c r="A1221" t="s">
        <v>1259</v>
      </c>
      <c r="B1221" s="1">
        <v>45377</v>
      </c>
      <c r="C1221" t="s">
        <v>12</v>
      </c>
      <c r="D1221" t="s">
        <v>13</v>
      </c>
      <c r="E1221">
        <v>1500</v>
      </c>
      <c r="F1221" t="s">
        <v>21</v>
      </c>
      <c r="G1221" t="s">
        <v>15</v>
      </c>
      <c r="H1221" t="s">
        <v>33</v>
      </c>
      <c r="I1221" t="s">
        <v>34</v>
      </c>
      <c r="J1221" t="s">
        <v>29</v>
      </c>
      <c r="K1221">
        <v>0</v>
      </c>
    </row>
    <row r="1222" spans="1:11" x14ac:dyDescent="0.25">
      <c r="A1222" t="s">
        <v>1260</v>
      </c>
      <c r="B1222" s="1">
        <v>45144</v>
      </c>
      <c r="C1222" t="s">
        <v>12</v>
      </c>
      <c r="D1222" t="s">
        <v>13</v>
      </c>
      <c r="E1222">
        <v>1500</v>
      </c>
      <c r="F1222" t="s">
        <v>49</v>
      </c>
      <c r="G1222" t="s">
        <v>15</v>
      </c>
      <c r="H1222" t="s">
        <v>33</v>
      </c>
      <c r="I1222" t="s">
        <v>34</v>
      </c>
      <c r="J1222" t="s">
        <v>35</v>
      </c>
      <c r="K1222">
        <v>0</v>
      </c>
    </row>
    <row r="1223" spans="1:11" x14ac:dyDescent="0.25">
      <c r="A1223" t="s">
        <v>1261</v>
      </c>
      <c r="B1223" s="1">
        <v>45194</v>
      </c>
      <c r="C1223" t="s">
        <v>20</v>
      </c>
      <c r="D1223" t="s">
        <v>27</v>
      </c>
      <c r="E1223">
        <v>5400</v>
      </c>
      <c r="F1223" t="s">
        <v>14</v>
      </c>
      <c r="G1223" t="s">
        <v>24</v>
      </c>
      <c r="H1223" t="s">
        <v>33</v>
      </c>
      <c r="I1223" t="s">
        <v>34</v>
      </c>
      <c r="J1223" t="s">
        <v>18</v>
      </c>
      <c r="K1223">
        <v>0.1</v>
      </c>
    </row>
    <row r="1224" spans="1:11" x14ac:dyDescent="0.25">
      <c r="A1224" t="s">
        <v>1262</v>
      </c>
      <c r="B1224" s="1">
        <v>44962</v>
      </c>
      <c r="C1224" t="s">
        <v>31</v>
      </c>
      <c r="D1224" t="s">
        <v>27</v>
      </c>
      <c r="E1224">
        <v>10800</v>
      </c>
      <c r="F1224" t="s">
        <v>14</v>
      </c>
      <c r="G1224" t="s">
        <v>24</v>
      </c>
      <c r="H1224" t="s">
        <v>33</v>
      </c>
      <c r="I1224" t="s">
        <v>34</v>
      </c>
      <c r="J1224" t="s">
        <v>37</v>
      </c>
      <c r="K1224">
        <v>0.1</v>
      </c>
    </row>
    <row r="1225" spans="1:11" x14ac:dyDescent="0.25">
      <c r="A1225" t="s">
        <v>1263</v>
      </c>
      <c r="B1225" s="1">
        <v>45145</v>
      </c>
      <c r="C1225" t="s">
        <v>31</v>
      </c>
      <c r="D1225" t="s">
        <v>13</v>
      </c>
      <c r="E1225">
        <v>1000</v>
      </c>
      <c r="F1225" t="s">
        <v>21</v>
      </c>
      <c r="G1225" t="s">
        <v>24</v>
      </c>
      <c r="H1225" t="s">
        <v>16</v>
      </c>
      <c r="I1225" t="s">
        <v>17</v>
      </c>
      <c r="J1225" t="s">
        <v>25</v>
      </c>
      <c r="K1225">
        <v>0</v>
      </c>
    </row>
    <row r="1226" spans="1:11" x14ac:dyDescent="0.25">
      <c r="A1226" t="s">
        <v>1264</v>
      </c>
      <c r="B1226" s="1">
        <v>45603</v>
      </c>
      <c r="C1226" t="s">
        <v>31</v>
      </c>
      <c r="D1226" t="s">
        <v>27</v>
      </c>
      <c r="E1226">
        <v>10800</v>
      </c>
      <c r="F1226" t="s">
        <v>32</v>
      </c>
      <c r="G1226" t="s">
        <v>28</v>
      </c>
      <c r="H1226" t="s">
        <v>33</v>
      </c>
      <c r="I1226" t="s">
        <v>34</v>
      </c>
      <c r="J1226" t="s">
        <v>39</v>
      </c>
      <c r="K1226">
        <v>0.1</v>
      </c>
    </row>
    <row r="1227" spans="1:11" x14ac:dyDescent="0.25">
      <c r="A1227" t="s">
        <v>1265</v>
      </c>
      <c r="B1227" s="1">
        <v>45398</v>
      </c>
      <c r="C1227" t="s">
        <v>31</v>
      </c>
      <c r="D1227" t="s">
        <v>13</v>
      </c>
      <c r="E1227">
        <v>1000</v>
      </c>
      <c r="F1227" t="s">
        <v>49</v>
      </c>
      <c r="G1227" t="s">
        <v>24</v>
      </c>
      <c r="H1227" t="s">
        <v>16</v>
      </c>
      <c r="I1227" t="s">
        <v>17</v>
      </c>
      <c r="J1227" t="s">
        <v>50</v>
      </c>
      <c r="K1227">
        <v>0</v>
      </c>
    </row>
    <row r="1228" spans="1:11" x14ac:dyDescent="0.25">
      <c r="A1228" t="s">
        <v>1266</v>
      </c>
      <c r="B1228" s="1">
        <v>45065</v>
      </c>
      <c r="C1228" t="s">
        <v>20</v>
      </c>
      <c r="D1228" t="s">
        <v>13</v>
      </c>
      <c r="E1228">
        <v>500</v>
      </c>
      <c r="F1228" t="s">
        <v>32</v>
      </c>
      <c r="G1228" t="s">
        <v>15</v>
      </c>
      <c r="H1228" t="s">
        <v>16</v>
      </c>
      <c r="I1228" t="s">
        <v>17</v>
      </c>
      <c r="J1228" t="s">
        <v>25</v>
      </c>
      <c r="K1228">
        <v>0</v>
      </c>
    </row>
    <row r="1229" spans="1:11" x14ac:dyDescent="0.25">
      <c r="A1229" t="s">
        <v>1267</v>
      </c>
      <c r="B1229" s="1">
        <v>45538</v>
      </c>
      <c r="C1229" t="s">
        <v>31</v>
      </c>
      <c r="D1229" t="s">
        <v>27</v>
      </c>
      <c r="E1229">
        <v>10800</v>
      </c>
      <c r="F1229" t="s">
        <v>14</v>
      </c>
      <c r="G1229" t="s">
        <v>15</v>
      </c>
      <c r="H1229" t="s">
        <v>33</v>
      </c>
      <c r="I1229" t="s">
        <v>34</v>
      </c>
      <c r="J1229" t="s">
        <v>18</v>
      </c>
      <c r="K1229">
        <v>0.1</v>
      </c>
    </row>
    <row r="1230" spans="1:11" x14ac:dyDescent="0.25">
      <c r="A1230" t="s">
        <v>1268</v>
      </c>
      <c r="B1230" s="1">
        <v>45481</v>
      </c>
      <c r="C1230" t="s">
        <v>31</v>
      </c>
      <c r="D1230" t="s">
        <v>13</v>
      </c>
      <c r="E1230">
        <v>1000</v>
      </c>
      <c r="F1230" t="s">
        <v>21</v>
      </c>
      <c r="G1230" t="s">
        <v>15</v>
      </c>
      <c r="H1230" t="s">
        <v>33</v>
      </c>
      <c r="I1230" t="s">
        <v>34</v>
      </c>
      <c r="J1230" t="s">
        <v>18</v>
      </c>
      <c r="K1230">
        <v>0</v>
      </c>
    </row>
    <row r="1231" spans="1:11" x14ac:dyDescent="0.25">
      <c r="A1231" t="s">
        <v>1269</v>
      </c>
      <c r="B1231" s="1">
        <v>45513</v>
      </c>
      <c r="C1231" t="s">
        <v>20</v>
      </c>
      <c r="D1231" t="s">
        <v>27</v>
      </c>
      <c r="E1231">
        <v>5400</v>
      </c>
      <c r="F1231" t="s">
        <v>14</v>
      </c>
      <c r="G1231" t="s">
        <v>24</v>
      </c>
      <c r="H1231" t="s">
        <v>16</v>
      </c>
      <c r="I1231" t="s">
        <v>17</v>
      </c>
      <c r="J1231" t="s">
        <v>37</v>
      </c>
      <c r="K1231">
        <v>0.1</v>
      </c>
    </row>
    <row r="1232" spans="1:11" x14ac:dyDescent="0.25">
      <c r="A1232" t="s">
        <v>1270</v>
      </c>
      <c r="B1232" s="1">
        <v>45545</v>
      </c>
      <c r="C1232" t="s">
        <v>20</v>
      </c>
      <c r="D1232" t="s">
        <v>27</v>
      </c>
      <c r="E1232">
        <v>5400</v>
      </c>
      <c r="F1232" t="s">
        <v>14</v>
      </c>
      <c r="G1232" t="s">
        <v>15</v>
      </c>
      <c r="H1232" t="s">
        <v>16</v>
      </c>
      <c r="I1232" t="s">
        <v>17</v>
      </c>
      <c r="J1232" t="s">
        <v>37</v>
      </c>
      <c r="K1232">
        <v>0.1</v>
      </c>
    </row>
    <row r="1233" spans="1:11" x14ac:dyDescent="0.25">
      <c r="A1233" t="s">
        <v>1271</v>
      </c>
      <c r="B1233" s="1">
        <v>45582</v>
      </c>
      <c r="C1233" t="s">
        <v>20</v>
      </c>
      <c r="D1233" t="s">
        <v>13</v>
      </c>
      <c r="E1233">
        <v>500</v>
      </c>
      <c r="F1233" t="s">
        <v>49</v>
      </c>
      <c r="G1233" t="s">
        <v>28</v>
      </c>
      <c r="H1233" t="s">
        <v>16</v>
      </c>
      <c r="I1233" t="s">
        <v>17</v>
      </c>
      <c r="J1233" t="s">
        <v>22</v>
      </c>
      <c r="K1233">
        <v>0</v>
      </c>
    </row>
    <row r="1234" spans="1:11" x14ac:dyDescent="0.25">
      <c r="A1234" t="s">
        <v>1272</v>
      </c>
      <c r="B1234" s="1">
        <v>45526</v>
      </c>
      <c r="C1234" t="s">
        <v>12</v>
      </c>
      <c r="D1234" t="s">
        <v>27</v>
      </c>
      <c r="E1234">
        <v>16200</v>
      </c>
      <c r="F1234" t="s">
        <v>32</v>
      </c>
      <c r="G1234" t="s">
        <v>28</v>
      </c>
      <c r="H1234" t="s">
        <v>16</v>
      </c>
      <c r="I1234" t="s">
        <v>17</v>
      </c>
      <c r="J1234" t="s">
        <v>66</v>
      </c>
      <c r="K1234">
        <v>0.1</v>
      </c>
    </row>
    <row r="1235" spans="1:11" x14ac:dyDescent="0.25">
      <c r="A1235" t="s">
        <v>1273</v>
      </c>
      <c r="B1235" s="1">
        <v>45419</v>
      </c>
      <c r="C1235" t="s">
        <v>20</v>
      </c>
      <c r="D1235" t="s">
        <v>27</v>
      </c>
      <c r="E1235">
        <v>5400</v>
      </c>
      <c r="F1235" t="s">
        <v>32</v>
      </c>
      <c r="G1235" t="s">
        <v>24</v>
      </c>
      <c r="H1235" t="s">
        <v>33</v>
      </c>
      <c r="I1235" t="s">
        <v>34</v>
      </c>
      <c r="J1235" t="s">
        <v>25</v>
      </c>
      <c r="K1235">
        <v>0.1</v>
      </c>
    </row>
    <row r="1236" spans="1:11" x14ac:dyDescent="0.25">
      <c r="A1236" t="s">
        <v>1274</v>
      </c>
      <c r="B1236" s="1">
        <v>45358</v>
      </c>
      <c r="C1236" t="s">
        <v>12</v>
      </c>
      <c r="D1236" t="s">
        <v>13</v>
      </c>
      <c r="E1236">
        <v>1500</v>
      </c>
      <c r="F1236" t="s">
        <v>21</v>
      </c>
      <c r="G1236" t="s">
        <v>28</v>
      </c>
      <c r="H1236" t="s">
        <v>33</v>
      </c>
      <c r="I1236" t="s">
        <v>34</v>
      </c>
      <c r="J1236" t="s">
        <v>18</v>
      </c>
      <c r="K1236">
        <v>0</v>
      </c>
    </row>
    <row r="1237" spans="1:11" x14ac:dyDescent="0.25">
      <c r="A1237" t="s">
        <v>1275</v>
      </c>
      <c r="B1237" s="1">
        <v>45158</v>
      </c>
      <c r="C1237" t="s">
        <v>31</v>
      </c>
      <c r="D1237" t="s">
        <v>27</v>
      </c>
      <c r="E1237">
        <v>10800</v>
      </c>
      <c r="F1237" t="s">
        <v>32</v>
      </c>
      <c r="G1237" t="s">
        <v>28</v>
      </c>
      <c r="H1237" t="s">
        <v>33</v>
      </c>
      <c r="I1237" t="s">
        <v>34</v>
      </c>
      <c r="J1237" t="s">
        <v>25</v>
      </c>
      <c r="K1237">
        <v>0.1</v>
      </c>
    </row>
    <row r="1238" spans="1:11" x14ac:dyDescent="0.25">
      <c r="A1238" t="s">
        <v>1276</v>
      </c>
      <c r="B1238" s="1">
        <v>45413</v>
      </c>
      <c r="C1238" t="s">
        <v>12</v>
      </c>
      <c r="D1238" t="s">
        <v>27</v>
      </c>
      <c r="E1238">
        <v>16200</v>
      </c>
      <c r="F1238" t="s">
        <v>49</v>
      </c>
      <c r="G1238" t="s">
        <v>24</v>
      </c>
      <c r="H1238" t="s">
        <v>16</v>
      </c>
      <c r="I1238" t="s">
        <v>17</v>
      </c>
      <c r="J1238" t="s">
        <v>58</v>
      </c>
      <c r="K1238">
        <v>0.1</v>
      </c>
    </row>
    <row r="1239" spans="1:11" x14ac:dyDescent="0.25">
      <c r="A1239" t="s">
        <v>1277</v>
      </c>
      <c r="B1239" s="1">
        <v>45040</v>
      </c>
      <c r="C1239" t="s">
        <v>20</v>
      </c>
      <c r="D1239" t="s">
        <v>13</v>
      </c>
      <c r="E1239">
        <v>500</v>
      </c>
      <c r="F1239" t="s">
        <v>32</v>
      </c>
      <c r="G1239" t="s">
        <v>24</v>
      </c>
      <c r="H1239" t="s">
        <v>16</v>
      </c>
      <c r="I1239" t="s">
        <v>17</v>
      </c>
      <c r="J1239" t="s">
        <v>25</v>
      </c>
      <c r="K1239">
        <v>0</v>
      </c>
    </row>
    <row r="1240" spans="1:11" x14ac:dyDescent="0.25">
      <c r="A1240" t="s">
        <v>1278</v>
      </c>
      <c r="B1240" s="1">
        <v>45285</v>
      </c>
      <c r="C1240" t="s">
        <v>31</v>
      </c>
      <c r="D1240" t="s">
        <v>27</v>
      </c>
      <c r="E1240">
        <v>10800</v>
      </c>
      <c r="F1240" t="s">
        <v>49</v>
      </c>
      <c r="G1240" t="s">
        <v>28</v>
      </c>
      <c r="H1240" t="s">
        <v>33</v>
      </c>
      <c r="I1240" t="s">
        <v>34</v>
      </c>
      <c r="J1240" t="s">
        <v>18</v>
      </c>
      <c r="K1240">
        <v>0.1</v>
      </c>
    </row>
    <row r="1241" spans="1:11" x14ac:dyDescent="0.25">
      <c r="A1241" t="s">
        <v>1279</v>
      </c>
      <c r="B1241" s="1">
        <v>45349</v>
      </c>
      <c r="C1241" t="s">
        <v>31</v>
      </c>
      <c r="D1241" t="s">
        <v>13</v>
      </c>
      <c r="E1241">
        <v>1000</v>
      </c>
      <c r="F1241" t="s">
        <v>14</v>
      </c>
      <c r="G1241" t="s">
        <v>24</v>
      </c>
      <c r="H1241" t="s">
        <v>16</v>
      </c>
      <c r="I1241" t="s">
        <v>17</v>
      </c>
      <c r="J1241" t="s">
        <v>22</v>
      </c>
      <c r="K1241">
        <v>0</v>
      </c>
    </row>
    <row r="1242" spans="1:11" x14ac:dyDescent="0.25">
      <c r="A1242" t="s">
        <v>1280</v>
      </c>
      <c r="B1242" s="1">
        <v>44961</v>
      </c>
      <c r="C1242" t="s">
        <v>31</v>
      </c>
      <c r="D1242" t="s">
        <v>27</v>
      </c>
      <c r="E1242">
        <v>10800</v>
      </c>
      <c r="F1242" t="s">
        <v>49</v>
      </c>
      <c r="G1242" t="s">
        <v>15</v>
      </c>
      <c r="H1242" t="s">
        <v>16</v>
      </c>
      <c r="I1242" t="s">
        <v>17</v>
      </c>
      <c r="J1242" t="s">
        <v>25</v>
      </c>
      <c r="K1242">
        <v>0.1</v>
      </c>
    </row>
    <row r="1243" spans="1:11" x14ac:dyDescent="0.25">
      <c r="A1243" t="s">
        <v>1281</v>
      </c>
      <c r="B1243" s="1">
        <v>44976</v>
      </c>
      <c r="C1243" t="s">
        <v>12</v>
      </c>
      <c r="D1243" t="s">
        <v>27</v>
      </c>
      <c r="E1243">
        <v>16200</v>
      </c>
      <c r="F1243" t="s">
        <v>21</v>
      </c>
      <c r="G1243" t="s">
        <v>15</v>
      </c>
      <c r="H1243" t="s">
        <v>16</v>
      </c>
      <c r="I1243" t="s">
        <v>17</v>
      </c>
      <c r="J1243" t="s">
        <v>29</v>
      </c>
      <c r="K1243">
        <v>0.1</v>
      </c>
    </row>
    <row r="1244" spans="1:11" x14ac:dyDescent="0.25">
      <c r="A1244" t="s">
        <v>1282</v>
      </c>
      <c r="B1244" s="1">
        <v>44932</v>
      </c>
      <c r="C1244" t="s">
        <v>31</v>
      </c>
      <c r="D1244" t="s">
        <v>27</v>
      </c>
      <c r="E1244">
        <v>10800</v>
      </c>
      <c r="F1244" t="s">
        <v>32</v>
      </c>
      <c r="G1244" t="s">
        <v>24</v>
      </c>
      <c r="H1244" t="s">
        <v>16</v>
      </c>
      <c r="I1244" t="s">
        <v>17</v>
      </c>
      <c r="J1244" t="s">
        <v>66</v>
      </c>
      <c r="K1244">
        <v>0.1</v>
      </c>
    </row>
    <row r="1245" spans="1:11" x14ac:dyDescent="0.25">
      <c r="A1245" t="s">
        <v>1283</v>
      </c>
      <c r="B1245" s="1">
        <v>45233</v>
      </c>
      <c r="C1245" t="s">
        <v>12</v>
      </c>
      <c r="D1245" t="s">
        <v>13</v>
      </c>
      <c r="E1245">
        <v>1500</v>
      </c>
      <c r="F1245" t="s">
        <v>14</v>
      </c>
      <c r="G1245" t="s">
        <v>28</v>
      </c>
      <c r="H1245" t="s">
        <v>33</v>
      </c>
      <c r="I1245" t="s">
        <v>34</v>
      </c>
      <c r="J1245" t="s">
        <v>37</v>
      </c>
      <c r="K1245">
        <v>0</v>
      </c>
    </row>
    <row r="1246" spans="1:11" x14ac:dyDescent="0.25">
      <c r="A1246" t="s">
        <v>1284</v>
      </c>
      <c r="B1246" s="1">
        <v>45556</v>
      </c>
      <c r="C1246" t="s">
        <v>31</v>
      </c>
      <c r="D1246" t="s">
        <v>27</v>
      </c>
      <c r="E1246">
        <v>10800</v>
      </c>
      <c r="F1246" t="s">
        <v>14</v>
      </c>
      <c r="G1246" t="s">
        <v>28</v>
      </c>
      <c r="H1246" t="s">
        <v>16</v>
      </c>
      <c r="I1246" t="s">
        <v>17</v>
      </c>
      <c r="J1246" t="s">
        <v>18</v>
      </c>
      <c r="K1246">
        <v>0.1</v>
      </c>
    </row>
    <row r="1247" spans="1:11" x14ac:dyDescent="0.25">
      <c r="A1247" t="s">
        <v>1285</v>
      </c>
      <c r="B1247" s="1">
        <v>45039</v>
      </c>
      <c r="C1247" t="s">
        <v>20</v>
      </c>
      <c r="D1247" t="s">
        <v>27</v>
      </c>
      <c r="E1247">
        <v>5400</v>
      </c>
      <c r="F1247" t="s">
        <v>14</v>
      </c>
      <c r="G1247" t="s">
        <v>15</v>
      </c>
      <c r="H1247" t="s">
        <v>33</v>
      </c>
      <c r="I1247" t="s">
        <v>34</v>
      </c>
      <c r="J1247" t="s">
        <v>41</v>
      </c>
      <c r="K1247">
        <v>0.1</v>
      </c>
    </row>
    <row r="1248" spans="1:11" x14ac:dyDescent="0.25">
      <c r="A1248" t="s">
        <v>1286</v>
      </c>
      <c r="B1248" s="1">
        <v>45288</v>
      </c>
      <c r="C1248" t="s">
        <v>20</v>
      </c>
      <c r="D1248" t="s">
        <v>13</v>
      </c>
      <c r="E1248">
        <v>500</v>
      </c>
      <c r="F1248" t="s">
        <v>21</v>
      </c>
      <c r="G1248" t="s">
        <v>28</v>
      </c>
      <c r="H1248" t="s">
        <v>16</v>
      </c>
      <c r="I1248" t="s">
        <v>17</v>
      </c>
      <c r="J1248" t="s">
        <v>18</v>
      </c>
      <c r="K1248">
        <v>0</v>
      </c>
    </row>
    <row r="1249" spans="1:11" x14ac:dyDescent="0.25">
      <c r="A1249" t="s">
        <v>1287</v>
      </c>
      <c r="B1249" s="1">
        <v>45622</v>
      </c>
      <c r="C1249" t="s">
        <v>12</v>
      </c>
      <c r="D1249" t="s">
        <v>13</v>
      </c>
      <c r="E1249">
        <v>1500</v>
      </c>
      <c r="F1249" t="s">
        <v>32</v>
      </c>
      <c r="G1249" t="s">
        <v>15</v>
      </c>
      <c r="H1249" t="s">
        <v>33</v>
      </c>
      <c r="I1249" t="s">
        <v>34</v>
      </c>
      <c r="J1249" t="s">
        <v>39</v>
      </c>
      <c r="K1249">
        <v>0</v>
      </c>
    </row>
    <row r="1250" spans="1:11" x14ac:dyDescent="0.25">
      <c r="A1250" t="s">
        <v>1288</v>
      </c>
      <c r="B1250" s="1">
        <v>45637</v>
      </c>
      <c r="C1250" t="s">
        <v>12</v>
      </c>
      <c r="D1250" t="s">
        <v>27</v>
      </c>
      <c r="E1250">
        <v>16200</v>
      </c>
      <c r="F1250" t="s">
        <v>49</v>
      </c>
      <c r="G1250" t="s">
        <v>28</v>
      </c>
      <c r="H1250" t="s">
        <v>16</v>
      </c>
      <c r="I1250" t="s">
        <v>17</v>
      </c>
      <c r="J1250" t="s">
        <v>25</v>
      </c>
      <c r="K1250">
        <v>0.1</v>
      </c>
    </row>
    <row r="1251" spans="1:11" x14ac:dyDescent="0.25">
      <c r="A1251" t="s">
        <v>1289</v>
      </c>
      <c r="B1251" s="1">
        <v>45424</v>
      </c>
      <c r="C1251" t="s">
        <v>31</v>
      </c>
      <c r="D1251" t="s">
        <v>27</v>
      </c>
      <c r="E1251">
        <v>10800</v>
      </c>
      <c r="F1251" t="s">
        <v>49</v>
      </c>
      <c r="G1251" t="s">
        <v>24</v>
      </c>
      <c r="H1251" t="s">
        <v>16</v>
      </c>
      <c r="I1251" t="s">
        <v>17</v>
      </c>
      <c r="J1251" t="s">
        <v>35</v>
      </c>
      <c r="K1251">
        <v>0.1</v>
      </c>
    </row>
    <row r="1252" spans="1:11" x14ac:dyDescent="0.25">
      <c r="A1252" t="s">
        <v>1290</v>
      </c>
      <c r="B1252" s="1">
        <v>45160</v>
      </c>
      <c r="C1252" t="s">
        <v>31</v>
      </c>
      <c r="D1252" t="s">
        <v>13</v>
      </c>
      <c r="E1252">
        <v>1000</v>
      </c>
      <c r="F1252" t="s">
        <v>14</v>
      </c>
      <c r="G1252" t="s">
        <v>15</v>
      </c>
      <c r="H1252" t="s">
        <v>16</v>
      </c>
      <c r="I1252" t="s">
        <v>17</v>
      </c>
      <c r="J1252" t="s">
        <v>37</v>
      </c>
      <c r="K1252">
        <v>0</v>
      </c>
    </row>
    <row r="1253" spans="1:11" x14ac:dyDescent="0.25">
      <c r="A1253" t="s">
        <v>1291</v>
      </c>
      <c r="B1253" s="1">
        <v>45476</v>
      </c>
      <c r="C1253" t="s">
        <v>20</v>
      </c>
      <c r="D1253" t="s">
        <v>13</v>
      </c>
      <c r="E1253">
        <v>500</v>
      </c>
      <c r="F1253" t="s">
        <v>32</v>
      </c>
      <c r="G1253" t="s">
        <v>15</v>
      </c>
      <c r="H1253" t="s">
        <v>16</v>
      </c>
      <c r="I1253" t="s">
        <v>17</v>
      </c>
      <c r="J1253" t="s">
        <v>35</v>
      </c>
      <c r="K1253">
        <v>0</v>
      </c>
    </row>
    <row r="1254" spans="1:11" x14ac:dyDescent="0.25">
      <c r="A1254" t="s">
        <v>1292</v>
      </c>
      <c r="B1254" s="1">
        <v>45232</v>
      </c>
      <c r="C1254" t="s">
        <v>20</v>
      </c>
      <c r="D1254" t="s">
        <v>27</v>
      </c>
      <c r="E1254">
        <v>5400</v>
      </c>
      <c r="F1254" t="s">
        <v>14</v>
      </c>
      <c r="G1254" t="s">
        <v>28</v>
      </c>
      <c r="H1254" t="s">
        <v>33</v>
      </c>
      <c r="I1254" t="s">
        <v>34</v>
      </c>
      <c r="J1254" t="s">
        <v>41</v>
      </c>
      <c r="K1254">
        <v>0.1</v>
      </c>
    </row>
    <row r="1255" spans="1:11" x14ac:dyDescent="0.25">
      <c r="A1255" t="s">
        <v>1293</v>
      </c>
      <c r="B1255" s="1">
        <v>45639</v>
      </c>
      <c r="C1255" t="s">
        <v>31</v>
      </c>
      <c r="D1255" t="s">
        <v>13</v>
      </c>
      <c r="E1255">
        <v>1000</v>
      </c>
      <c r="F1255" t="s">
        <v>49</v>
      </c>
      <c r="G1255" t="s">
        <v>28</v>
      </c>
      <c r="H1255" t="s">
        <v>16</v>
      </c>
      <c r="I1255" t="s">
        <v>17</v>
      </c>
      <c r="J1255" t="s">
        <v>25</v>
      </c>
      <c r="K1255">
        <v>0</v>
      </c>
    </row>
    <row r="1256" spans="1:11" x14ac:dyDescent="0.25">
      <c r="A1256" t="s">
        <v>1294</v>
      </c>
      <c r="B1256" s="1">
        <v>45628</v>
      </c>
      <c r="C1256" t="s">
        <v>31</v>
      </c>
      <c r="D1256" t="s">
        <v>27</v>
      </c>
      <c r="E1256">
        <v>10800</v>
      </c>
      <c r="F1256" t="s">
        <v>21</v>
      </c>
      <c r="G1256" t="s">
        <v>24</v>
      </c>
      <c r="H1256" t="s">
        <v>16</v>
      </c>
      <c r="I1256" t="s">
        <v>17</v>
      </c>
      <c r="J1256" t="s">
        <v>18</v>
      </c>
      <c r="K1256">
        <v>0.1</v>
      </c>
    </row>
    <row r="1257" spans="1:11" x14ac:dyDescent="0.25">
      <c r="A1257" t="s">
        <v>1295</v>
      </c>
      <c r="B1257" s="1">
        <v>45102</v>
      </c>
      <c r="C1257" t="s">
        <v>12</v>
      </c>
      <c r="D1257" t="s">
        <v>27</v>
      </c>
      <c r="E1257">
        <v>16200</v>
      </c>
      <c r="F1257" t="s">
        <v>14</v>
      </c>
      <c r="G1257" t="s">
        <v>28</v>
      </c>
      <c r="H1257" t="s">
        <v>16</v>
      </c>
      <c r="I1257" t="s">
        <v>17</v>
      </c>
      <c r="J1257" t="s">
        <v>22</v>
      </c>
      <c r="K1257">
        <v>0.1</v>
      </c>
    </row>
    <row r="1258" spans="1:11" x14ac:dyDescent="0.25">
      <c r="A1258" t="s">
        <v>1296</v>
      </c>
      <c r="B1258" s="1">
        <v>45420</v>
      </c>
      <c r="C1258" t="s">
        <v>31</v>
      </c>
      <c r="D1258" t="s">
        <v>27</v>
      </c>
      <c r="E1258">
        <v>10800</v>
      </c>
      <c r="F1258" t="s">
        <v>21</v>
      </c>
      <c r="G1258" t="s">
        <v>15</v>
      </c>
      <c r="H1258" t="s">
        <v>33</v>
      </c>
      <c r="I1258" t="s">
        <v>34</v>
      </c>
      <c r="J1258" t="s">
        <v>25</v>
      </c>
      <c r="K1258">
        <v>0.1</v>
      </c>
    </row>
    <row r="1259" spans="1:11" x14ac:dyDescent="0.25">
      <c r="A1259" t="s">
        <v>1297</v>
      </c>
      <c r="B1259" s="1">
        <v>45528</v>
      </c>
      <c r="C1259" t="s">
        <v>20</v>
      </c>
      <c r="D1259" t="s">
        <v>27</v>
      </c>
      <c r="E1259">
        <v>5400</v>
      </c>
      <c r="F1259" t="s">
        <v>14</v>
      </c>
      <c r="G1259" t="s">
        <v>28</v>
      </c>
      <c r="H1259" t="s">
        <v>16</v>
      </c>
      <c r="I1259" t="s">
        <v>17</v>
      </c>
      <c r="J1259" t="s">
        <v>37</v>
      </c>
      <c r="K1259">
        <v>0.1</v>
      </c>
    </row>
    <row r="1260" spans="1:11" x14ac:dyDescent="0.25">
      <c r="A1260" t="s">
        <v>1298</v>
      </c>
      <c r="B1260" s="1">
        <v>45536</v>
      </c>
      <c r="C1260" t="s">
        <v>31</v>
      </c>
      <c r="D1260" t="s">
        <v>13</v>
      </c>
      <c r="E1260">
        <v>1000</v>
      </c>
      <c r="F1260" t="s">
        <v>21</v>
      </c>
      <c r="G1260" t="s">
        <v>15</v>
      </c>
      <c r="H1260" t="s">
        <v>33</v>
      </c>
      <c r="I1260" t="s">
        <v>34</v>
      </c>
      <c r="J1260" t="s">
        <v>29</v>
      </c>
      <c r="K1260">
        <v>0</v>
      </c>
    </row>
    <row r="1261" spans="1:11" x14ac:dyDescent="0.25">
      <c r="A1261" t="s">
        <v>1299</v>
      </c>
      <c r="B1261" s="1">
        <v>45514</v>
      </c>
      <c r="C1261" t="s">
        <v>20</v>
      </c>
      <c r="D1261" t="s">
        <v>13</v>
      </c>
      <c r="E1261">
        <v>500</v>
      </c>
      <c r="F1261" t="s">
        <v>32</v>
      </c>
      <c r="G1261" t="s">
        <v>28</v>
      </c>
      <c r="H1261" t="s">
        <v>16</v>
      </c>
      <c r="I1261" t="s">
        <v>17</v>
      </c>
      <c r="J1261" t="s">
        <v>35</v>
      </c>
      <c r="K1261">
        <v>0</v>
      </c>
    </row>
    <row r="1262" spans="1:11" x14ac:dyDescent="0.25">
      <c r="A1262" t="s">
        <v>1300</v>
      </c>
      <c r="B1262" s="1">
        <v>45094</v>
      </c>
      <c r="C1262" t="s">
        <v>20</v>
      </c>
      <c r="D1262" t="s">
        <v>13</v>
      </c>
      <c r="E1262">
        <v>500</v>
      </c>
      <c r="F1262" t="s">
        <v>32</v>
      </c>
      <c r="G1262" t="s">
        <v>15</v>
      </c>
      <c r="H1262" t="s">
        <v>16</v>
      </c>
      <c r="I1262" t="s">
        <v>17</v>
      </c>
      <c r="J1262" t="s">
        <v>39</v>
      </c>
      <c r="K1262">
        <v>0</v>
      </c>
    </row>
    <row r="1263" spans="1:11" x14ac:dyDescent="0.25">
      <c r="A1263" t="s">
        <v>1301</v>
      </c>
      <c r="B1263" s="1">
        <v>44986</v>
      </c>
      <c r="C1263" t="s">
        <v>31</v>
      </c>
      <c r="D1263" t="s">
        <v>13</v>
      </c>
      <c r="E1263">
        <v>1000</v>
      </c>
      <c r="F1263" t="s">
        <v>49</v>
      </c>
      <c r="G1263" t="s">
        <v>24</v>
      </c>
      <c r="H1263" t="s">
        <v>16</v>
      </c>
      <c r="I1263" t="s">
        <v>17</v>
      </c>
      <c r="J1263" t="s">
        <v>58</v>
      </c>
      <c r="K1263">
        <v>0</v>
      </c>
    </row>
    <row r="1264" spans="1:11" x14ac:dyDescent="0.25">
      <c r="A1264" t="s">
        <v>1302</v>
      </c>
      <c r="B1264" s="1">
        <v>45533</v>
      </c>
      <c r="C1264" t="s">
        <v>20</v>
      </c>
      <c r="D1264" t="s">
        <v>27</v>
      </c>
      <c r="E1264">
        <v>5400</v>
      </c>
      <c r="F1264" t="s">
        <v>49</v>
      </c>
      <c r="G1264" t="s">
        <v>15</v>
      </c>
      <c r="H1264" t="s">
        <v>16</v>
      </c>
      <c r="I1264" t="s">
        <v>17</v>
      </c>
      <c r="J1264" t="s">
        <v>25</v>
      </c>
      <c r="K1264">
        <v>0.1</v>
      </c>
    </row>
    <row r="1265" spans="1:11" x14ac:dyDescent="0.25">
      <c r="A1265" t="s">
        <v>1303</v>
      </c>
      <c r="B1265" s="1">
        <v>45427</v>
      </c>
      <c r="C1265" t="s">
        <v>20</v>
      </c>
      <c r="D1265" t="s">
        <v>13</v>
      </c>
      <c r="E1265">
        <v>500</v>
      </c>
      <c r="F1265" t="s">
        <v>49</v>
      </c>
      <c r="G1265" t="s">
        <v>24</v>
      </c>
      <c r="H1265" t="s">
        <v>33</v>
      </c>
      <c r="I1265" t="s">
        <v>34</v>
      </c>
      <c r="J1265" t="s">
        <v>58</v>
      </c>
      <c r="K1265">
        <v>0</v>
      </c>
    </row>
    <row r="1266" spans="1:11" x14ac:dyDescent="0.25">
      <c r="A1266" t="s">
        <v>1304</v>
      </c>
      <c r="B1266" s="1">
        <v>45208</v>
      </c>
      <c r="C1266" t="s">
        <v>31</v>
      </c>
      <c r="D1266" t="s">
        <v>27</v>
      </c>
      <c r="E1266">
        <v>10800</v>
      </c>
      <c r="F1266" t="s">
        <v>32</v>
      </c>
      <c r="G1266" t="s">
        <v>15</v>
      </c>
      <c r="H1266" t="s">
        <v>16</v>
      </c>
      <c r="I1266" t="s">
        <v>17</v>
      </c>
      <c r="J1266" t="s">
        <v>39</v>
      </c>
      <c r="K1266">
        <v>0.1</v>
      </c>
    </row>
    <row r="1267" spans="1:11" x14ac:dyDescent="0.25">
      <c r="A1267" t="s">
        <v>1305</v>
      </c>
      <c r="B1267" s="1">
        <v>45046</v>
      </c>
      <c r="C1267" t="s">
        <v>31</v>
      </c>
      <c r="D1267" t="s">
        <v>27</v>
      </c>
      <c r="E1267">
        <v>10800</v>
      </c>
      <c r="F1267" t="s">
        <v>32</v>
      </c>
      <c r="G1267" t="s">
        <v>28</v>
      </c>
      <c r="H1267" t="s">
        <v>16</v>
      </c>
      <c r="I1267" t="s">
        <v>17</v>
      </c>
      <c r="J1267" t="s">
        <v>66</v>
      </c>
      <c r="K1267">
        <v>0.1</v>
      </c>
    </row>
    <row r="1268" spans="1:11" x14ac:dyDescent="0.25">
      <c r="A1268" t="s">
        <v>1306</v>
      </c>
      <c r="B1268" s="1">
        <v>45306</v>
      </c>
      <c r="C1268" t="s">
        <v>31</v>
      </c>
      <c r="D1268" t="s">
        <v>27</v>
      </c>
      <c r="E1268">
        <v>10800</v>
      </c>
      <c r="F1268" t="s">
        <v>32</v>
      </c>
      <c r="G1268" t="s">
        <v>28</v>
      </c>
      <c r="H1268" t="s">
        <v>16</v>
      </c>
      <c r="I1268" t="s">
        <v>17</v>
      </c>
      <c r="J1268" t="s">
        <v>25</v>
      </c>
      <c r="K1268">
        <v>0.1</v>
      </c>
    </row>
    <row r="1269" spans="1:11" x14ac:dyDescent="0.25">
      <c r="A1269" t="s">
        <v>1307</v>
      </c>
      <c r="B1269" s="1">
        <v>45043</v>
      </c>
      <c r="C1269" t="s">
        <v>20</v>
      </c>
      <c r="D1269" t="s">
        <v>27</v>
      </c>
      <c r="E1269">
        <v>5400</v>
      </c>
      <c r="F1269" t="s">
        <v>49</v>
      </c>
      <c r="G1269" t="s">
        <v>28</v>
      </c>
      <c r="H1269" t="s">
        <v>16</v>
      </c>
      <c r="I1269" t="s">
        <v>17</v>
      </c>
      <c r="J1269" t="s">
        <v>22</v>
      </c>
      <c r="K1269">
        <v>0.1</v>
      </c>
    </row>
    <row r="1270" spans="1:11" x14ac:dyDescent="0.25">
      <c r="A1270" t="s">
        <v>1308</v>
      </c>
      <c r="B1270" s="1">
        <v>45605</v>
      </c>
      <c r="C1270" t="s">
        <v>31</v>
      </c>
      <c r="D1270" t="s">
        <v>13</v>
      </c>
      <c r="E1270">
        <v>1000</v>
      </c>
      <c r="F1270" t="s">
        <v>32</v>
      </c>
      <c r="G1270" t="s">
        <v>28</v>
      </c>
      <c r="H1270" t="s">
        <v>16</v>
      </c>
      <c r="I1270" t="s">
        <v>17</v>
      </c>
      <c r="J1270" t="s">
        <v>25</v>
      </c>
      <c r="K1270">
        <v>0</v>
      </c>
    </row>
    <row r="1271" spans="1:11" x14ac:dyDescent="0.25">
      <c r="A1271" t="s">
        <v>1309</v>
      </c>
      <c r="B1271" s="1">
        <v>45370</v>
      </c>
      <c r="C1271" t="s">
        <v>20</v>
      </c>
      <c r="D1271" t="s">
        <v>27</v>
      </c>
      <c r="E1271">
        <v>5400</v>
      </c>
      <c r="F1271" t="s">
        <v>49</v>
      </c>
      <c r="G1271" t="s">
        <v>15</v>
      </c>
      <c r="H1271" t="s">
        <v>16</v>
      </c>
      <c r="I1271" t="s">
        <v>17</v>
      </c>
      <c r="J1271" t="s">
        <v>50</v>
      </c>
      <c r="K1271">
        <v>0.1</v>
      </c>
    </row>
    <row r="1272" spans="1:11" x14ac:dyDescent="0.25">
      <c r="A1272" t="s">
        <v>1310</v>
      </c>
      <c r="B1272" s="1">
        <v>45281</v>
      </c>
      <c r="C1272" t="s">
        <v>12</v>
      </c>
      <c r="D1272" t="s">
        <v>13</v>
      </c>
      <c r="E1272">
        <v>1500</v>
      </c>
      <c r="F1272" t="s">
        <v>49</v>
      </c>
      <c r="G1272" t="s">
        <v>15</v>
      </c>
      <c r="H1272" t="s">
        <v>16</v>
      </c>
      <c r="I1272" t="s">
        <v>17</v>
      </c>
      <c r="J1272" t="s">
        <v>50</v>
      </c>
      <c r="K1272">
        <v>0</v>
      </c>
    </row>
    <row r="1273" spans="1:11" x14ac:dyDescent="0.25">
      <c r="A1273" t="s">
        <v>1311</v>
      </c>
      <c r="B1273" s="1">
        <v>45456</v>
      </c>
      <c r="C1273" t="s">
        <v>31</v>
      </c>
      <c r="D1273" t="s">
        <v>13</v>
      </c>
      <c r="E1273">
        <v>1000</v>
      </c>
      <c r="F1273" t="s">
        <v>49</v>
      </c>
      <c r="G1273" t="s">
        <v>15</v>
      </c>
      <c r="H1273" t="s">
        <v>16</v>
      </c>
      <c r="I1273" t="s">
        <v>17</v>
      </c>
      <c r="J1273" t="s">
        <v>58</v>
      </c>
      <c r="K1273">
        <v>0</v>
      </c>
    </row>
    <row r="1274" spans="1:11" x14ac:dyDescent="0.25">
      <c r="A1274" t="s">
        <v>1312</v>
      </c>
      <c r="B1274" s="1">
        <v>45295</v>
      </c>
      <c r="C1274" t="s">
        <v>31</v>
      </c>
      <c r="D1274" t="s">
        <v>13</v>
      </c>
      <c r="E1274">
        <v>1000</v>
      </c>
      <c r="F1274" t="s">
        <v>49</v>
      </c>
      <c r="G1274" t="s">
        <v>28</v>
      </c>
      <c r="H1274" t="s">
        <v>16</v>
      </c>
      <c r="I1274" t="s">
        <v>17</v>
      </c>
      <c r="J1274" t="s">
        <v>50</v>
      </c>
      <c r="K1274">
        <v>0</v>
      </c>
    </row>
    <row r="1275" spans="1:11" x14ac:dyDescent="0.25">
      <c r="A1275" t="s">
        <v>1313</v>
      </c>
      <c r="B1275" s="1">
        <v>45314</v>
      </c>
      <c r="C1275" t="s">
        <v>20</v>
      </c>
      <c r="D1275" t="s">
        <v>13</v>
      </c>
      <c r="E1275">
        <v>500</v>
      </c>
      <c r="F1275" t="s">
        <v>32</v>
      </c>
      <c r="G1275" t="s">
        <v>24</v>
      </c>
      <c r="H1275" t="s">
        <v>33</v>
      </c>
      <c r="I1275" t="s">
        <v>34</v>
      </c>
      <c r="J1275" t="s">
        <v>44</v>
      </c>
      <c r="K1275">
        <v>0</v>
      </c>
    </row>
    <row r="1276" spans="1:11" x14ac:dyDescent="0.25">
      <c r="A1276" t="s">
        <v>1314</v>
      </c>
      <c r="B1276" s="1">
        <v>45359</v>
      </c>
      <c r="C1276" t="s">
        <v>31</v>
      </c>
      <c r="D1276" t="s">
        <v>27</v>
      </c>
      <c r="E1276">
        <v>10800</v>
      </c>
      <c r="F1276" t="s">
        <v>21</v>
      </c>
      <c r="G1276" t="s">
        <v>28</v>
      </c>
      <c r="H1276" t="s">
        <v>16</v>
      </c>
      <c r="I1276" t="s">
        <v>17</v>
      </c>
      <c r="J1276" t="s">
        <v>18</v>
      </c>
      <c r="K1276">
        <v>0.1</v>
      </c>
    </row>
    <row r="1277" spans="1:11" x14ac:dyDescent="0.25">
      <c r="A1277" t="s">
        <v>1315</v>
      </c>
      <c r="B1277" s="1">
        <v>45646</v>
      </c>
      <c r="C1277" t="s">
        <v>12</v>
      </c>
      <c r="D1277" t="s">
        <v>13</v>
      </c>
      <c r="E1277">
        <v>1500</v>
      </c>
      <c r="F1277" t="s">
        <v>21</v>
      </c>
      <c r="G1277" t="s">
        <v>24</v>
      </c>
      <c r="H1277" t="s">
        <v>33</v>
      </c>
      <c r="I1277" t="s">
        <v>34</v>
      </c>
      <c r="J1277" t="s">
        <v>25</v>
      </c>
      <c r="K1277">
        <v>0</v>
      </c>
    </row>
    <row r="1278" spans="1:11" x14ac:dyDescent="0.25">
      <c r="A1278" t="s">
        <v>1316</v>
      </c>
      <c r="B1278" s="1">
        <v>45488</v>
      </c>
      <c r="C1278" t="s">
        <v>31</v>
      </c>
      <c r="D1278" t="s">
        <v>27</v>
      </c>
      <c r="E1278">
        <v>10800</v>
      </c>
      <c r="F1278" t="s">
        <v>14</v>
      </c>
      <c r="G1278" t="s">
        <v>15</v>
      </c>
      <c r="H1278" t="s">
        <v>16</v>
      </c>
      <c r="I1278" t="s">
        <v>17</v>
      </c>
      <c r="J1278" t="s">
        <v>22</v>
      </c>
      <c r="K1278">
        <v>0.1</v>
      </c>
    </row>
    <row r="1279" spans="1:11" x14ac:dyDescent="0.25">
      <c r="A1279" t="s">
        <v>1317</v>
      </c>
      <c r="B1279" s="1">
        <v>45114</v>
      </c>
      <c r="C1279" t="s">
        <v>12</v>
      </c>
      <c r="D1279" t="s">
        <v>13</v>
      </c>
      <c r="E1279">
        <v>1500</v>
      </c>
      <c r="F1279" t="s">
        <v>14</v>
      </c>
      <c r="G1279" t="s">
        <v>24</v>
      </c>
      <c r="H1279" t="s">
        <v>16</v>
      </c>
      <c r="I1279" t="s">
        <v>17</v>
      </c>
      <c r="J1279" t="s">
        <v>18</v>
      </c>
      <c r="K1279">
        <v>0</v>
      </c>
    </row>
    <row r="1280" spans="1:11" x14ac:dyDescent="0.25">
      <c r="A1280" t="s">
        <v>1318</v>
      </c>
      <c r="B1280" s="1">
        <v>45057</v>
      </c>
      <c r="C1280" t="s">
        <v>20</v>
      </c>
      <c r="D1280" t="s">
        <v>13</v>
      </c>
      <c r="E1280">
        <v>500</v>
      </c>
      <c r="F1280" t="s">
        <v>49</v>
      </c>
      <c r="G1280" t="s">
        <v>24</v>
      </c>
      <c r="H1280" t="s">
        <v>33</v>
      </c>
      <c r="I1280" t="s">
        <v>34</v>
      </c>
      <c r="J1280" t="s">
        <v>35</v>
      </c>
      <c r="K1280">
        <v>0</v>
      </c>
    </row>
    <row r="1281" spans="1:11" x14ac:dyDescent="0.25">
      <c r="A1281" t="s">
        <v>1319</v>
      </c>
      <c r="B1281" s="1">
        <v>45500</v>
      </c>
      <c r="C1281" t="s">
        <v>31</v>
      </c>
      <c r="D1281" t="s">
        <v>27</v>
      </c>
      <c r="E1281">
        <v>10800</v>
      </c>
      <c r="F1281" t="s">
        <v>49</v>
      </c>
      <c r="G1281" t="s">
        <v>28</v>
      </c>
      <c r="H1281" t="s">
        <v>33</v>
      </c>
      <c r="I1281" t="s">
        <v>34</v>
      </c>
      <c r="J1281" t="s">
        <v>22</v>
      </c>
      <c r="K1281">
        <v>0.1</v>
      </c>
    </row>
    <row r="1282" spans="1:11" x14ac:dyDescent="0.25">
      <c r="A1282" t="s">
        <v>1320</v>
      </c>
      <c r="B1282" s="1">
        <v>45462</v>
      </c>
      <c r="C1282" t="s">
        <v>12</v>
      </c>
      <c r="D1282" t="s">
        <v>27</v>
      </c>
      <c r="E1282">
        <v>16200</v>
      </c>
      <c r="F1282" t="s">
        <v>21</v>
      </c>
      <c r="G1282" t="s">
        <v>24</v>
      </c>
      <c r="H1282" t="s">
        <v>33</v>
      </c>
      <c r="I1282" t="s">
        <v>34</v>
      </c>
      <c r="J1282" t="s">
        <v>22</v>
      </c>
      <c r="K1282">
        <v>0.1</v>
      </c>
    </row>
    <row r="1283" spans="1:11" x14ac:dyDescent="0.25">
      <c r="A1283" t="s">
        <v>1321</v>
      </c>
      <c r="B1283" s="1">
        <v>45086</v>
      </c>
      <c r="C1283" t="s">
        <v>20</v>
      </c>
      <c r="D1283" t="s">
        <v>27</v>
      </c>
      <c r="E1283">
        <v>5400</v>
      </c>
      <c r="F1283" t="s">
        <v>14</v>
      </c>
      <c r="G1283" t="s">
        <v>15</v>
      </c>
      <c r="H1283" t="s">
        <v>16</v>
      </c>
      <c r="I1283" t="s">
        <v>17</v>
      </c>
      <c r="J1283" t="s">
        <v>22</v>
      </c>
      <c r="K1283">
        <v>0.1</v>
      </c>
    </row>
    <row r="1284" spans="1:11" x14ac:dyDescent="0.25">
      <c r="A1284" t="s">
        <v>1322</v>
      </c>
      <c r="B1284" s="1">
        <v>45398</v>
      </c>
      <c r="C1284" t="s">
        <v>20</v>
      </c>
      <c r="D1284" t="s">
        <v>27</v>
      </c>
      <c r="E1284">
        <v>5400</v>
      </c>
      <c r="F1284" t="s">
        <v>32</v>
      </c>
      <c r="G1284" t="s">
        <v>15</v>
      </c>
      <c r="H1284" t="s">
        <v>33</v>
      </c>
      <c r="I1284" t="s">
        <v>34</v>
      </c>
      <c r="J1284" t="s">
        <v>44</v>
      </c>
      <c r="K1284">
        <v>0.1</v>
      </c>
    </row>
    <row r="1285" spans="1:11" x14ac:dyDescent="0.25">
      <c r="A1285" t="s">
        <v>1323</v>
      </c>
      <c r="B1285" s="1">
        <v>45163</v>
      </c>
      <c r="C1285" t="s">
        <v>20</v>
      </c>
      <c r="D1285" t="s">
        <v>13</v>
      </c>
      <c r="E1285">
        <v>500</v>
      </c>
      <c r="F1285" t="s">
        <v>49</v>
      </c>
      <c r="G1285" t="s">
        <v>15</v>
      </c>
      <c r="H1285" t="s">
        <v>33</v>
      </c>
      <c r="I1285" t="s">
        <v>34</v>
      </c>
      <c r="J1285" t="s">
        <v>25</v>
      </c>
      <c r="K1285">
        <v>0</v>
      </c>
    </row>
    <row r="1286" spans="1:11" x14ac:dyDescent="0.25">
      <c r="A1286" t="s">
        <v>1324</v>
      </c>
      <c r="B1286" s="1">
        <v>45656</v>
      </c>
      <c r="C1286" t="s">
        <v>20</v>
      </c>
      <c r="D1286" t="s">
        <v>27</v>
      </c>
      <c r="E1286">
        <v>5400</v>
      </c>
      <c r="F1286" t="s">
        <v>14</v>
      </c>
      <c r="G1286" t="s">
        <v>24</v>
      </c>
      <c r="H1286" t="s">
        <v>16</v>
      </c>
      <c r="I1286" t="s">
        <v>17</v>
      </c>
      <c r="J1286" t="s">
        <v>37</v>
      </c>
      <c r="K1286">
        <v>0.1</v>
      </c>
    </row>
    <row r="1287" spans="1:11" x14ac:dyDescent="0.25">
      <c r="A1287" t="s">
        <v>1325</v>
      </c>
      <c r="B1287" s="1">
        <v>45553</v>
      </c>
      <c r="C1287" t="s">
        <v>20</v>
      </c>
      <c r="D1287" t="s">
        <v>13</v>
      </c>
      <c r="E1287">
        <v>500</v>
      </c>
      <c r="F1287" t="s">
        <v>49</v>
      </c>
      <c r="G1287" t="s">
        <v>15</v>
      </c>
      <c r="H1287" t="s">
        <v>16</v>
      </c>
      <c r="I1287" t="s">
        <v>17</v>
      </c>
      <c r="J1287" t="s">
        <v>25</v>
      </c>
      <c r="K1287">
        <v>0</v>
      </c>
    </row>
    <row r="1288" spans="1:11" x14ac:dyDescent="0.25">
      <c r="A1288" t="s">
        <v>1326</v>
      </c>
      <c r="B1288" s="1">
        <v>45091</v>
      </c>
      <c r="C1288" t="s">
        <v>12</v>
      </c>
      <c r="D1288" t="s">
        <v>27</v>
      </c>
      <c r="E1288">
        <v>16200</v>
      </c>
      <c r="F1288" t="s">
        <v>49</v>
      </c>
      <c r="G1288" t="s">
        <v>15</v>
      </c>
      <c r="H1288" t="s">
        <v>33</v>
      </c>
      <c r="I1288" t="s">
        <v>34</v>
      </c>
      <c r="J1288" t="s">
        <v>50</v>
      </c>
      <c r="K1288">
        <v>0.1</v>
      </c>
    </row>
    <row r="1289" spans="1:11" x14ac:dyDescent="0.25">
      <c r="A1289" t="s">
        <v>1327</v>
      </c>
      <c r="B1289" s="1">
        <v>45229</v>
      </c>
      <c r="C1289" t="s">
        <v>20</v>
      </c>
      <c r="D1289" t="s">
        <v>13</v>
      </c>
      <c r="E1289">
        <v>500</v>
      </c>
      <c r="F1289" t="s">
        <v>21</v>
      </c>
      <c r="G1289" t="s">
        <v>28</v>
      </c>
      <c r="H1289" t="s">
        <v>33</v>
      </c>
      <c r="I1289" t="s">
        <v>34</v>
      </c>
      <c r="J1289" t="s">
        <v>25</v>
      </c>
      <c r="K1289">
        <v>0</v>
      </c>
    </row>
    <row r="1290" spans="1:11" x14ac:dyDescent="0.25">
      <c r="A1290" t="s">
        <v>1328</v>
      </c>
      <c r="B1290" s="1">
        <v>45547</v>
      </c>
      <c r="C1290" t="s">
        <v>20</v>
      </c>
      <c r="D1290" t="s">
        <v>13</v>
      </c>
      <c r="E1290">
        <v>500</v>
      </c>
      <c r="F1290" t="s">
        <v>21</v>
      </c>
      <c r="G1290" t="s">
        <v>28</v>
      </c>
      <c r="H1290" t="s">
        <v>16</v>
      </c>
      <c r="I1290" t="s">
        <v>17</v>
      </c>
      <c r="J1290" t="s">
        <v>29</v>
      </c>
      <c r="K1290">
        <v>0</v>
      </c>
    </row>
    <row r="1291" spans="1:11" x14ac:dyDescent="0.25">
      <c r="A1291" t="s">
        <v>1329</v>
      </c>
      <c r="B1291" s="1">
        <v>45004</v>
      </c>
      <c r="C1291" t="s">
        <v>12</v>
      </c>
      <c r="D1291" t="s">
        <v>27</v>
      </c>
      <c r="E1291">
        <v>16200</v>
      </c>
      <c r="F1291" t="s">
        <v>49</v>
      </c>
      <c r="G1291" t="s">
        <v>24</v>
      </c>
      <c r="H1291" t="s">
        <v>16</v>
      </c>
      <c r="I1291" t="s">
        <v>17</v>
      </c>
      <c r="J1291" t="s">
        <v>58</v>
      </c>
      <c r="K1291">
        <v>0.1</v>
      </c>
    </row>
    <row r="1292" spans="1:11" x14ac:dyDescent="0.25">
      <c r="A1292" t="s">
        <v>1330</v>
      </c>
      <c r="B1292" s="1">
        <v>44940</v>
      </c>
      <c r="C1292" t="s">
        <v>31</v>
      </c>
      <c r="D1292" t="s">
        <v>13</v>
      </c>
      <c r="E1292">
        <v>1000</v>
      </c>
      <c r="F1292" t="s">
        <v>49</v>
      </c>
      <c r="G1292" t="s">
        <v>15</v>
      </c>
      <c r="H1292" t="s">
        <v>33</v>
      </c>
      <c r="I1292" t="s">
        <v>34</v>
      </c>
      <c r="J1292" t="s">
        <v>35</v>
      </c>
      <c r="K1292">
        <v>0</v>
      </c>
    </row>
    <row r="1293" spans="1:11" x14ac:dyDescent="0.25">
      <c r="A1293" t="s">
        <v>1331</v>
      </c>
      <c r="B1293" s="1">
        <v>44957</v>
      </c>
      <c r="C1293" t="s">
        <v>20</v>
      </c>
      <c r="D1293" t="s">
        <v>13</v>
      </c>
      <c r="E1293">
        <v>500</v>
      </c>
      <c r="F1293" t="s">
        <v>14</v>
      </c>
      <c r="G1293" t="s">
        <v>15</v>
      </c>
      <c r="H1293" t="s">
        <v>16</v>
      </c>
      <c r="I1293" t="s">
        <v>17</v>
      </c>
      <c r="J1293" t="s">
        <v>37</v>
      </c>
      <c r="K1293">
        <v>0</v>
      </c>
    </row>
    <row r="1294" spans="1:11" x14ac:dyDescent="0.25">
      <c r="A1294" t="s">
        <v>1332</v>
      </c>
      <c r="B1294" s="1">
        <v>45070</v>
      </c>
      <c r="C1294" t="s">
        <v>20</v>
      </c>
      <c r="D1294" t="s">
        <v>13</v>
      </c>
      <c r="E1294">
        <v>500</v>
      </c>
      <c r="F1294" t="s">
        <v>49</v>
      </c>
      <c r="G1294" t="s">
        <v>15</v>
      </c>
      <c r="H1294" t="s">
        <v>33</v>
      </c>
      <c r="I1294" t="s">
        <v>34</v>
      </c>
      <c r="J1294" t="s">
        <v>22</v>
      </c>
      <c r="K1294">
        <v>0</v>
      </c>
    </row>
    <row r="1295" spans="1:11" x14ac:dyDescent="0.25">
      <c r="A1295" t="s">
        <v>1333</v>
      </c>
      <c r="B1295" s="1">
        <v>45081</v>
      </c>
      <c r="C1295" t="s">
        <v>31</v>
      </c>
      <c r="D1295" t="s">
        <v>13</v>
      </c>
      <c r="E1295">
        <v>1000</v>
      </c>
      <c r="F1295" t="s">
        <v>49</v>
      </c>
      <c r="G1295" t="s">
        <v>24</v>
      </c>
      <c r="H1295" t="s">
        <v>16</v>
      </c>
      <c r="I1295" t="s">
        <v>17</v>
      </c>
      <c r="J1295" t="s">
        <v>58</v>
      </c>
      <c r="K1295">
        <v>0</v>
      </c>
    </row>
    <row r="1296" spans="1:11" x14ac:dyDescent="0.25">
      <c r="A1296" t="s">
        <v>1334</v>
      </c>
      <c r="B1296" s="1">
        <v>45589</v>
      </c>
      <c r="C1296" t="s">
        <v>12</v>
      </c>
      <c r="D1296" t="s">
        <v>13</v>
      </c>
      <c r="E1296">
        <v>1500</v>
      </c>
      <c r="F1296" t="s">
        <v>49</v>
      </c>
      <c r="G1296" t="s">
        <v>24</v>
      </c>
      <c r="H1296" t="s">
        <v>33</v>
      </c>
      <c r="I1296" t="s">
        <v>34</v>
      </c>
      <c r="J1296" t="s">
        <v>25</v>
      </c>
      <c r="K1296">
        <v>0</v>
      </c>
    </row>
    <row r="1297" spans="1:11" x14ac:dyDescent="0.25">
      <c r="A1297" t="s">
        <v>1335</v>
      </c>
      <c r="B1297" s="1">
        <v>44963</v>
      </c>
      <c r="C1297" t="s">
        <v>31</v>
      </c>
      <c r="D1297" t="s">
        <v>13</v>
      </c>
      <c r="E1297">
        <v>1000</v>
      </c>
      <c r="F1297" t="s">
        <v>14</v>
      </c>
      <c r="G1297" t="s">
        <v>15</v>
      </c>
      <c r="H1297" t="s">
        <v>16</v>
      </c>
      <c r="I1297" t="s">
        <v>17</v>
      </c>
      <c r="J1297" t="s">
        <v>37</v>
      </c>
      <c r="K1297">
        <v>0</v>
      </c>
    </row>
    <row r="1298" spans="1:11" x14ac:dyDescent="0.25">
      <c r="A1298" t="s">
        <v>1336</v>
      </c>
      <c r="B1298" s="1">
        <v>45461</v>
      </c>
      <c r="C1298" t="s">
        <v>12</v>
      </c>
      <c r="D1298" t="s">
        <v>27</v>
      </c>
      <c r="E1298">
        <v>16200</v>
      </c>
      <c r="F1298" t="s">
        <v>49</v>
      </c>
      <c r="G1298" t="s">
        <v>15</v>
      </c>
      <c r="H1298" t="s">
        <v>33</v>
      </c>
      <c r="I1298" t="s">
        <v>34</v>
      </c>
      <c r="J1298" t="s">
        <v>35</v>
      </c>
      <c r="K1298">
        <v>0.1</v>
      </c>
    </row>
    <row r="1299" spans="1:11" x14ac:dyDescent="0.25">
      <c r="A1299" t="s">
        <v>1337</v>
      </c>
      <c r="B1299" s="1">
        <v>45313</v>
      </c>
      <c r="C1299" t="s">
        <v>31</v>
      </c>
      <c r="D1299" t="s">
        <v>27</v>
      </c>
      <c r="E1299">
        <v>10800</v>
      </c>
      <c r="F1299" t="s">
        <v>32</v>
      </c>
      <c r="G1299" t="s">
        <v>24</v>
      </c>
      <c r="H1299" t="s">
        <v>33</v>
      </c>
      <c r="I1299" t="s">
        <v>34</v>
      </c>
      <c r="J1299" t="s">
        <v>44</v>
      </c>
      <c r="K1299">
        <v>0.1</v>
      </c>
    </row>
    <row r="1300" spans="1:11" x14ac:dyDescent="0.25">
      <c r="A1300" t="s">
        <v>1338</v>
      </c>
      <c r="B1300" s="1">
        <v>45630</v>
      </c>
      <c r="C1300" t="s">
        <v>12</v>
      </c>
      <c r="D1300" t="s">
        <v>27</v>
      </c>
      <c r="E1300">
        <v>16200</v>
      </c>
      <c r="F1300" t="s">
        <v>32</v>
      </c>
      <c r="G1300" t="s">
        <v>24</v>
      </c>
      <c r="H1300" t="s">
        <v>33</v>
      </c>
      <c r="I1300" t="s">
        <v>34</v>
      </c>
      <c r="J1300" t="s">
        <v>25</v>
      </c>
      <c r="K1300">
        <v>0.1</v>
      </c>
    </row>
    <row r="1301" spans="1:11" x14ac:dyDescent="0.25">
      <c r="A1301" t="s">
        <v>1339</v>
      </c>
      <c r="B1301" s="1">
        <v>45068</v>
      </c>
      <c r="C1301" t="s">
        <v>20</v>
      </c>
      <c r="D1301" t="s">
        <v>27</v>
      </c>
      <c r="E1301">
        <v>5400</v>
      </c>
      <c r="F1301" t="s">
        <v>49</v>
      </c>
      <c r="G1301" t="s">
        <v>24</v>
      </c>
      <c r="H1301" t="s">
        <v>16</v>
      </c>
      <c r="I1301" t="s">
        <v>17</v>
      </c>
      <c r="J1301" t="s">
        <v>25</v>
      </c>
      <c r="K1301">
        <v>0.1</v>
      </c>
    </row>
    <row r="1302" spans="1:11" x14ac:dyDescent="0.25">
      <c r="A1302" t="s">
        <v>1340</v>
      </c>
      <c r="B1302" s="1">
        <v>45129</v>
      </c>
      <c r="C1302" t="s">
        <v>20</v>
      </c>
      <c r="D1302" t="s">
        <v>13</v>
      </c>
      <c r="E1302">
        <v>500</v>
      </c>
      <c r="F1302" t="s">
        <v>14</v>
      </c>
      <c r="G1302" t="s">
        <v>15</v>
      </c>
      <c r="H1302" t="s">
        <v>33</v>
      </c>
      <c r="I1302" t="s">
        <v>34</v>
      </c>
      <c r="J1302" t="s">
        <v>41</v>
      </c>
      <c r="K1302">
        <v>0</v>
      </c>
    </row>
    <row r="1303" spans="1:11" x14ac:dyDescent="0.25">
      <c r="A1303" t="s">
        <v>1341</v>
      </c>
      <c r="B1303" s="1">
        <v>45449</v>
      </c>
      <c r="C1303" t="s">
        <v>12</v>
      </c>
      <c r="D1303" t="s">
        <v>13</v>
      </c>
      <c r="E1303">
        <v>1500</v>
      </c>
      <c r="F1303" t="s">
        <v>14</v>
      </c>
      <c r="G1303" t="s">
        <v>15</v>
      </c>
      <c r="H1303" t="s">
        <v>33</v>
      </c>
      <c r="I1303" t="s">
        <v>34</v>
      </c>
      <c r="J1303" t="s">
        <v>55</v>
      </c>
      <c r="K1303">
        <v>0</v>
      </c>
    </row>
    <row r="1304" spans="1:11" x14ac:dyDescent="0.25">
      <c r="A1304" t="s">
        <v>1342</v>
      </c>
      <c r="B1304" s="1">
        <v>45186</v>
      </c>
      <c r="C1304" t="s">
        <v>12</v>
      </c>
      <c r="D1304" t="s">
        <v>27</v>
      </c>
      <c r="E1304">
        <v>16200</v>
      </c>
      <c r="F1304" t="s">
        <v>14</v>
      </c>
      <c r="G1304" t="s">
        <v>24</v>
      </c>
      <c r="H1304" t="s">
        <v>33</v>
      </c>
      <c r="I1304" t="s">
        <v>34</v>
      </c>
      <c r="J1304" t="s">
        <v>22</v>
      </c>
      <c r="K1304">
        <v>0.1</v>
      </c>
    </row>
    <row r="1305" spans="1:11" x14ac:dyDescent="0.25">
      <c r="A1305" t="s">
        <v>1343</v>
      </c>
      <c r="B1305" s="1">
        <v>45312</v>
      </c>
      <c r="C1305" t="s">
        <v>20</v>
      </c>
      <c r="D1305" t="s">
        <v>27</v>
      </c>
      <c r="E1305">
        <v>5400</v>
      </c>
      <c r="F1305" t="s">
        <v>14</v>
      </c>
      <c r="G1305" t="s">
        <v>24</v>
      </c>
      <c r="H1305" t="s">
        <v>16</v>
      </c>
      <c r="I1305" t="s">
        <v>17</v>
      </c>
      <c r="J1305" t="s">
        <v>41</v>
      </c>
      <c r="K1305">
        <v>0.1</v>
      </c>
    </row>
    <row r="1306" spans="1:11" x14ac:dyDescent="0.25">
      <c r="A1306" t="s">
        <v>1344</v>
      </c>
      <c r="B1306" s="1">
        <v>44933</v>
      </c>
      <c r="C1306" t="s">
        <v>12</v>
      </c>
      <c r="D1306" t="s">
        <v>13</v>
      </c>
      <c r="E1306">
        <v>1500</v>
      </c>
      <c r="F1306" t="s">
        <v>21</v>
      </c>
      <c r="G1306" t="s">
        <v>28</v>
      </c>
      <c r="H1306" t="s">
        <v>33</v>
      </c>
      <c r="I1306" t="s">
        <v>34</v>
      </c>
      <c r="J1306" t="s">
        <v>18</v>
      </c>
      <c r="K1306">
        <v>0</v>
      </c>
    </row>
    <row r="1307" spans="1:11" x14ac:dyDescent="0.25">
      <c r="A1307" t="s">
        <v>1345</v>
      </c>
      <c r="B1307" s="1">
        <v>45475</v>
      </c>
      <c r="C1307" t="s">
        <v>12</v>
      </c>
      <c r="D1307" t="s">
        <v>13</v>
      </c>
      <c r="E1307">
        <v>1500</v>
      </c>
      <c r="F1307" t="s">
        <v>49</v>
      </c>
      <c r="G1307" t="s">
        <v>28</v>
      </c>
      <c r="H1307" t="s">
        <v>33</v>
      </c>
      <c r="I1307" t="s">
        <v>34</v>
      </c>
      <c r="J1307" t="s">
        <v>35</v>
      </c>
      <c r="K1307">
        <v>0</v>
      </c>
    </row>
    <row r="1308" spans="1:11" x14ac:dyDescent="0.25">
      <c r="A1308" t="s">
        <v>1346</v>
      </c>
      <c r="B1308" s="1">
        <v>45162</v>
      </c>
      <c r="C1308" t="s">
        <v>31</v>
      </c>
      <c r="D1308" t="s">
        <v>27</v>
      </c>
      <c r="E1308">
        <v>10800</v>
      </c>
      <c r="F1308" t="s">
        <v>32</v>
      </c>
      <c r="G1308" t="s">
        <v>28</v>
      </c>
      <c r="H1308" t="s">
        <v>16</v>
      </c>
      <c r="I1308" t="s">
        <v>17</v>
      </c>
      <c r="J1308" t="s">
        <v>25</v>
      </c>
      <c r="K1308">
        <v>0.1</v>
      </c>
    </row>
    <row r="1309" spans="1:11" x14ac:dyDescent="0.25">
      <c r="A1309" t="s">
        <v>1347</v>
      </c>
      <c r="B1309" s="1">
        <v>45040</v>
      </c>
      <c r="C1309" t="s">
        <v>31</v>
      </c>
      <c r="D1309" t="s">
        <v>13</v>
      </c>
      <c r="E1309">
        <v>1000</v>
      </c>
      <c r="F1309" t="s">
        <v>49</v>
      </c>
      <c r="G1309" t="s">
        <v>28</v>
      </c>
      <c r="H1309" t="s">
        <v>16</v>
      </c>
      <c r="I1309" t="s">
        <v>17</v>
      </c>
      <c r="J1309" t="s">
        <v>58</v>
      </c>
      <c r="K1309">
        <v>0</v>
      </c>
    </row>
    <row r="1310" spans="1:11" x14ac:dyDescent="0.25">
      <c r="A1310" t="s">
        <v>1348</v>
      </c>
      <c r="B1310" s="1">
        <v>45322</v>
      </c>
      <c r="C1310" t="s">
        <v>12</v>
      </c>
      <c r="D1310" t="s">
        <v>27</v>
      </c>
      <c r="E1310">
        <v>16200</v>
      </c>
      <c r="F1310" t="s">
        <v>32</v>
      </c>
      <c r="G1310" t="s">
        <v>24</v>
      </c>
      <c r="H1310" t="s">
        <v>16</v>
      </c>
      <c r="I1310" t="s">
        <v>17</v>
      </c>
      <c r="J1310" t="s">
        <v>25</v>
      </c>
      <c r="K1310">
        <v>0.1</v>
      </c>
    </row>
    <row r="1311" spans="1:11" x14ac:dyDescent="0.25">
      <c r="A1311" t="s">
        <v>1349</v>
      </c>
      <c r="B1311" s="1">
        <v>44988</v>
      </c>
      <c r="C1311" t="s">
        <v>31</v>
      </c>
      <c r="D1311" t="s">
        <v>13</v>
      </c>
      <c r="E1311">
        <v>1000</v>
      </c>
      <c r="F1311" t="s">
        <v>49</v>
      </c>
      <c r="G1311" t="s">
        <v>28</v>
      </c>
      <c r="H1311" t="s">
        <v>16</v>
      </c>
      <c r="I1311" t="s">
        <v>17</v>
      </c>
      <c r="J1311" t="s">
        <v>22</v>
      </c>
      <c r="K1311">
        <v>0</v>
      </c>
    </row>
    <row r="1312" spans="1:11" x14ac:dyDescent="0.25">
      <c r="A1312" t="s">
        <v>1350</v>
      </c>
      <c r="B1312" s="1">
        <v>45254</v>
      </c>
      <c r="C1312" t="s">
        <v>20</v>
      </c>
      <c r="D1312" t="s">
        <v>27</v>
      </c>
      <c r="E1312">
        <v>5400</v>
      </c>
      <c r="F1312" t="s">
        <v>14</v>
      </c>
      <c r="G1312" t="s">
        <v>28</v>
      </c>
      <c r="H1312" t="s">
        <v>33</v>
      </c>
      <c r="I1312" t="s">
        <v>34</v>
      </c>
      <c r="J1312" t="s">
        <v>22</v>
      </c>
      <c r="K1312">
        <v>0.1</v>
      </c>
    </row>
    <row r="1313" spans="1:11" x14ac:dyDescent="0.25">
      <c r="A1313" t="s">
        <v>1351</v>
      </c>
      <c r="B1313" s="1">
        <v>45164</v>
      </c>
      <c r="C1313" t="s">
        <v>20</v>
      </c>
      <c r="D1313" t="s">
        <v>13</v>
      </c>
      <c r="E1313">
        <v>500</v>
      </c>
      <c r="F1313" t="s">
        <v>14</v>
      </c>
      <c r="G1313" t="s">
        <v>24</v>
      </c>
      <c r="H1313" t="s">
        <v>33</v>
      </c>
      <c r="I1313" t="s">
        <v>34</v>
      </c>
      <c r="J1313" t="s">
        <v>22</v>
      </c>
      <c r="K1313">
        <v>0</v>
      </c>
    </row>
    <row r="1314" spans="1:11" x14ac:dyDescent="0.25">
      <c r="A1314" t="s">
        <v>1352</v>
      </c>
      <c r="B1314" s="1">
        <v>45435</v>
      </c>
      <c r="C1314" t="s">
        <v>20</v>
      </c>
      <c r="D1314" t="s">
        <v>27</v>
      </c>
      <c r="E1314">
        <v>5400</v>
      </c>
      <c r="F1314" t="s">
        <v>21</v>
      </c>
      <c r="G1314" t="s">
        <v>28</v>
      </c>
      <c r="H1314" t="s">
        <v>16</v>
      </c>
      <c r="I1314" t="s">
        <v>17</v>
      </c>
      <c r="J1314" t="s">
        <v>22</v>
      </c>
      <c r="K1314">
        <v>0.1</v>
      </c>
    </row>
    <row r="1315" spans="1:11" x14ac:dyDescent="0.25">
      <c r="A1315" t="s">
        <v>1353</v>
      </c>
      <c r="B1315" s="1">
        <v>45642</v>
      </c>
      <c r="C1315" t="s">
        <v>20</v>
      </c>
      <c r="D1315" t="s">
        <v>27</v>
      </c>
      <c r="E1315">
        <v>5400</v>
      </c>
      <c r="F1315" t="s">
        <v>32</v>
      </c>
      <c r="G1315" t="s">
        <v>28</v>
      </c>
      <c r="H1315" t="s">
        <v>16</v>
      </c>
      <c r="I1315" t="s">
        <v>17</v>
      </c>
      <c r="J1315" t="s">
        <v>25</v>
      </c>
      <c r="K1315">
        <v>0.1</v>
      </c>
    </row>
    <row r="1316" spans="1:11" x14ac:dyDescent="0.25">
      <c r="A1316" t="s">
        <v>1354</v>
      </c>
      <c r="B1316" s="1">
        <v>45058</v>
      </c>
      <c r="C1316" t="s">
        <v>31</v>
      </c>
      <c r="D1316" t="s">
        <v>13</v>
      </c>
      <c r="E1316">
        <v>1000</v>
      </c>
      <c r="F1316" t="s">
        <v>21</v>
      </c>
      <c r="G1316" t="s">
        <v>15</v>
      </c>
      <c r="H1316" t="s">
        <v>33</v>
      </c>
      <c r="I1316" t="s">
        <v>34</v>
      </c>
      <c r="J1316" t="s">
        <v>22</v>
      </c>
      <c r="K1316">
        <v>0</v>
      </c>
    </row>
    <row r="1317" spans="1:11" x14ac:dyDescent="0.25">
      <c r="A1317" t="s">
        <v>1355</v>
      </c>
      <c r="B1317" s="1">
        <v>45535</v>
      </c>
      <c r="C1317" t="s">
        <v>31</v>
      </c>
      <c r="D1317" t="s">
        <v>27</v>
      </c>
      <c r="E1317">
        <v>10800</v>
      </c>
      <c r="F1317" t="s">
        <v>14</v>
      </c>
      <c r="G1317" t="s">
        <v>24</v>
      </c>
      <c r="H1317" t="s">
        <v>33</v>
      </c>
      <c r="I1317" t="s">
        <v>34</v>
      </c>
      <c r="J1317" t="s">
        <v>22</v>
      </c>
      <c r="K1317">
        <v>0.1</v>
      </c>
    </row>
    <row r="1318" spans="1:11" x14ac:dyDescent="0.25">
      <c r="A1318" t="s">
        <v>1356</v>
      </c>
      <c r="B1318" s="1">
        <v>45088</v>
      </c>
      <c r="C1318" t="s">
        <v>12</v>
      </c>
      <c r="D1318" t="s">
        <v>13</v>
      </c>
      <c r="E1318">
        <v>1500</v>
      </c>
      <c r="F1318" t="s">
        <v>32</v>
      </c>
      <c r="G1318" t="s">
        <v>28</v>
      </c>
      <c r="H1318" t="s">
        <v>33</v>
      </c>
      <c r="I1318" t="s">
        <v>34</v>
      </c>
      <c r="J1318" t="s">
        <v>39</v>
      </c>
      <c r="K1318">
        <v>0</v>
      </c>
    </row>
    <row r="1319" spans="1:11" x14ac:dyDescent="0.25">
      <c r="A1319" t="s">
        <v>1357</v>
      </c>
      <c r="B1319" s="1">
        <v>45516</v>
      </c>
      <c r="C1319" t="s">
        <v>31</v>
      </c>
      <c r="D1319" t="s">
        <v>27</v>
      </c>
      <c r="E1319">
        <v>10800</v>
      </c>
      <c r="F1319" t="s">
        <v>21</v>
      </c>
      <c r="G1319" t="s">
        <v>28</v>
      </c>
      <c r="H1319" t="s">
        <v>16</v>
      </c>
      <c r="I1319" t="s">
        <v>17</v>
      </c>
      <c r="J1319" t="s">
        <v>18</v>
      </c>
      <c r="K1319">
        <v>0.1</v>
      </c>
    </row>
    <row r="1320" spans="1:11" x14ac:dyDescent="0.25">
      <c r="A1320" t="s">
        <v>1358</v>
      </c>
      <c r="B1320" s="1">
        <v>45558</v>
      </c>
      <c r="C1320" t="s">
        <v>12</v>
      </c>
      <c r="D1320" t="s">
        <v>27</v>
      </c>
      <c r="E1320">
        <v>16200</v>
      </c>
      <c r="F1320" t="s">
        <v>49</v>
      </c>
      <c r="G1320" t="s">
        <v>24</v>
      </c>
      <c r="H1320" t="s">
        <v>33</v>
      </c>
      <c r="I1320" t="s">
        <v>34</v>
      </c>
      <c r="J1320" t="s">
        <v>25</v>
      </c>
      <c r="K1320">
        <v>0.1</v>
      </c>
    </row>
    <row r="1321" spans="1:11" x14ac:dyDescent="0.25">
      <c r="A1321" t="s">
        <v>1359</v>
      </c>
      <c r="B1321" s="1">
        <v>45245</v>
      </c>
      <c r="C1321" t="s">
        <v>31</v>
      </c>
      <c r="D1321" t="s">
        <v>13</v>
      </c>
      <c r="E1321">
        <v>1000</v>
      </c>
      <c r="F1321" t="s">
        <v>49</v>
      </c>
      <c r="G1321" t="s">
        <v>24</v>
      </c>
      <c r="H1321" t="s">
        <v>33</v>
      </c>
      <c r="I1321" t="s">
        <v>34</v>
      </c>
      <c r="J1321" t="s">
        <v>58</v>
      </c>
      <c r="K1321">
        <v>0</v>
      </c>
    </row>
    <row r="1322" spans="1:11" x14ac:dyDescent="0.25">
      <c r="A1322" t="s">
        <v>1360</v>
      </c>
      <c r="B1322" s="1">
        <v>45126</v>
      </c>
      <c r="C1322" t="s">
        <v>31</v>
      </c>
      <c r="D1322" t="s">
        <v>27</v>
      </c>
      <c r="E1322">
        <v>10800</v>
      </c>
      <c r="F1322" t="s">
        <v>14</v>
      </c>
      <c r="G1322" t="s">
        <v>15</v>
      </c>
      <c r="H1322" t="s">
        <v>33</v>
      </c>
      <c r="I1322" t="s">
        <v>34</v>
      </c>
      <c r="J1322" t="s">
        <v>22</v>
      </c>
      <c r="K1322">
        <v>0.1</v>
      </c>
    </row>
    <row r="1323" spans="1:11" x14ac:dyDescent="0.25">
      <c r="A1323" t="s">
        <v>1361</v>
      </c>
      <c r="B1323" s="1">
        <v>45263</v>
      </c>
      <c r="C1323" t="s">
        <v>31</v>
      </c>
      <c r="D1323" t="s">
        <v>27</v>
      </c>
      <c r="E1323">
        <v>10800</v>
      </c>
      <c r="F1323" t="s">
        <v>14</v>
      </c>
      <c r="G1323" t="s">
        <v>28</v>
      </c>
      <c r="H1323" t="s">
        <v>33</v>
      </c>
      <c r="I1323" t="s">
        <v>34</v>
      </c>
      <c r="J1323" t="s">
        <v>18</v>
      </c>
      <c r="K1323">
        <v>0.1</v>
      </c>
    </row>
    <row r="1324" spans="1:11" x14ac:dyDescent="0.25">
      <c r="A1324" t="s">
        <v>1362</v>
      </c>
      <c r="B1324" s="1">
        <v>45231</v>
      </c>
      <c r="C1324" t="s">
        <v>12</v>
      </c>
      <c r="D1324" t="s">
        <v>13</v>
      </c>
      <c r="E1324">
        <v>1500</v>
      </c>
      <c r="F1324" t="s">
        <v>32</v>
      </c>
      <c r="G1324" t="s">
        <v>24</v>
      </c>
      <c r="H1324" t="s">
        <v>33</v>
      </c>
      <c r="I1324" t="s">
        <v>34</v>
      </c>
      <c r="J1324" t="s">
        <v>39</v>
      </c>
      <c r="K1324">
        <v>0</v>
      </c>
    </row>
    <row r="1325" spans="1:11" x14ac:dyDescent="0.25">
      <c r="A1325" t="s">
        <v>1363</v>
      </c>
      <c r="B1325" s="1">
        <v>45497</v>
      </c>
      <c r="C1325" t="s">
        <v>20</v>
      </c>
      <c r="D1325" t="s">
        <v>27</v>
      </c>
      <c r="E1325">
        <v>5400</v>
      </c>
      <c r="F1325" t="s">
        <v>21</v>
      </c>
      <c r="G1325" t="s">
        <v>15</v>
      </c>
      <c r="H1325" t="s">
        <v>16</v>
      </c>
      <c r="I1325" t="s">
        <v>17</v>
      </c>
      <c r="J1325" t="s">
        <v>18</v>
      </c>
      <c r="K1325">
        <v>0.1</v>
      </c>
    </row>
    <row r="1326" spans="1:11" x14ac:dyDescent="0.25">
      <c r="A1326" t="s">
        <v>1364</v>
      </c>
      <c r="B1326" s="1">
        <v>45482</v>
      </c>
      <c r="C1326" t="s">
        <v>20</v>
      </c>
      <c r="D1326" t="s">
        <v>13</v>
      </c>
      <c r="E1326">
        <v>500</v>
      </c>
      <c r="F1326" t="s">
        <v>14</v>
      </c>
      <c r="G1326" t="s">
        <v>28</v>
      </c>
      <c r="H1326" t="s">
        <v>16</v>
      </c>
      <c r="I1326" t="s">
        <v>17</v>
      </c>
      <c r="J1326" t="s">
        <v>18</v>
      </c>
      <c r="K1326">
        <v>0</v>
      </c>
    </row>
    <row r="1327" spans="1:11" x14ac:dyDescent="0.25">
      <c r="A1327" t="s">
        <v>1365</v>
      </c>
      <c r="B1327" s="1">
        <v>45640</v>
      </c>
      <c r="C1327" t="s">
        <v>20</v>
      </c>
      <c r="D1327" t="s">
        <v>13</v>
      </c>
      <c r="E1327">
        <v>500</v>
      </c>
      <c r="F1327" t="s">
        <v>49</v>
      </c>
      <c r="G1327" t="s">
        <v>15</v>
      </c>
      <c r="H1327" t="s">
        <v>16</v>
      </c>
      <c r="I1327" t="s">
        <v>17</v>
      </c>
      <c r="J1327" t="s">
        <v>18</v>
      </c>
      <c r="K1327">
        <v>0</v>
      </c>
    </row>
    <row r="1328" spans="1:11" x14ac:dyDescent="0.25">
      <c r="A1328" t="s">
        <v>1366</v>
      </c>
      <c r="B1328" s="1">
        <v>44967</v>
      </c>
      <c r="C1328" t="s">
        <v>31</v>
      </c>
      <c r="D1328" t="s">
        <v>13</v>
      </c>
      <c r="E1328">
        <v>1000</v>
      </c>
      <c r="F1328" t="s">
        <v>32</v>
      </c>
      <c r="G1328" t="s">
        <v>24</v>
      </c>
      <c r="H1328" t="s">
        <v>33</v>
      </c>
      <c r="I1328" t="s">
        <v>34</v>
      </c>
      <c r="J1328" t="s">
        <v>66</v>
      </c>
      <c r="K1328">
        <v>0</v>
      </c>
    </row>
    <row r="1329" spans="1:11" x14ac:dyDescent="0.25">
      <c r="A1329" t="s">
        <v>1367</v>
      </c>
      <c r="B1329" s="1">
        <v>45549</v>
      </c>
      <c r="C1329" t="s">
        <v>12</v>
      </c>
      <c r="D1329" t="s">
        <v>27</v>
      </c>
      <c r="E1329">
        <v>16200</v>
      </c>
      <c r="F1329" t="s">
        <v>14</v>
      </c>
      <c r="G1329" t="s">
        <v>28</v>
      </c>
      <c r="H1329" t="s">
        <v>16</v>
      </c>
      <c r="I1329" t="s">
        <v>17</v>
      </c>
      <c r="J1329" t="s">
        <v>18</v>
      </c>
      <c r="K1329">
        <v>0.1</v>
      </c>
    </row>
    <row r="1330" spans="1:11" x14ac:dyDescent="0.25">
      <c r="A1330" t="s">
        <v>1368</v>
      </c>
      <c r="B1330" s="1">
        <v>44936</v>
      </c>
      <c r="C1330" t="s">
        <v>20</v>
      </c>
      <c r="D1330" t="s">
        <v>13</v>
      </c>
      <c r="E1330">
        <v>500</v>
      </c>
      <c r="F1330" t="s">
        <v>21</v>
      </c>
      <c r="G1330" t="s">
        <v>15</v>
      </c>
      <c r="H1330" t="s">
        <v>33</v>
      </c>
      <c r="I1330" t="s">
        <v>34</v>
      </c>
      <c r="J1330" t="s">
        <v>18</v>
      </c>
      <c r="K1330">
        <v>0</v>
      </c>
    </row>
    <row r="1331" spans="1:11" x14ac:dyDescent="0.25">
      <c r="A1331" t="s">
        <v>1369</v>
      </c>
      <c r="B1331" s="1">
        <v>44940</v>
      </c>
      <c r="C1331" t="s">
        <v>31</v>
      </c>
      <c r="D1331" t="s">
        <v>27</v>
      </c>
      <c r="E1331">
        <v>10800</v>
      </c>
      <c r="F1331" t="s">
        <v>14</v>
      </c>
      <c r="G1331" t="s">
        <v>15</v>
      </c>
      <c r="H1331" t="s">
        <v>33</v>
      </c>
      <c r="I1331" t="s">
        <v>34</v>
      </c>
      <c r="J1331" t="s">
        <v>41</v>
      </c>
      <c r="K1331">
        <v>0.1</v>
      </c>
    </row>
    <row r="1332" spans="1:11" x14ac:dyDescent="0.25">
      <c r="A1332" t="s">
        <v>1370</v>
      </c>
      <c r="B1332" s="1">
        <v>45417</v>
      </c>
      <c r="C1332" t="s">
        <v>20</v>
      </c>
      <c r="D1332" t="s">
        <v>27</v>
      </c>
      <c r="E1332">
        <v>5400</v>
      </c>
      <c r="F1332" t="s">
        <v>32</v>
      </c>
      <c r="G1332" t="s">
        <v>24</v>
      </c>
      <c r="H1332" t="s">
        <v>16</v>
      </c>
      <c r="I1332" t="s">
        <v>17</v>
      </c>
      <c r="J1332" t="s">
        <v>66</v>
      </c>
      <c r="K1332">
        <v>0.1</v>
      </c>
    </row>
    <row r="1333" spans="1:11" x14ac:dyDescent="0.25">
      <c r="A1333" t="s">
        <v>1371</v>
      </c>
      <c r="B1333" s="1">
        <v>44947</v>
      </c>
      <c r="C1333" t="s">
        <v>12</v>
      </c>
      <c r="D1333" t="s">
        <v>27</v>
      </c>
      <c r="E1333">
        <v>16200</v>
      </c>
      <c r="F1333" t="s">
        <v>32</v>
      </c>
      <c r="G1333" t="s">
        <v>28</v>
      </c>
      <c r="H1333" t="s">
        <v>33</v>
      </c>
      <c r="I1333" t="s">
        <v>34</v>
      </c>
      <c r="J1333" t="s">
        <v>44</v>
      </c>
      <c r="K1333">
        <v>0.1</v>
      </c>
    </row>
    <row r="1334" spans="1:11" x14ac:dyDescent="0.25">
      <c r="A1334" t="s">
        <v>1372</v>
      </c>
      <c r="B1334" s="1">
        <v>45049</v>
      </c>
      <c r="C1334" t="s">
        <v>31</v>
      </c>
      <c r="D1334" t="s">
        <v>13</v>
      </c>
      <c r="E1334">
        <v>1000</v>
      </c>
      <c r="F1334" t="s">
        <v>21</v>
      </c>
      <c r="G1334" t="s">
        <v>24</v>
      </c>
      <c r="H1334" t="s">
        <v>33</v>
      </c>
      <c r="I1334" t="s">
        <v>34</v>
      </c>
      <c r="J1334" t="s">
        <v>29</v>
      </c>
      <c r="K1334">
        <v>0</v>
      </c>
    </row>
    <row r="1335" spans="1:11" x14ac:dyDescent="0.25">
      <c r="A1335" t="s">
        <v>1373</v>
      </c>
      <c r="B1335" s="1">
        <v>45263</v>
      </c>
      <c r="C1335" t="s">
        <v>20</v>
      </c>
      <c r="D1335" t="s">
        <v>13</v>
      </c>
      <c r="E1335">
        <v>500</v>
      </c>
      <c r="F1335" t="s">
        <v>32</v>
      </c>
      <c r="G1335" t="s">
        <v>24</v>
      </c>
      <c r="H1335" t="s">
        <v>33</v>
      </c>
      <c r="I1335" t="s">
        <v>34</v>
      </c>
      <c r="J1335" t="s">
        <v>35</v>
      </c>
      <c r="K1335">
        <v>0</v>
      </c>
    </row>
    <row r="1336" spans="1:11" x14ac:dyDescent="0.25">
      <c r="A1336" t="s">
        <v>1374</v>
      </c>
      <c r="B1336" s="1">
        <v>45164</v>
      </c>
      <c r="C1336" t="s">
        <v>12</v>
      </c>
      <c r="D1336" t="s">
        <v>13</v>
      </c>
      <c r="E1336">
        <v>1500</v>
      </c>
      <c r="F1336" t="s">
        <v>32</v>
      </c>
      <c r="G1336" t="s">
        <v>28</v>
      </c>
      <c r="H1336" t="s">
        <v>16</v>
      </c>
      <c r="I1336" t="s">
        <v>17</v>
      </c>
      <c r="J1336" t="s">
        <v>35</v>
      </c>
      <c r="K1336">
        <v>0</v>
      </c>
    </row>
    <row r="1337" spans="1:11" x14ac:dyDescent="0.25">
      <c r="A1337" t="s">
        <v>1375</v>
      </c>
      <c r="B1337" s="1">
        <v>45091</v>
      </c>
      <c r="C1337" t="s">
        <v>12</v>
      </c>
      <c r="D1337" t="s">
        <v>13</v>
      </c>
      <c r="E1337">
        <v>1500</v>
      </c>
      <c r="F1337" t="s">
        <v>21</v>
      </c>
      <c r="G1337" t="s">
        <v>28</v>
      </c>
      <c r="H1337" t="s">
        <v>33</v>
      </c>
      <c r="I1337" t="s">
        <v>34</v>
      </c>
      <c r="J1337" t="s">
        <v>29</v>
      </c>
      <c r="K1337">
        <v>0</v>
      </c>
    </row>
    <row r="1338" spans="1:11" x14ac:dyDescent="0.25">
      <c r="A1338" t="s">
        <v>1376</v>
      </c>
      <c r="B1338" s="1">
        <v>45313</v>
      </c>
      <c r="C1338" t="s">
        <v>20</v>
      </c>
      <c r="D1338" t="s">
        <v>13</v>
      </c>
      <c r="E1338">
        <v>500</v>
      </c>
      <c r="F1338" t="s">
        <v>14</v>
      </c>
      <c r="G1338" t="s">
        <v>28</v>
      </c>
      <c r="H1338" t="s">
        <v>33</v>
      </c>
      <c r="I1338" t="s">
        <v>34</v>
      </c>
      <c r="J1338" t="s">
        <v>55</v>
      </c>
      <c r="K1338">
        <v>0</v>
      </c>
    </row>
    <row r="1339" spans="1:11" x14ac:dyDescent="0.25">
      <c r="A1339" t="s">
        <v>1377</v>
      </c>
      <c r="B1339" s="1">
        <v>45221</v>
      </c>
      <c r="C1339" t="s">
        <v>12</v>
      </c>
      <c r="D1339" t="s">
        <v>13</v>
      </c>
      <c r="E1339">
        <v>1500</v>
      </c>
      <c r="F1339" t="s">
        <v>49</v>
      </c>
      <c r="G1339" t="s">
        <v>24</v>
      </c>
      <c r="H1339" t="s">
        <v>16</v>
      </c>
      <c r="I1339" t="s">
        <v>17</v>
      </c>
      <c r="J1339" t="s">
        <v>22</v>
      </c>
      <c r="K1339">
        <v>0</v>
      </c>
    </row>
    <row r="1340" spans="1:11" x14ac:dyDescent="0.25">
      <c r="A1340" t="s">
        <v>1378</v>
      </c>
      <c r="B1340" s="1">
        <v>45129</v>
      </c>
      <c r="C1340" t="s">
        <v>20</v>
      </c>
      <c r="D1340" t="s">
        <v>13</v>
      </c>
      <c r="E1340">
        <v>500</v>
      </c>
      <c r="F1340" t="s">
        <v>21</v>
      </c>
      <c r="G1340" t="s">
        <v>24</v>
      </c>
      <c r="H1340" t="s">
        <v>33</v>
      </c>
      <c r="I1340" t="s">
        <v>34</v>
      </c>
      <c r="J1340" t="s">
        <v>18</v>
      </c>
      <c r="K1340">
        <v>0</v>
      </c>
    </row>
    <row r="1341" spans="1:11" x14ac:dyDescent="0.25">
      <c r="A1341" t="s">
        <v>1379</v>
      </c>
      <c r="B1341" s="1">
        <v>45544</v>
      </c>
      <c r="C1341" t="s">
        <v>12</v>
      </c>
      <c r="D1341" t="s">
        <v>27</v>
      </c>
      <c r="E1341">
        <v>16200</v>
      </c>
      <c r="F1341" t="s">
        <v>49</v>
      </c>
      <c r="G1341" t="s">
        <v>15</v>
      </c>
      <c r="H1341" t="s">
        <v>16</v>
      </c>
      <c r="I1341" t="s">
        <v>17</v>
      </c>
      <c r="J1341" t="s">
        <v>22</v>
      </c>
      <c r="K1341">
        <v>0.1</v>
      </c>
    </row>
    <row r="1342" spans="1:11" x14ac:dyDescent="0.25">
      <c r="A1342" t="s">
        <v>1380</v>
      </c>
      <c r="B1342" s="1">
        <v>45108</v>
      </c>
      <c r="C1342" t="s">
        <v>12</v>
      </c>
      <c r="D1342" t="s">
        <v>27</v>
      </c>
      <c r="E1342">
        <v>16200</v>
      </c>
      <c r="F1342" t="s">
        <v>32</v>
      </c>
      <c r="G1342" t="s">
        <v>28</v>
      </c>
      <c r="H1342" t="s">
        <v>33</v>
      </c>
      <c r="I1342" t="s">
        <v>34</v>
      </c>
      <c r="J1342" t="s">
        <v>25</v>
      </c>
      <c r="K1342">
        <v>0.1</v>
      </c>
    </row>
    <row r="1343" spans="1:11" x14ac:dyDescent="0.25">
      <c r="A1343" t="s">
        <v>1381</v>
      </c>
      <c r="B1343" s="1">
        <v>45131</v>
      </c>
      <c r="C1343" t="s">
        <v>20</v>
      </c>
      <c r="D1343" t="s">
        <v>13</v>
      </c>
      <c r="E1343">
        <v>500</v>
      </c>
      <c r="F1343" t="s">
        <v>21</v>
      </c>
      <c r="G1343" t="s">
        <v>28</v>
      </c>
      <c r="H1343" t="s">
        <v>33</v>
      </c>
      <c r="I1343" t="s">
        <v>34</v>
      </c>
      <c r="J1343" t="s">
        <v>18</v>
      </c>
      <c r="K1343">
        <v>0</v>
      </c>
    </row>
    <row r="1344" spans="1:11" x14ac:dyDescent="0.25">
      <c r="A1344" t="s">
        <v>1382</v>
      </c>
      <c r="B1344" s="1">
        <v>45081</v>
      </c>
      <c r="C1344" t="s">
        <v>12</v>
      </c>
      <c r="D1344" t="s">
        <v>13</v>
      </c>
      <c r="E1344">
        <v>1500</v>
      </c>
      <c r="F1344" t="s">
        <v>21</v>
      </c>
      <c r="G1344" t="s">
        <v>15</v>
      </c>
      <c r="H1344" t="s">
        <v>33</v>
      </c>
      <c r="I1344" t="s">
        <v>34</v>
      </c>
      <c r="J1344" t="s">
        <v>18</v>
      </c>
      <c r="K1344">
        <v>0</v>
      </c>
    </row>
    <row r="1345" spans="1:11" x14ac:dyDescent="0.25">
      <c r="A1345" t="s">
        <v>1383</v>
      </c>
      <c r="B1345" s="1">
        <v>45561</v>
      </c>
      <c r="C1345" t="s">
        <v>12</v>
      </c>
      <c r="D1345" t="s">
        <v>13</v>
      </c>
      <c r="E1345">
        <v>1500</v>
      </c>
      <c r="F1345" t="s">
        <v>49</v>
      </c>
      <c r="G1345" t="s">
        <v>28</v>
      </c>
      <c r="H1345" t="s">
        <v>16</v>
      </c>
      <c r="I1345" t="s">
        <v>17</v>
      </c>
      <c r="J1345" t="s">
        <v>50</v>
      </c>
      <c r="K1345">
        <v>0</v>
      </c>
    </row>
    <row r="1346" spans="1:11" x14ac:dyDescent="0.25">
      <c r="A1346" t="s">
        <v>1384</v>
      </c>
      <c r="B1346" s="1">
        <v>45083</v>
      </c>
      <c r="C1346" t="s">
        <v>12</v>
      </c>
      <c r="D1346" t="s">
        <v>27</v>
      </c>
      <c r="E1346">
        <v>16200</v>
      </c>
      <c r="F1346" t="s">
        <v>21</v>
      </c>
      <c r="G1346" t="s">
        <v>15</v>
      </c>
      <c r="H1346" t="s">
        <v>33</v>
      </c>
      <c r="I1346" t="s">
        <v>34</v>
      </c>
      <c r="J1346" t="s">
        <v>18</v>
      </c>
      <c r="K1346">
        <v>0.1</v>
      </c>
    </row>
    <row r="1347" spans="1:11" x14ac:dyDescent="0.25">
      <c r="A1347" t="s">
        <v>1385</v>
      </c>
      <c r="B1347" s="1">
        <v>45059</v>
      </c>
      <c r="C1347" t="s">
        <v>20</v>
      </c>
      <c r="D1347" t="s">
        <v>27</v>
      </c>
      <c r="E1347">
        <v>5400</v>
      </c>
      <c r="F1347" t="s">
        <v>49</v>
      </c>
      <c r="G1347" t="s">
        <v>15</v>
      </c>
      <c r="H1347" t="s">
        <v>16</v>
      </c>
      <c r="I1347" t="s">
        <v>17</v>
      </c>
      <c r="J1347" t="s">
        <v>58</v>
      </c>
      <c r="K1347">
        <v>0.1</v>
      </c>
    </row>
    <row r="1348" spans="1:11" x14ac:dyDescent="0.25">
      <c r="A1348" t="s">
        <v>1386</v>
      </c>
      <c r="B1348" s="1">
        <v>45261</v>
      </c>
      <c r="C1348" t="s">
        <v>20</v>
      </c>
      <c r="D1348" t="s">
        <v>27</v>
      </c>
      <c r="E1348">
        <v>5400</v>
      </c>
      <c r="F1348" t="s">
        <v>21</v>
      </c>
      <c r="G1348" t="s">
        <v>15</v>
      </c>
      <c r="H1348" t="s">
        <v>16</v>
      </c>
      <c r="I1348" t="s">
        <v>17</v>
      </c>
      <c r="J1348" t="s">
        <v>22</v>
      </c>
      <c r="K1348">
        <v>0.1</v>
      </c>
    </row>
    <row r="1349" spans="1:11" x14ac:dyDescent="0.25">
      <c r="A1349" t="s">
        <v>1387</v>
      </c>
      <c r="B1349" s="1">
        <v>45009</v>
      </c>
      <c r="C1349" t="s">
        <v>20</v>
      </c>
      <c r="D1349" t="s">
        <v>27</v>
      </c>
      <c r="E1349">
        <v>5400</v>
      </c>
      <c r="F1349" t="s">
        <v>21</v>
      </c>
      <c r="G1349" t="s">
        <v>28</v>
      </c>
      <c r="H1349" t="s">
        <v>33</v>
      </c>
      <c r="I1349" t="s">
        <v>34</v>
      </c>
      <c r="J1349" t="s">
        <v>18</v>
      </c>
      <c r="K1349">
        <v>0.1</v>
      </c>
    </row>
    <row r="1350" spans="1:11" x14ac:dyDescent="0.25">
      <c r="A1350" t="s">
        <v>1388</v>
      </c>
      <c r="B1350" s="1">
        <v>45455</v>
      </c>
      <c r="C1350" t="s">
        <v>31</v>
      </c>
      <c r="D1350" t="s">
        <v>13</v>
      </c>
      <c r="E1350">
        <v>1000</v>
      </c>
      <c r="F1350" t="s">
        <v>49</v>
      </c>
      <c r="G1350" t="s">
        <v>15</v>
      </c>
      <c r="H1350" t="s">
        <v>33</v>
      </c>
      <c r="I1350" t="s">
        <v>34</v>
      </c>
      <c r="J1350" t="s">
        <v>25</v>
      </c>
      <c r="K1350">
        <v>0</v>
      </c>
    </row>
    <row r="1351" spans="1:11" x14ac:dyDescent="0.25">
      <c r="A1351" t="s">
        <v>1389</v>
      </c>
      <c r="B1351" s="1">
        <v>44932</v>
      </c>
      <c r="C1351" t="s">
        <v>20</v>
      </c>
      <c r="D1351" t="s">
        <v>13</v>
      </c>
      <c r="E1351">
        <v>500</v>
      </c>
      <c r="F1351" t="s">
        <v>14</v>
      </c>
      <c r="G1351" t="s">
        <v>15</v>
      </c>
      <c r="H1351" t="s">
        <v>16</v>
      </c>
      <c r="I1351" t="s">
        <v>17</v>
      </c>
      <c r="J1351" t="s">
        <v>22</v>
      </c>
      <c r="K1351">
        <v>0</v>
      </c>
    </row>
    <row r="1352" spans="1:11" x14ac:dyDescent="0.25">
      <c r="A1352" t="s">
        <v>1390</v>
      </c>
      <c r="B1352" s="1">
        <v>44972</v>
      </c>
      <c r="C1352" t="s">
        <v>20</v>
      </c>
      <c r="D1352" t="s">
        <v>13</v>
      </c>
      <c r="E1352">
        <v>500</v>
      </c>
      <c r="F1352" t="s">
        <v>32</v>
      </c>
      <c r="G1352" t="s">
        <v>24</v>
      </c>
      <c r="H1352" t="s">
        <v>33</v>
      </c>
      <c r="I1352" t="s">
        <v>34</v>
      </c>
      <c r="J1352" t="s">
        <v>25</v>
      </c>
      <c r="K1352">
        <v>0</v>
      </c>
    </row>
    <row r="1353" spans="1:11" x14ac:dyDescent="0.25">
      <c r="A1353" t="s">
        <v>1391</v>
      </c>
      <c r="B1353" s="1">
        <v>45349</v>
      </c>
      <c r="C1353" t="s">
        <v>20</v>
      </c>
      <c r="D1353" t="s">
        <v>27</v>
      </c>
      <c r="E1353">
        <v>5400</v>
      </c>
      <c r="F1353" t="s">
        <v>14</v>
      </c>
      <c r="G1353" t="s">
        <v>28</v>
      </c>
      <c r="H1353" t="s">
        <v>33</v>
      </c>
      <c r="I1353" t="s">
        <v>34</v>
      </c>
      <c r="J1353" t="s">
        <v>55</v>
      </c>
      <c r="K1353">
        <v>0.1</v>
      </c>
    </row>
    <row r="1354" spans="1:11" x14ac:dyDescent="0.25">
      <c r="A1354" t="s">
        <v>1392</v>
      </c>
      <c r="B1354" s="1">
        <v>45553</v>
      </c>
      <c r="C1354" t="s">
        <v>20</v>
      </c>
      <c r="D1354" t="s">
        <v>13</v>
      </c>
      <c r="E1354">
        <v>500</v>
      </c>
      <c r="F1354" t="s">
        <v>21</v>
      </c>
      <c r="G1354" t="s">
        <v>15</v>
      </c>
      <c r="H1354" t="s">
        <v>33</v>
      </c>
      <c r="I1354" t="s">
        <v>34</v>
      </c>
      <c r="J1354" t="s">
        <v>18</v>
      </c>
      <c r="K1354">
        <v>0</v>
      </c>
    </row>
    <row r="1355" spans="1:11" x14ac:dyDescent="0.25">
      <c r="A1355" t="s">
        <v>1393</v>
      </c>
      <c r="B1355" s="1">
        <v>45488</v>
      </c>
      <c r="C1355" t="s">
        <v>12</v>
      </c>
      <c r="D1355" t="s">
        <v>13</v>
      </c>
      <c r="E1355">
        <v>1500</v>
      </c>
      <c r="F1355" t="s">
        <v>14</v>
      </c>
      <c r="G1355" t="s">
        <v>28</v>
      </c>
      <c r="H1355" t="s">
        <v>33</v>
      </c>
      <c r="I1355" t="s">
        <v>34</v>
      </c>
      <c r="J1355" t="s">
        <v>37</v>
      </c>
      <c r="K1355">
        <v>0</v>
      </c>
    </row>
    <row r="1356" spans="1:11" x14ac:dyDescent="0.25">
      <c r="A1356" t="s">
        <v>1394</v>
      </c>
      <c r="B1356" s="1">
        <v>44962</v>
      </c>
      <c r="C1356" t="s">
        <v>31</v>
      </c>
      <c r="D1356" t="s">
        <v>27</v>
      </c>
      <c r="E1356">
        <v>10800</v>
      </c>
      <c r="F1356" t="s">
        <v>21</v>
      </c>
      <c r="G1356" t="s">
        <v>24</v>
      </c>
      <c r="H1356" t="s">
        <v>33</v>
      </c>
      <c r="I1356" t="s">
        <v>34</v>
      </c>
      <c r="J1356" t="s">
        <v>29</v>
      </c>
      <c r="K1356">
        <v>0.1</v>
      </c>
    </row>
    <row r="1357" spans="1:11" x14ac:dyDescent="0.25">
      <c r="A1357" t="s">
        <v>1395</v>
      </c>
      <c r="B1357" s="1">
        <v>45190</v>
      </c>
      <c r="C1357" t="s">
        <v>31</v>
      </c>
      <c r="D1357" t="s">
        <v>13</v>
      </c>
      <c r="E1357">
        <v>1000</v>
      </c>
      <c r="F1357" t="s">
        <v>14</v>
      </c>
      <c r="G1357" t="s">
        <v>28</v>
      </c>
      <c r="H1357" t="s">
        <v>33</v>
      </c>
      <c r="I1357" t="s">
        <v>34</v>
      </c>
      <c r="J1357" t="s">
        <v>18</v>
      </c>
      <c r="K1357">
        <v>0</v>
      </c>
    </row>
    <row r="1358" spans="1:11" x14ac:dyDescent="0.25">
      <c r="A1358" t="s">
        <v>1396</v>
      </c>
      <c r="B1358" s="1">
        <v>45498</v>
      </c>
      <c r="C1358" t="s">
        <v>12</v>
      </c>
      <c r="D1358" t="s">
        <v>27</v>
      </c>
      <c r="E1358">
        <v>16200</v>
      </c>
      <c r="F1358" t="s">
        <v>14</v>
      </c>
      <c r="G1358" t="s">
        <v>24</v>
      </c>
      <c r="H1358" t="s">
        <v>16</v>
      </c>
      <c r="I1358" t="s">
        <v>17</v>
      </c>
      <c r="J1358" t="s">
        <v>37</v>
      </c>
      <c r="K1358">
        <v>0.1</v>
      </c>
    </row>
    <row r="1359" spans="1:11" x14ac:dyDescent="0.25">
      <c r="A1359" t="s">
        <v>1397</v>
      </c>
      <c r="B1359" s="1">
        <v>45541</v>
      </c>
      <c r="C1359" t="s">
        <v>20</v>
      </c>
      <c r="D1359" t="s">
        <v>13</v>
      </c>
      <c r="E1359">
        <v>500</v>
      </c>
      <c r="F1359" t="s">
        <v>32</v>
      </c>
      <c r="G1359" t="s">
        <v>24</v>
      </c>
      <c r="H1359" t="s">
        <v>33</v>
      </c>
      <c r="I1359" t="s">
        <v>34</v>
      </c>
      <c r="J1359" t="s">
        <v>25</v>
      </c>
      <c r="K1359">
        <v>0</v>
      </c>
    </row>
    <row r="1360" spans="1:11" x14ac:dyDescent="0.25">
      <c r="A1360" t="s">
        <v>1398</v>
      </c>
      <c r="B1360" s="1">
        <v>45283</v>
      </c>
      <c r="C1360" t="s">
        <v>12</v>
      </c>
      <c r="D1360" t="s">
        <v>27</v>
      </c>
      <c r="E1360">
        <v>16200</v>
      </c>
      <c r="F1360" t="s">
        <v>32</v>
      </c>
      <c r="G1360" t="s">
        <v>15</v>
      </c>
      <c r="H1360" t="s">
        <v>33</v>
      </c>
      <c r="I1360" t="s">
        <v>34</v>
      </c>
      <c r="J1360" t="s">
        <v>25</v>
      </c>
      <c r="K1360">
        <v>0.1</v>
      </c>
    </row>
    <row r="1361" spans="1:11" x14ac:dyDescent="0.25">
      <c r="A1361" t="s">
        <v>1399</v>
      </c>
      <c r="B1361" s="1">
        <v>45016</v>
      </c>
      <c r="C1361" t="s">
        <v>31</v>
      </c>
      <c r="D1361" t="s">
        <v>27</v>
      </c>
      <c r="E1361">
        <v>10800</v>
      </c>
      <c r="F1361" t="s">
        <v>32</v>
      </c>
      <c r="G1361" t="s">
        <v>15</v>
      </c>
      <c r="H1361" t="s">
        <v>16</v>
      </c>
      <c r="I1361" t="s">
        <v>17</v>
      </c>
      <c r="J1361" t="s">
        <v>35</v>
      </c>
      <c r="K1361">
        <v>0.1</v>
      </c>
    </row>
    <row r="1362" spans="1:11" x14ac:dyDescent="0.25">
      <c r="A1362" t="s">
        <v>1400</v>
      </c>
      <c r="B1362" s="1">
        <v>45095</v>
      </c>
      <c r="C1362" t="s">
        <v>31</v>
      </c>
      <c r="D1362" t="s">
        <v>27</v>
      </c>
      <c r="E1362">
        <v>10800</v>
      </c>
      <c r="F1362" t="s">
        <v>49</v>
      </c>
      <c r="G1362" t="s">
        <v>24</v>
      </c>
      <c r="H1362" t="s">
        <v>33</v>
      </c>
      <c r="I1362" t="s">
        <v>34</v>
      </c>
      <c r="J1362" t="s">
        <v>50</v>
      </c>
      <c r="K1362">
        <v>0.1</v>
      </c>
    </row>
    <row r="1363" spans="1:11" x14ac:dyDescent="0.25">
      <c r="A1363" t="s">
        <v>1401</v>
      </c>
      <c r="B1363" s="1">
        <v>45387</v>
      </c>
      <c r="C1363" t="s">
        <v>31</v>
      </c>
      <c r="D1363" t="s">
        <v>13</v>
      </c>
      <c r="E1363">
        <v>1000</v>
      </c>
      <c r="F1363" t="s">
        <v>49</v>
      </c>
      <c r="G1363" t="s">
        <v>24</v>
      </c>
      <c r="H1363" t="s">
        <v>33</v>
      </c>
      <c r="I1363" t="s">
        <v>34</v>
      </c>
      <c r="J1363" t="s">
        <v>25</v>
      </c>
      <c r="K1363">
        <v>0</v>
      </c>
    </row>
    <row r="1364" spans="1:11" x14ac:dyDescent="0.25">
      <c r="A1364" t="s">
        <v>1402</v>
      </c>
      <c r="B1364" s="1">
        <v>45356</v>
      </c>
      <c r="C1364" t="s">
        <v>12</v>
      </c>
      <c r="D1364" t="s">
        <v>13</v>
      </c>
      <c r="E1364">
        <v>1500</v>
      </c>
      <c r="F1364" t="s">
        <v>49</v>
      </c>
      <c r="G1364" t="s">
        <v>15</v>
      </c>
      <c r="H1364" t="s">
        <v>33</v>
      </c>
      <c r="I1364" t="s">
        <v>34</v>
      </c>
      <c r="J1364" t="s">
        <v>18</v>
      </c>
      <c r="K1364">
        <v>0</v>
      </c>
    </row>
    <row r="1365" spans="1:11" x14ac:dyDescent="0.25">
      <c r="A1365" t="s">
        <v>1403</v>
      </c>
      <c r="B1365" s="1">
        <v>45554</v>
      </c>
      <c r="C1365" t="s">
        <v>12</v>
      </c>
      <c r="D1365" t="s">
        <v>27</v>
      </c>
      <c r="E1365">
        <v>16200</v>
      </c>
      <c r="F1365" t="s">
        <v>21</v>
      </c>
      <c r="G1365" t="s">
        <v>24</v>
      </c>
      <c r="H1365" t="s">
        <v>16</v>
      </c>
      <c r="I1365" t="s">
        <v>17</v>
      </c>
      <c r="J1365" t="s">
        <v>29</v>
      </c>
      <c r="K1365">
        <v>0.1</v>
      </c>
    </row>
    <row r="1366" spans="1:11" x14ac:dyDescent="0.25">
      <c r="A1366" t="s">
        <v>1404</v>
      </c>
      <c r="B1366" s="1">
        <v>45064</v>
      </c>
      <c r="C1366" t="s">
        <v>31</v>
      </c>
      <c r="D1366" t="s">
        <v>13</v>
      </c>
      <c r="E1366">
        <v>1000</v>
      </c>
      <c r="F1366" t="s">
        <v>32</v>
      </c>
      <c r="G1366" t="s">
        <v>15</v>
      </c>
      <c r="H1366" t="s">
        <v>16</v>
      </c>
      <c r="I1366" t="s">
        <v>17</v>
      </c>
      <c r="J1366" t="s">
        <v>35</v>
      </c>
      <c r="K1366">
        <v>0</v>
      </c>
    </row>
    <row r="1367" spans="1:11" x14ac:dyDescent="0.25">
      <c r="A1367" t="s">
        <v>1405</v>
      </c>
      <c r="B1367" s="1">
        <v>45449</v>
      </c>
      <c r="C1367" t="s">
        <v>12</v>
      </c>
      <c r="D1367" t="s">
        <v>13</v>
      </c>
      <c r="E1367">
        <v>1500</v>
      </c>
      <c r="F1367" t="s">
        <v>21</v>
      </c>
      <c r="G1367" t="s">
        <v>28</v>
      </c>
      <c r="H1367" t="s">
        <v>16</v>
      </c>
      <c r="I1367" t="s">
        <v>17</v>
      </c>
      <c r="J1367" t="s">
        <v>29</v>
      </c>
      <c r="K1367">
        <v>0</v>
      </c>
    </row>
    <row r="1368" spans="1:11" x14ac:dyDescent="0.25">
      <c r="A1368" t="s">
        <v>1406</v>
      </c>
      <c r="B1368" s="1">
        <v>44993</v>
      </c>
      <c r="C1368" t="s">
        <v>12</v>
      </c>
      <c r="D1368" t="s">
        <v>27</v>
      </c>
      <c r="E1368">
        <v>16200</v>
      </c>
      <c r="F1368" t="s">
        <v>32</v>
      </c>
      <c r="G1368" t="s">
        <v>15</v>
      </c>
      <c r="H1368" t="s">
        <v>16</v>
      </c>
      <c r="I1368" t="s">
        <v>17</v>
      </c>
      <c r="J1368" t="s">
        <v>66</v>
      </c>
      <c r="K1368">
        <v>0.1</v>
      </c>
    </row>
    <row r="1369" spans="1:11" x14ac:dyDescent="0.25">
      <c r="A1369" t="s">
        <v>1407</v>
      </c>
      <c r="B1369" s="1">
        <v>45362</v>
      </c>
      <c r="C1369" t="s">
        <v>31</v>
      </c>
      <c r="D1369" t="s">
        <v>27</v>
      </c>
      <c r="E1369">
        <v>10800</v>
      </c>
      <c r="F1369" t="s">
        <v>14</v>
      </c>
      <c r="G1369" t="s">
        <v>24</v>
      </c>
      <c r="H1369" t="s">
        <v>16</v>
      </c>
      <c r="I1369" t="s">
        <v>17</v>
      </c>
      <c r="J1369" t="s">
        <v>37</v>
      </c>
      <c r="K1369">
        <v>0.1</v>
      </c>
    </row>
    <row r="1370" spans="1:11" x14ac:dyDescent="0.25">
      <c r="A1370" t="s">
        <v>1408</v>
      </c>
      <c r="B1370" s="1">
        <v>45261</v>
      </c>
      <c r="C1370" t="s">
        <v>31</v>
      </c>
      <c r="D1370" t="s">
        <v>13</v>
      </c>
      <c r="E1370">
        <v>1000</v>
      </c>
      <c r="F1370" t="s">
        <v>49</v>
      </c>
      <c r="G1370" t="s">
        <v>28</v>
      </c>
      <c r="H1370" t="s">
        <v>33</v>
      </c>
      <c r="I1370" t="s">
        <v>34</v>
      </c>
      <c r="J1370" t="s">
        <v>25</v>
      </c>
      <c r="K1370">
        <v>0</v>
      </c>
    </row>
    <row r="1371" spans="1:11" x14ac:dyDescent="0.25">
      <c r="A1371" t="s">
        <v>1409</v>
      </c>
      <c r="B1371" s="1">
        <v>44958</v>
      </c>
      <c r="C1371" t="s">
        <v>31</v>
      </c>
      <c r="D1371" t="s">
        <v>27</v>
      </c>
      <c r="E1371">
        <v>10800</v>
      </c>
      <c r="F1371" t="s">
        <v>21</v>
      </c>
      <c r="G1371" t="s">
        <v>24</v>
      </c>
      <c r="H1371" t="s">
        <v>16</v>
      </c>
      <c r="I1371" t="s">
        <v>17</v>
      </c>
      <c r="J1371" t="s">
        <v>22</v>
      </c>
      <c r="K1371">
        <v>0.1</v>
      </c>
    </row>
    <row r="1372" spans="1:11" x14ac:dyDescent="0.25">
      <c r="A1372" t="s">
        <v>1410</v>
      </c>
      <c r="B1372" s="1">
        <v>45310</v>
      </c>
      <c r="C1372" t="s">
        <v>20</v>
      </c>
      <c r="D1372" t="s">
        <v>27</v>
      </c>
      <c r="E1372">
        <v>5400</v>
      </c>
      <c r="F1372" t="s">
        <v>49</v>
      </c>
      <c r="G1372" t="s">
        <v>24</v>
      </c>
      <c r="H1372" t="s">
        <v>33</v>
      </c>
      <c r="I1372" t="s">
        <v>34</v>
      </c>
      <c r="J1372" t="s">
        <v>35</v>
      </c>
      <c r="K1372">
        <v>0.1</v>
      </c>
    </row>
    <row r="1373" spans="1:11" x14ac:dyDescent="0.25">
      <c r="A1373" t="s">
        <v>1411</v>
      </c>
      <c r="B1373" s="1">
        <v>45493</v>
      </c>
      <c r="C1373" t="s">
        <v>20</v>
      </c>
      <c r="D1373" t="s">
        <v>13</v>
      </c>
      <c r="E1373">
        <v>500</v>
      </c>
      <c r="F1373" t="s">
        <v>49</v>
      </c>
      <c r="G1373" t="s">
        <v>15</v>
      </c>
      <c r="H1373" t="s">
        <v>33</v>
      </c>
      <c r="I1373" t="s">
        <v>34</v>
      </c>
      <c r="J1373" t="s">
        <v>18</v>
      </c>
      <c r="K1373">
        <v>0</v>
      </c>
    </row>
    <row r="1374" spans="1:11" x14ac:dyDescent="0.25">
      <c r="A1374" t="s">
        <v>1412</v>
      </c>
      <c r="B1374" s="1">
        <v>45352</v>
      </c>
      <c r="C1374" t="s">
        <v>20</v>
      </c>
      <c r="D1374" t="s">
        <v>27</v>
      </c>
      <c r="E1374">
        <v>5400</v>
      </c>
      <c r="F1374" t="s">
        <v>32</v>
      </c>
      <c r="G1374" t="s">
        <v>28</v>
      </c>
      <c r="H1374" t="s">
        <v>16</v>
      </c>
      <c r="I1374" t="s">
        <v>17</v>
      </c>
      <c r="J1374" t="s">
        <v>35</v>
      </c>
      <c r="K1374">
        <v>0.1</v>
      </c>
    </row>
    <row r="1375" spans="1:11" x14ac:dyDescent="0.25">
      <c r="A1375" t="s">
        <v>1413</v>
      </c>
      <c r="B1375" s="1">
        <v>45026</v>
      </c>
      <c r="C1375" t="s">
        <v>20</v>
      </c>
      <c r="D1375" t="s">
        <v>13</v>
      </c>
      <c r="E1375">
        <v>500</v>
      </c>
      <c r="F1375" t="s">
        <v>14</v>
      </c>
      <c r="G1375" t="s">
        <v>28</v>
      </c>
      <c r="H1375" t="s">
        <v>33</v>
      </c>
      <c r="I1375" t="s">
        <v>34</v>
      </c>
      <c r="J1375" t="s">
        <v>41</v>
      </c>
      <c r="K1375">
        <v>0</v>
      </c>
    </row>
    <row r="1376" spans="1:11" x14ac:dyDescent="0.25">
      <c r="A1376" t="s">
        <v>1414</v>
      </c>
      <c r="B1376" s="1">
        <v>45135</v>
      </c>
      <c r="C1376" t="s">
        <v>31</v>
      </c>
      <c r="D1376" t="s">
        <v>27</v>
      </c>
      <c r="E1376">
        <v>10800</v>
      </c>
      <c r="F1376" t="s">
        <v>49</v>
      </c>
      <c r="G1376" t="s">
        <v>15</v>
      </c>
      <c r="H1376" t="s">
        <v>16</v>
      </c>
      <c r="I1376" t="s">
        <v>17</v>
      </c>
      <c r="J1376" t="s">
        <v>22</v>
      </c>
      <c r="K1376">
        <v>0.1</v>
      </c>
    </row>
    <row r="1377" spans="1:11" x14ac:dyDescent="0.25">
      <c r="A1377" t="s">
        <v>1415</v>
      </c>
      <c r="B1377" s="1">
        <v>45262</v>
      </c>
      <c r="C1377" t="s">
        <v>12</v>
      </c>
      <c r="D1377" t="s">
        <v>27</v>
      </c>
      <c r="E1377">
        <v>16200</v>
      </c>
      <c r="F1377" t="s">
        <v>32</v>
      </c>
      <c r="G1377" t="s">
        <v>24</v>
      </c>
      <c r="H1377" t="s">
        <v>16</v>
      </c>
      <c r="I1377" t="s">
        <v>17</v>
      </c>
      <c r="J1377" t="s">
        <v>66</v>
      </c>
      <c r="K1377">
        <v>0.1</v>
      </c>
    </row>
    <row r="1378" spans="1:11" x14ac:dyDescent="0.25">
      <c r="A1378" t="s">
        <v>1416</v>
      </c>
      <c r="B1378" s="1">
        <v>45226</v>
      </c>
      <c r="C1378" t="s">
        <v>31</v>
      </c>
      <c r="D1378" t="s">
        <v>13</v>
      </c>
      <c r="E1378">
        <v>1000</v>
      </c>
      <c r="F1378" t="s">
        <v>32</v>
      </c>
      <c r="G1378" t="s">
        <v>28</v>
      </c>
      <c r="H1378" t="s">
        <v>16</v>
      </c>
      <c r="I1378" t="s">
        <v>17</v>
      </c>
      <c r="J1378" t="s">
        <v>25</v>
      </c>
      <c r="K1378">
        <v>0</v>
      </c>
    </row>
    <row r="1379" spans="1:11" x14ac:dyDescent="0.25">
      <c r="A1379" t="s">
        <v>1417</v>
      </c>
      <c r="B1379" s="1">
        <v>44954</v>
      </c>
      <c r="C1379" t="s">
        <v>20</v>
      </c>
      <c r="D1379" t="s">
        <v>13</v>
      </c>
      <c r="E1379">
        <v>500</v>
      </c>
      <c r="F1379" t="s">
        <v>14</v>
      </c>
      <c r="G1379" t="s">
        <v>24</v>
      </c>
      <c r="H1379" t="s">
        <v>33</v>
      </c>
      <c r="I1379" t="s">
        <v>34</v>
      </c>
      <c r="J1379" t="s">
        <v>18</v>
      </c>
      <c r="K1379">
        <v>0</v>
      </c>
    </row>
    <row r="1380" spans="1:11" x14ac:dyDescent="0.25">
      <c r="A1380" t="s">
        <v>1418</v>
      </c>
      <c r="B1380" s="1">
        <v>44988</v>
      </c>
      <c r="C1380" t="s">
        <v>31</v>
      </c>
      <c r="D1380" t="s">
        <v>13</v>
      </c>
      <c r="E1380">
        <v>1000</v>
      </c>
      <c r="F1380" t="s">
        <v>14</v>
      </c>
      <c r="G1380" t="s">
        <v>24</v>
      </c>
      <c r="H1380" t="s">
        <v>33</v>
      </c>
      <c r="I1380" t="s">
        <v>34</v>
      </c>
      <c r="J1380" t="s">
        <v>55</v>
      </c>
      <c r="K1380">
        <v>0</v>
      </c>
    </row>
    <row r="1381" spans="1:11" x14ac:dyDescent="0.25">
      <c r="A1381" t="s">
        <v>1419</v>
      </c>
      <c r="B1381" s="1">
        <v>45030</v>
      </c>
      <c r="C1381" t="s">
        <v>20</v>
      </c>
      <c r="D1381" t="s">
        <v>27</v>
      </c>
      <c r="E1381">
        <v>5400</v>
      </c>
      <c r="F1381" t="s">
        <v>14</v>
      </c>
      <c r="G1381" t="s">
        <v>15</v>
      </c>
      <c r="H1381" t="s">
        <v>16</v>
      </c>
      <c r="I1381" t="s">
        <v>17</v>
      </c>
      <c r="J1381" t="s">
        <v>37</v>
      </c>
      <c r="K1381">
        <v>0.1</v>
      </c>
    </row>
    <row r="1382" spans="1:11" x14ac:dyDescent="0.25">
      <c r="A1382" t="s">
        <v>1420</v>
      </c>
      <c r="B1382" s="1">
        <v>45462</v>
      </c>
      <c r="C1382" t="s">
        <v>20</v>
      </c>
      <c r="D1382" t="s">
        <v>27</v>
      </c>
      <c r="E1382">
        <v>5400</v>
      </c>
      <c r="F1382" t="s">
        <v>14</v>
      </c>
      <c r="G1382" t="s">
        <v>28</v>
      </c>
      <c r="H1382" t="s">
        <v>33</v>
      </c>
      <c r="I1382" t="s">
        <v>34</v>
      </c>
      <c r="J1382" t="s">
        <v>37</v>
      </c>
      <c r="K1382">
        <v>0.1</v>
      </c>
    </row>
    <row r="1383" spans="1:11" x14ac:dyDescent="0.25">
      <c r="A1383" t="s">
        <v>1421</v>
      </c>
      <c r="B1383" s="1">
        <v>45155</v>
      </c>
      <c r="C1383" t="s">
        <v>31</v>
      </c>
      <c r="D1383" t="s">
        <v>13</v>
      </c>
      <c r="E1383">
        <v>1000</v>
      </c>
      <c r="F1383" t="s">
        <v>21</v>
      </c>
      <c r="G1383" t="s">
        <v>28</v>
      </c>
      <c r="H1383" t="s">
        <v>33</v>
      </c>
      <c r="I1383" t="s">
        <v>34</v>
      </c>
      <c r="J1383" t="s">
        <v>18</v>
      </c>
      <c r="K1383">
        <v>0</v>
      </c>
    </row>
    <row r="1384" spans="1:11" x14ac:dyDescent="0.25">
      <c r="A1384" t="s">
        <v>1422</v>
      </c>
      <c r="B1384" s="1">
        <v>45115</v>
      </c>
      <c r="C1384" t="s">
        <v>31</v>
      </c>
      <c r="D1384" t="s">
        <v>13</v>
      </c>
      <c r="E1384">
        <v>1000</v>
      </c>
      <c r="F1384" t="s">
        <v>32</v>
      </c>
      <c r="G1384" t="s">
        <v>24</v>
      </c>
      <c r="H1384" t="s">
        <v>16</v>
      </c>
      <c r="I1384" t="s">
        <v>17</v>
      </c>
      <c r="J1384" t="s">
        <v>25</v>
      </c>
      <c r="K1384">
        <v>0</v>
      </c>
    </row>
    <row r="1385" spans="1:11" x14ac:dyDescent="0.25">
      <c r="A1385" t="s">
        <v>1423</v>
      </c>
      <c r="B1385" s="1">
        <v>45344</v>
      </c>
      <c r="C1385" t="s">
        <v>20</v>
      </c>
      <c r="D1385" t="s">
        <v>13</v>
      </c>
      <c r="E1385">
        <v>500</v>
      </c>
      <c r="F1385" t="s">
        <v>32</v>
      </c>
      <c r="G1385" t="s">
        <v>15</v>
      </c>
      <c r="H1385" t="s">
        <v>33</v>
      </c>
      <c r="I1385" t="s">
        <v>34</v>
      </c>
      <c r="J1385" t="s">
        <v>35</v>
      </c>
      <c r="K1385">
        <v>0</v>
      </c>
    </row>
    <row r="1386" spans="1:11" x14ac:dyDescent="0.25">
      <c r="A1386" t="s">
        <v>1424</v>
      </c>
      <c r="B1386" s="1">
        <v>45407</v>
      </c>
      <c r="C1386" t="s">
        <v>12</v>
      </c>
      <c r="D1386" t="s">
        <v>27</v>
      </c>
      <c r="E1386">
        <v>16200</v>
      </c>
      <c r="F1386" t="s">
        <v>14</v>
      </c>
      <c r="G1386" t="s">
        <v>24</v>
      </c>
      <c r="H1386" t="s">
        <v>33</v>
      </c>
      <c r="I1386" t="s">
        <v>34</v>
      </c>
      <c r="J1386" t="s">
        <v>37</v>
      </c>
      <c r="K1386">
        <v>0.1</v>
      </c>
    </row>
    <row r="1387" spans="1:11" x14ac:dyDescent="0.25">
      <c r="A1387" t="s">
        <v>1425</v>
      </c>
      <c r="B1387" s="1">
        <v>45566</v>
      </c>
      <c r="C1387" t="s">
        <v>20</v>
      </c>
      <c r="D1387" t="s">
        <v>13</v>
      </c>
      <c r="E1387">
        <v>500</v>
      </c>
      <c r="F1387" t="s">
        <v>14</v>
      </c>
      <c r="G1387" t="s">
        <v>24</v>
      </c>
      <c r="H1387" t="s">
        <v>33</v>
      </c>
      <c r="I1387" t="s">
        <v>34</v>
      </c>
      <c r="J1387" t="s">
        <v>37</v>
      </c>
      <c r="K1387">
        <v>0</v>
      </c>
    </row>
    <row r="1388" spans="1:11" x14ac:dyDescent="0.25">
      <c r="A1388" t="s">
        <v>1426</v>
      </c>
      <c r="B1388" s="1">
        <v>45143</v>
      </c>
      <c r="C1388" t="s">
        <v>12</v>
      </c>
      <c r="D1388" t="s">
        <v>27</v>
      </c>
      <c r="E1388">
        <v>16200</v>
      </c>
      <c r="F1388" t="s">
        <v>49</v>
      </c>
      <c r="G1388" t="s">
        <v>28</v>
      </c>
      <c r="H1388" t="s">
        <v>16</v>
      </c>
      <c r="I1388" t="s">
        <v>17</v>
      </c>
      <c r="J1388" t="s">
        <v>35</v>
      </c>
      <c r="K1388">
        <v>0.1</v>
      </c>
    </row>
    <row r="1389" spans="1:11" x14ac:dyDescent="0.25">
      <c r="A1389" t="s">
        <v>1427</v>
      </c>
      <c r="B1389" s="1">
        <v>45267</v>
      </c>
      <c r="C1389" t="s">
        <v>12</v>
      </c>
      <c r="D1389" t="s">
        <v>27</v>
      </c>
      <c r="E1389">
        <v>16200</v>
      </c>
      <c r="F1389" t="s">
        <v>21</v>
      </c>
      <c r="G1389" t="s">
        <v>28</v>
      </c>
      <c r="H1389" t="s">
        <v>16</v>
      </c>
      <c r="I1389" t="s">
        <v>17</v>
      </c>
      <c r="J1389" t="s">
        <v>25</v>
      </c>
      <c r="K1389">
        <v>0.1</v>
      </c>
    </row>
    <row r="1390" spans="1:11" x14ac:dyDescent="0.25">
      <c r="A1390" t="s">
        <v>1428</v>
      </c>
      <c r="B1390" s="1">
        <v>45042</v>
      </c>
      <c r="C1390" t="s">
        <v>20</v>
      </c>
      <c r="D1390" t="s">
        <v>13</v>
      </c>
      <c r="E1390">
        <v>500</v>
      </c>
      <c r="F1390" t="s">
        <v>49</v>
      </c>
      <c r="G1390" t="s">
        <v>15</v>
      </c>
      <c r="H1390" t="s">
        <v>33</v>
      </c>
      <c r="I1390" t="s">
        <v>34</v>
      </c>
      <c r="J1390" t="s">
        <v>35</v>
      </c>
      <c r="K1390">
        <v>0</v>
      </c>
    </row>
    <row r="1391" spans="1:11" x14ac:dyDescent="0.25">
      <c r="A1391" t="s">
        <v>1429</v>
      </c>
      <c r="B1391" s="1">
        <v>45605</v>
      </c>
      <c r="C1391" t="s">
        <v>12</v>
      </c>
      <c r="D1391" t="s">
        <v>13</v>
      </c>
      <c r="E1391">
        <v>1500</v>
      </c>
      <c r="F1391" t="s">
        <v>32</v>
      </c>
      <c r="G1391" t="s">
        <v>28</v>
      </c>
      <c r="H1391" t="s">
        <v>16</v>
      </c>
      <c r="I1391" t="s">
        <v>17</v>
      </c>
      <c r="J1391" t="s">
        <v>35</v>
      </c>
      <c r="K1391">
        <v>0</v>
      </c>
    </row>
    <row r="1392" spans="1:11" x14ac:dyDescent="0.25">
      <c r="A1392" t="s">
        <v>1430</v>
      </c>
      <c r="B1392" s="1">
        <v>45044</v>
      </c>
      <c r="C1392" t="s">
        <v>20</v>
      </c>
      <c r="D1392" t="s">
        <v>13</v>
      </c>
      <c r="E1392">
        <v>500</v>
      </c>
      <c r="F1392" t="s">
        <v>32</v>
      </c>
      <c r="G1392" t="s">
        <v>15</v>
      </c>
      <c r="H1392" t="s">
        <v>33</v>
      </c>
      <c r="I1392" t="s">
        <v>34</v>
      </c>
      <c r="J1392" t="s">
        <v>66</v>
      </c>
      <c r="K1392">
        <v>0</v>
      </c>
    </row>
    <row r="1393" spans="1:11" x14ac:dyDescent="0.25">
      <c r="A1393" t="s">
        <v>1431</v>
      </c>
      <c r="B1393" s="1">
        <v>45326</v>
      </c>
      <c r="C1393" t="s">
        <v>12</v>
      </c>
      <c r="D1393" t="s">
        <v>27</v>
      </c>
      <c r="E1393">
        <v>16200</v>
      </c>
      <c r="F1393" t="s">
        <v>21</v>
      </c>
      <c r="G1393" t="s">
        <v>24</v>
      </c>
      <c r="H1393" t="s">
        <v>33</v>
      </c>
      <c r="I1393" t="s">
        <v>34</v>
      </c>
      <c r="J1393" t="s">
        <v>29</v>
      </c>
      <c r="K1393">
        <v>0.1</v>
      </c>
    </row>
    <row r="1394" spans="1:11" x14ac:dyDescent="0.25">
      <c r="A1394" t="s">
        <v>1432</v>
      </c>
      <c r="B1394" s="1">
        <v>45068</v>
      </c>
      <c r="C1394" t="s">
        <v>20</v>
      </c>
      <c r="D1394" t="s">
        <v>13</v>
      </c>
      <c r="E1394">
        <v>500</v>
      </c>
      <c r="F1394" t="s">
        <v>32</v>
      </c>
      <c r="G1394" t="s">
        <v>24</v>
      </c>
      <c r="H1394" t="s">
        <v>33</v>
      </c>
      <c r="I1394" t="s">
        <v>34</v>
      </c>
      <c r="J1394" t="s">
        <v>44</v>
      </c>
      <c r="K1394">
        <v>0</v>
      </c>
    </row>
    <row r="1395" spans="1:11" x14ac:dyDescent="0.25">
      <c r="A1395" t="s">
        <v>1433</v>
      </c>
      <c r="B1395" s="1">
        <v>44962</v>
      </c>
      <c r="C1395" t="s">
        <v>12</v>
      </c>
      <c r="D1395" t="s">
        <v>27</v>
      </c>
      <c r="E1395">
        <v>16200</v>
      </c>
      <c r="F1395" t="s">
        <v>14</v>
      </c>
      <c r="G1395" t="s">
        <v>24</v>
      </c>
      <c r="H1395" t="s">
        <v>33</v>
      </c>
      <c r="I1395" t="s">
        <v>34</v>
      </c>
      <c r="J1395" t="s">
        <v>55</v>
      </c>
      <c r="K1395">
        <v>0.1</v>
      </c>
    </row>
    <row r="1396" spans="1:11" x14ac:dyDescent="0.25">
      <c r="A1396" t="s">
        <v>1434</v>
      </c>
      <c r="B1396" s="1">
        <v>44943</v>
      </c>
      <c r="C1396" t="s">
        <v>31</v>
      </c>
      <c r="D1396" t="s">
        <v>13</v>
      </c>
      <c r="E1396">
        <v>1000</v>
      </c>
      <c r="F1396" t="s">
        <v>49</v>
      </c>
      <c r="G1396" t="s">
        <v>24</v>
      </c>
      <c r="H1396" t="s">
        <v>33</v>
      </c>
      <c r="I1396" t="s">
        <v>34</v>
      </c>
      <c r="J1396" t="s">
        <v>35</v>
      </c>
      <c r="K1396">
        <v>0</v>
      </c>
    </row>
    <row r="1397" spans="1:11" x14ac:dyDescent="0.25">
      <c r="A1397" t="s">
        <v>1435</v>
      </c>
      <c r="B1397" s="1">
        <v>45408</v>
      </c>
      <c r="C1397" t="s">
        <v>12</v>
      </c>
      <c r="D1397" t="s">
        <v>27</v>
      </c>
      <c r="E1397">
        <v>16200</v>
      </c>
      <c r="F1397" t="s">
        <v>32</v>
      </c>
      <c r="G1397" t="s">
        <v>24</v>
      </c>
      <c r="H1397" t="s">
        <v>33</v>
      </c>
      <c r="I1397" t="s">
        <v>34</v>
      </c>
      <c r="J1397" t="s">
        <v>25</v>
      </c>
      <c r="K1397">
        <v>0.1</v>
      </c>
    </row>
    <row r="1398" spans="1:11" x14ac:dyDescent="0.25">
      <c r="A1398" t="s">
        <v>1436</v>
      </c>
      <c r="B1398" s="1">
        <v>45121</v>
      </c>
      <c r="C1398" t="s">
        <v>20</v>
      </c>
      <c r="D1398" t="s">
        <v>13</v>
      </c>
      <c r="E1398">
        <v>500</v>
      </c>
      <c r="F1398" t="s">
        <v>21</v>
      </c>
      <c r="G1398" t="s">
        <v>15</v>
      </c>
      <c r="H1398" t="s">
        <v>16</v>
      </c>
      <c r="I1398" t="s">
        <v>17</v>
      </c>
      <c r="J1398" t="s">
        <v>25</v>
      </c>
      <c r="K1398">
        <v>0</v>
      </c>
    </row>
    <row r="1399" spans="1:11" x14ac:dyDescent="0.25">
      <c r="A1399" t="s">
        <v>1437</v>
      </c>
      <c r="B1399" s="1">
        <v>45517</v>
      </c>
      <c r="C1399" t="s">
        <v>31</v>
      </c>
      <c r="D1399" t="s">
        <v>13</v>
      </c>
      <c r="E1399">
        <v>1000</v>
      </c>
      <c r="F1399" t="s">
        <v>32</v>
      </c>
      <c r="G1399" t="s">
        <v>28</v>
      </c>
      <c r="H1399" t="s">
        <v>16</v>
      </c>
      <c r="I1399" t="s">
        <v>17</v>
      </c>
      <c r="J1399" t="s">
        <v>25</v>
      </c>
      <c r="K1399">
        <v>0</v>
      </c>
    </row>
    <row r="1400" spans="1:11" x14ac:dyDescent="0.25">
      <c r="A1400" t="s">
        <v>1438</v>
      </c>
      <c r="B1400" s="1">
        <v>45221</v>
      </c>
      <c r="C1400" t="s">
        <v>20</v>
      </c>
      <c r="D1400" t="s">
        <v>27</v>
      </c>
      <c r="E1400">
        <v>5400</v>
      </c>
      <c r="F1400" t="s">
        <v>49</v>
      </c>
      <c r="G1400" t="s">
        <v>15</v>
      </c>
      <c r="H1400" t="s">
        <v>16</v>
      </c>
      <c r="I1400" t="s">
        <v>17</v>
      </c>
      <c r="J1400" t="s">
        <v>58</v>
      </c>
      <c r="K1400">
        <v>0.1</v>
      </c>
    </row>
    <row r="1401" spans="1:11" x14ac:dyDescent="0.25">
      <c r="A1401" t="s">
        <v>1439</v>
      </c>
      <c r="B1401" s="1">
        <v>45590</v>
      </c>
      <c r="C1401" t="s">
        <v>31</v>
      </c>
      <c r="D1401" t="s">
        <v>27</v>
      </c>
      <c r="E1401">
        <v>10800</v>
      </c>
      <c r="F1401" t="s">
        <v>32</v>
      </c>
      <c r="G1401" t="s">
        <v>24</v>
      </c>
      <c r="H1401" t="s">
        <v>33</v>
      </c>
      <c r="I1401" t="s">
        <v>34</v>
      </c>
      <c r="J1401" t="s">
        <v>35</v>
      </c>
      <c r="K1401">
        <v>0.1</v>
      </c>
    </row>
    <row r="1402" spans="1:11" x14ac:dyDescent="0.25">
      <c r="A1402" t="s">
        <v>1440</v>
      </c>
      <c r="B1402" s="1">
        <v>45264</v>
      </c>
      <c r="C1402" t="s">
        <v>20</v>
      </c>
      <c r="D1402" t="s">
        <v>13</v>
      </c>
      <c r="E1402">
        <v>500</v>
      </c>
      <c r="F1402" t="s">
        <v>32</v>
      </c>
      <c r="G1402" t="s">
        <v>15</v>
      </c>
      <c r="H1402" t="s">
        <v>33</v>
      </c>
      <c r="I1402" t="s">
        <v>34</v>
      </c>
      <c r="J1402" t="s">
        <v>66</v>
      </c>
      <c r="K1402">
        <v>0</v>
      </c>
    </row>
    <row r="1403" spans="1:11" x14ac:dyDescent="0.25">
      <c r="A1403" t="s">
        <v>1441</v>
      </c>
      <c r="B1403" s="1">
        <v>45574</v>
      </c>
      <c r="C1403" t="s">
        <v>31</v>
      </c>
      <c r="D1403" t="s">
        <v>13</v>
      </c>
      <c r="E1403">
        <v>1000</v>
      </c>
      <c r="F1403" t="s">
        <v>32</v>
      </c>
      <c r="G1403" t="s">
        <v>24</v>
      </c>
      <c r="H1403" t="s">
        <v>33</v>
      </c>
      <c r="I1403" t="s">
        <v>34</v>
      </c>
      <c r="J1403" t="s">
        <v>44</v>
      </c>
      <c r="K1403">
        <v>0</v>
      </c>
    </row>
    <row r="1404" spans="1:11" x14ac:dyDescent="0.25">
      <c r="A1404" t="s">
        <v>1442</v>
      </c>
      <c r="B1404" s="1">
        <v>45466</v>
      </c>
      <c r="C1404" t="s">
        <v>20</v>
      </c>
      <c r="D1404" t="s">
        <v>13</v>
      </c>
      <c r="E1404">
        <v>500</v>
      </c>
      <c r="F1404" t="s">
        <v>32</v>
      </c>
      <c r="G1404" t="s">
        <v>24</v>
      </c>
      <c r="H1404" t="s">
        <v>33</v>
      </c>
      <c r="I1404" t="s">
        <v>34</v>
      </c>
      <c r="J1404" t="s">
        <v>25</v>
      </c>
      <c r="K1404">
        <v>0</v>
      </c>
    </row>
    <row r="1405" spans="1:11" x14ac:dyDescent="0.25">
      <c r="A1405" t="s">
        <v>1443</v>
      </c>
      <c r="B1405" s="1">
        <v>45596</v>
      </c>
      <c r="C1405" t="s">
        <v>12</v>
      </c>
      <c r="D1405" t="s">
        <v>27</v>
      </c>
      <c r="E1405">
        <v>16200</v>
      </c>
      <c r="F1405" t="s">
        <v>21</v>
      </c>
      <c r="G1405" t="s">
        <v>15</v>
      </c>
      <c r="H1405" t="s">
        <v>33</v>
      </c>
      <c r="I1405" t="s">
        <v>34</v>
      </c>
      <c r="J1405" t="s">
        <v>22</v>
      </c>
      <c r="K1405">
        <v>0.1</v>
      </c>
    </row>
    <row r="1406" spans="1:11" x14ac:dyDescent="0.25">
      <c r="A1406" t="s">
        <v>1444</v>
      </c>
      <c r="B1406" s="1">
        <v>45040</v>
      </c>
      <c r="C1406" t="s">
        <v>31</v>
      </c>
      <c r="D1406" t="s">
        <v>27</v>
      </c>
      <c r="E1406">
        <v>10800</v>
      </c>
      <c r="F1406" t="s">
        <v>32</v>
      </c>
      <c r="G1406" t="s">
        <v>24</v>
      </c>
      <c r="H1406" t="s">
        <v>16</v>
      </c>
      <c r="I1406" t="s">
        <v>17</v>
      </c>
      <c r="J1406" t="s">
        <v>44</v>
      </c>
      <c r="K1406">
        <v>0.1</v>
      </c>
    </row>
    <row r="1407" spans="1:11" x14ac:dyDescent="0.25">
      <c r="A1407" t="s">
        <v>1445</v>
      </c>
      <c r="B1407" s="1">
        <v>44966</v>
      </c>
      <c r="C1407" t="s">
        <v>20</v>
      </c>
      <c r="D1407" t="s">
        <v>13</v>
      </c>
      <c r="E1407">
        <v>500</v>
      </c>
      <c r="F1407" t="s">
        <v>14</v>
      </c>
      <c r="G1407" t="s">
        <v>28</v>
      </c>
      <c r="H1407" t="s">
        <v>16</v>
      </c>
      <c r="I1407" t="s">
        <v>17</v>
      </c>
      <c r="J1407" t="s">
        <v>22</v>
      </c>
      <c r="K1407">
        <v>0</v>
      </c>
    </row>
    <row r="1408" spans="1:11" x14ac:dyDescent="0.25">
      <c r="A1408" t="s">
        <v>1446</v>
      </c>
      <c r="B1408" s="1">
        <v>45245</v>
      </c>
      <c r="C1408" t="s">
        <v>20</v>
      </c>
      <c r="D1408" t="s">
        <v>27</v>
      </c>
      <c r="E1408">
        <v>5400</v>
      </c>
      <c r="F1408" t="s">
        <v>32</v>
      </c>
      <c r="G1408" t="s">
        <v>15</v>
      </c>
      <c r="H1408" t="s">
        <v>33</v>
      </c>
      <c r="I1408" t="s">
        <v>34</v>
      </c>
      <c r="J1408" t="s">
        <v>66</v>
      </c>
      <c r="K1408">
        <v>0.1</v>
      </c>
    </row>
    <row r="1409" spans="1:11" x14ac:dyDescent="0.25">
      <c r="A1409" t="s">
        <v>1447</v>
      </c>
      <c r="B1409" s="1">
        <v>45252</v>
      </c>
      <c r="C1409" t="s">
        <v>31</v>
      </c>
      <c r="D1409" t="s">
        <v>27</v>
      </c>
      <c r="E1409">
        <v>10800</v>
      </c>
      <c r="F1409" t="s">
        <v>49</v>
      </c>
      <c r="G1409" t="s">
        <v>28</v>
      </c>
      <c r="H1409" t="s">
        <v>16</v>
      </c>
      <c r="I1409" t="s">
        <v>17</v>
      </c>
      <c r="J1409" t="s">
        <v>22</v>
      </c>
      <c r="K1409">
        <v>0.1</v>
      </c>
    </row>
    <row r="1410" spans="1:11" x14ac:dyDescent="0.25">
      <c r="A1410" t="s">
        <v>1448</v>
      </c>
      <c r="B1410" s="1">
        <v>45559</v>
      </c>
      <c r="C1410" t="s">
        <v>31</v>
      </c>
      <c r="D1410" t="s">
        <v>27</v>
      </c>
      <c r="E1410">
        <v>10800</v>
      </c>
      <c r="F1410" t="s">
        <v>21</v>
      </c>
      <c r="G1410" t="s">
        <v>24</v>
      </c>
      <c r="H1410" t="s">
        <v>16</v>
      </c>
      <c r="I1410" t="s">
        <v>17</v>
      </c>
      <c r="J1410" t="s">
        <v>29</v>
      </c>
      <c r="K1410">
        <v>0.1</v>
      </c>
    </row>
    <row r="1411" spans="1:11" x14ac:dyDescent="0.25">
      <c r="A1411" t="s">
        <v>1449</v>
      </c>
      <c r="B1411" s="1">
        <v>44984</v>
      </c>
      <c r="C1411" t="s">
        <v>20</v>
      </c>
      <c r="D1411" t="s">
        <v>13</v>
      </c>
      <c r="E1411">
        <v>500</v>
      </c>
      <c r="F1411" t="s">
        <v>32</v>
      </c>
      <c r="G1411" t="s">
        <v>28</v>
      </c>
      <c r="H1411" t="s">
        <v>33</v>
      </c>
      <c r="I1411" t="s">
        <v>34</v>
      </c>
      <c r="J1411" t="s">
        <v>44</v>
      </c>
      <c r="K1411">
        <v>0</v>
      </c>
    </row>
    <row r="1412" spans="1:11" x14ac:dyDescent="0.25">
      <c r="A1412" t="s">
        <v>1450</v>
      </c>
      <c r="B1412" s="1">
        <v>45397</v>
      </c>
      <c r="C1412" t="s">
        <v>31</v>
      </c>
      <c r="D1412" t="s">
        <v>13</v>
      </c>
      <c r="E1412">
        <v>1000</v>
      </c>
      <c r="F1412" t="s">
        <v>21</v>
      </c>
      <c r="G1412" t="s">
        <v>24</v>
      </c>
      <c r="H1412" t="s">
        <v>33</v>
      </c>
      <c r="I1412" t="s">
        <v>34</v>
      </c>
      <c r="J1412" t="s">
        <v>22</v>
      </c>
      <c r="K1412">
        <v>0</v>
      </c>
    </row>
    <row r="1413" spans="1:11" x14ac:dyDescent="0.25">
      <c r="A1413" t="s">
        <v>1451</v>
      </c>
      <c r="B1413" s="1">
        <v>45657</v>
      </c>
      <c r="C1413" t="s">
        <v>31</v>
      </c>
      <c r="D1413" t="s">
        <v>13</v>
      </c>
      <c r="E1413">
        <v>1000</v>
      </c>
      <c r="F1413" t="s">
        <v>14</v>
      </c>
      <c r="G1413" t="s">
        <v>28</v>
      </c>
      <c r="H1413" t="s">
        <v>33</v>
      </c>
      <c r="I1413" t="s">
        <v>34</v>
      </c>
      <c r="J1413" t="s">
        <v>22</v>
      </c>
      <c r="K1413">
        <v>0</v>
      </c>
    </row>
    <row r="1414" spans="1:11" x14ac:dyDescent="0.25">
      <c r="A1414" t="s">
        <v>1452</v>
      </c>
      <c r="B1414" s="1">
        <v>45606</v>
      </c>
      <c r="C1414" t="s">
        <v>12</v>
      </c>
      <c r="D1414" t="s">
        <v>13</v>
      </c>
      <c r="E1414">
        <v>1500</v>
      </c>
      <c r="F1414" t="s">
        <v>21</v>
      </c>
      <c r="G1414" t="s">
        <v>15</v>
      </c>
      <c r="H1414" t="s">
        <v>16</v>
      </c>
      <c r="I1414" t="s">
        <v>17</v>
      </c>
      <c r="J1414" t="s">
        <v>22</v>
      </c>
      <c r="K1414">
        <v>0</v>
      </c>
    </row>
    <row r="1415" spans="1:11" x14ac:dyDescent="0.25">
      <c r="A1415" t="s">
        <v>1453</v>
      </c>
      <c r="B1415" s="1">
        <v>45443</v>
      </c>
      <c r="C1415" t="s">
        <v>20</v>
      </c>
      <c r="D1415" t="s">
        <v>27</v>
      </c>
      <c r="E1415">
        <v>5400</v>
      </c>
      <c r="F1415" t="s">
        <v>49</v>
      </c>
      <c r="G1415" t="s">
        <v>15</v>
      </c>
      <c r="H1415" t="s">
        <v>33</v>
      </c>
      <c r="I1415" t="s">
        <v>34</v>
      </c>
      <c r="J1415" t="s">
        <v>22</v>
      </c>
      <c r="K1415">
        <v>0.1</v>
      </c>
    </row>
    <row r="1416" spans="1:11" x14ac:dyDescent="0.25">
      <c r="A1416" t="s">
        <v>1454</v>
      </c>
      <c r="B1416" s="1">
        <v>44938</v>
      </c>
      <c r="C1416" t="s">
        <v>20</v>
      </c>
      <c r="D1416" t="s">
        <v>13</v>
      </c>
      <c r="E1416">
        <v>500</v>
      </c>
      <c r="F1416" t="s">
        <v>49</v>
      </c>
      <c r="G1416" t="s">
        <v>15</v>
      </c>
      <c r="H1416" t="s">
        <v>16</v>
      </c>
      <c r="I1416" t="s">
        <v>17</v>
      </c>
      <c r="J1416" t="s">
        <v>18</v>
      </c>
      <c r="K1416">
        <v>0</v>
      </c>
    </row>
    <row r="1417" spans="1:11" x14ac:dyDescent="0.25">
      <c r="A1417" t="s">
        <v>1455</v>
      </c>
      <c r="B1417" s="1">
        <v>45395</v>
      </c>
      <c r="C1417" t="s">
        <v>12</v>
      </c>
      <c r="D1417" t="s">
        <v>13</v>
      </c>
      <c r="E1417">
        <v>1500</v>
      </c>
      <c r="F1417" t="s">
        <v>32</v>
      </c>
      <c r="G1417" t="s">
        <v>24</v>
      </c>
      <c r="H1417" t="s">
        <v>16</v>
      </c>
      <c r="I1417" t="s">
        <v>17</v>
      </c>
      <c r="J1417" t="s">
        <v>35</v>
      </c>
      <c r="K1417">
        <v>0</v>
      </c>
    </row>
    <row r="1418" spans="1:11" x14ac:dyDescent="0.25">
      <c r="A1418" t="s">
        <v>1456</v>
      </c>
      <c r="B1418" s="1">
        <v>45650</v>
      </c>
      <c r="C1418" t="s">
        <v>20</v>
      </c>
      <c r="D1418" t="s">
        <v>27</v>
      </c>
      <c r="E1418">
        <v>5400</v>
      </c>
      <c r="F1418" t="s">
        <v>14</v>
      </c>
      <c r="G1418" t="s">
        <v>15</v>
      </c>
      <c r="H1418" t="s">
        <v>16</v>
      </c>
      <c r="I1418" t="s">
        <v>17</v>
      </c>
      <c r="J1418" t="s">
        <v>22</v>
      </c>
      <c r="K1418">
        <v>0.1</v>
      </c>
    </row>
    <row r="1419" spans="1:11" x14ac:dyDescent="0.25">
      <c r="A1419" t="s">
        <v>1457</v>
      </c>
      <c r="B1419" s="1">
        <v>45519</v>
      </c>
      <c r="C1419" t="s">
        <v>20</v>
      </c>
      <c r="D1419" t="s">
        <v>27</v>
      </c>
      <c r="E1419">
        <v>5400</v>
      </c>
      <c r="F1419" t="s">
        <v>32</v>
      </c>
      <c r="G1419" t="s">
        <v>28</v>
      </c>
      <c r="H1419" t="s">
        <v>16</v>
      </c>
      <c r="I1419" t="s">
        <v>17</v>
      </c>
      <c r="J1419" t="s">
        <v>25</v>
      </c>
      <c r="K1419">
        <v>0.1</v>
      </c>
    </row>
    <row r="1420" spans="1:11" x14ac:dyDescent="0.25">
      <c r="A1420" t="s">
        <v>1458</v>
      </c>
      <c r="B1420" s="1">
        <v>45009</v>
      </c>
      <c r="C1420" t="s">
        <v>12</v>
      </c>
      <c r="D1420" t="s">
        <v>27</v>
      </c>
      <c r="E1420">
        <v>16200</v>
      </c>
      <c r="F1420" t="s">
        <v>21</v>
      </c>
      <c r="G1420" t="s">
        <v>24</v>
      </c>
      <c r="H1420" t="s">
        <v>16</v>
      </c>
      <c r="I1420" t="s">
        <v>17</v>
      </c>
      <c r="J1420" t="s">
        <v>29</v>
      </c>
      <c r="K1420">
        <v>0.1</v>
      </c>
    </row>
    <row r="1421" spans="1:11" x14ac:dyDescent="0.25">
      <c r="A1421" t="s">
        <v>1459</v>
      </c>
      <c r="B1421" s="1">
        <v>45574</v>
      </c>
      <c r="C1421" t="s">
        <v>31</v>
      </c>
      <c r="D1421" t="s">
        <v>13</v>
      </c>
      <c r="E1421">
        <v>1000</v>
      </c>
      <c r="F1421" t="s">
        <v>32</v>
      </c>
      <c r="G1421" t="s">
        <v>24</v>
      </c>
      <c r="H1421" t="s">
        <v>33</v>
      </c>
      <c r="I1421" t="s">
        <v>34</v>
      </c>
      <c r="J1421" t="s">
        <v>25</v>
      </c>
      <c r="K1421">
        <v>0</v>
      </c>
    </row>
    <row r="1422" spans="1:11" x14ac:dyDescent="0.25">
      <c r="A1422" t="s">
        <v>1460</v>
      </c>
      <c r="B1422" s="1">
        <v>45445</v>
      </c>
      <c r="C1422" t="s">
        <v>20</v>
      </c>
      <c r="D1422" t="s">
        <v>27</v>
      </c>
      <c r="E1422">
        <v>5400</v>
      </c>
      <c r="F1422" t="s">
        <v>14</v>
      </c>
      <c r="G1422" t="s">
        <v>24</v>
      </c>
      <c r="H1422" t="s">
        <v>16</v>
      </c>
      <c r="I1422" t="s">
        <v>17</v>
      </c>
      <c r="J1422" t="s">
        <v>41</v>
      </c>
      <c r="K1422">
        <v>0.1</v>
      </c>
    </row>
    <row r="1423" spans="1:11" x14ac:dyDescent="0.25">
      <c r="A1423" t="s">
        <v>1461</v>
      </c>
      <c r="B1423" s="1">
        <v>45113</v>
      </c>
      <c r="C1423" t="s">
        <v>20</v>
      </c>
      <c r="D1423" t="s">
        <v>13</v>
      </c>
      <c r="E1423">
        <v>500</v>
      </c>
      <c r="F1423" t="s">
        <v>32</v>
      </c>
      <c r="G1423" t="s">
        <v>28</v>
      </c>
      <c r="H1423" t="s">
        <v>16</v>
      </c>
      <c r="I1423" t="s">
        <v>17</v>
      </c>
      <c r="J1423" t="s">
        <v>66</v>
      </c>
      <c r="K1423">
        <v>0</v>
      </c>
    </row>
    <row r="1424" spans="1:11" x14ac:dyDescent="0.25">
      <c r="A1424" t="s">
        <v>1462</v>
      </c>
      <c r="B1424" s="1">
        <v>45272</v>
      </c>
      <c r="C1424" t="s">
        <v>12</v>
      </c>
      <c r="D1424" t="s">
        <v>27</v>
      </c>
      <c r="E1424">
        <v>16200</v>
      </c>
      <c r="F1424" t="s">
        <v>32</v>
      </c>
      <c r="G1424" t="s">
        <v>28</v>
      </c>
      <c r="H1424" t="s">
        <v>33</v>
      </c>
      <c r="I1424" t="s">
        <v>34</v>
      </c>
      <c r="J1424" t="s">
        <v>35</v>
      </c>
      <c r="K1424">
        <v>0.1</v>
      </c>
    </row>
    <row r="1425" spans="1:11" x14ac:dyDescent="0.25">
      <c r="A1425" t="s">
        <v>1463</v>
      </c>
      <c r="B1425" s="1">
        <v>44961</v>
      </c>
      <c r="C1425" t="s">
        <v>20</v>
      </c>
      <c r="D1425" t="s">
        <v>13</v>
      </c>
      <c r="E1425">
        <v>500</v>
      </c>
      <c r="F1425" t="s">
        <v>49</v>
      </c>
      <c r="G1425" t="s">
        <v>15</v>
      </c>
      <c r="H1425" t="s">
        <v>33</v>
      </c>
      <c r="I1425" t="s">
        <v>34</v>
      </c>
      <c r="J1425" t="s">
        <v>22</v>
      </c>
      <c r="K1425">
        <v>0</v>
      </c>
    </row>
    <row r="1426" spans="1:11" x14ac:dyDescent="0.25">
      <c r="A1426" t="s">
        <v>1464</v>
      </c>
      <c r="B1426" s="1">
        <v>45262</v>
      </c>
      <c r="C1426" t="s">
        <v>31</v>
      </c>
      <c r="D1426" t="s">
        <v>27</v>
      </c>
      <c r="E1426">
        <v>10800</v>
      </c>
      <c r="F1426" t="s">
        <v>49</v>
      </c>
      <c r="G1426" t="s">
        <v>24</v>
      </c>
      <c r="H1426" t="s">
        <v>33</v>
      </c>
      <c r="I1426" t="s">
        <v>34</v>
      </c>
      <c r="J1426" t="s">
        <v>58</v>
      </c>
      <c r="K1426">
        <v>0.1</v>
      </c>
    </row>
    <row r="1427" spans="1:11" x14ac:dyDescent="0.25">
      <c r="A1427" t="s">
        <v>1465</v>
      </c>
      <c r="B1427" s="1">
        <v>45531</v>
      </c>
      <c r="C1427" t="s">
        <v>31</v>
      </c>
      <c r="D1427" t="s">
        <v>27</v>
      </c>
      <c r="E1427">
        <v>10800</v>
      </c>
      <c r="F1427" t="s">
        <v>14</v>
      </c>
      <c r="G1427" t="s">
        <v>15</v>
      </c>
      <c r="H1427" t="s">
        <v>33</v>
      </c>
      <c r="I1427" t="s">
        <v>34</v>
      </c>
      <c r="J1427" t="s">
        <v>37</v>
      </c>
      <c r="K1427">
        <v>0.1</v>
      </c>
    </row>
    <row r="1428" spans="1:11" x14ac:dyDescent="0.25">
      <c r="A1428" t="s">
        <v>1466</v>
      </c>
      <c r="B1428" s="1">
        <v>45536</v>
      </c>
      <c r="C1428" t="s">
        <v>20</v>
      </c>
      <c r="D1428" t="s">
        <v>13</v>
      </c>
      <c r="E1428">
        <v>500</v>
      </c>
      <c r="F1428" t="s">
        <v>32</v>
      </c>
      <c r="G1428" t="s">
        <v>15</v>
      </c>
      <c r="H1428" t="s">
        <v>33</v>
      </c>
      <c r="I1428" t="s">
        <v>34</v>
      </c>
      <c r="J1428" t="s">
        <v>44</v>
      </c>
      <c r="K1428">
        <v>0</v>
      </c>
    </row>
    <row r="1429" spans="1:11" x14ac:dyDescent="0.25">
      <c r="A1429" t="s">
        <v>1467</v>
      </c>
      <c r="B1429" s="1">
        <v>45465</v>
      </c>
      <c r="C1429" t="s">
        <v>12</v>
      </c>
      <c r="D1429" t="s">
        <v>27</v>
      </c>
      <c r="E1429">
        <v>16200</v>
      </c>
      <c r="F1429" t="s">
        <v>21</v>
      </c>
      <c r="G1429" t="s">
        <v>24</v>
      </c>
      <c r="H1429" t="s">
        <v>16</v>
      </c>
      <c r="I1429" t="s">
        <v>17</v>
      </c>
      <c r="J1429" t="s">
        <v>22</v>
      </c>
      <c r="K1429">
        <v>0.1</v>
      </c>
    </row>
    <row r="1430" spans="1:11" x14ac:dyDescent="0.25">
      <c r="A1430" t="s">
        <v>1468</v>
      </c>
      <c r="B1430" s="1">
        <v>45135</v>
      </c>
      <c r="C1430" t="s">
        <v>20</v>
      </c>
      <c r="D1430" t="s">
        <v>27</v>
      </c>
      <c r="E1430">
        <v>5400</v>
      </c>
      <c r="F1430" t="s">
        <v>14</v>
      </c>
      <c r="G1430" t="s">
        <v>15</v>
      </c>
      <c r="H1430" t="s">
        <v>33</v>
      </c>
      <c r="I1430" t="s">
        <v>34</v>
      </c>
      <c r="J1430" t="s">
        <v>41</v>
      </c>
      <c r="K1430">
        <v>0.1</v>
      </c>
    </row>
    <row r="1431" spans="1:11" x14ac:dyDescent="0.25">
      <c r="A1431" t="s">
        <v>1469</v>
      </c>
      <c r="B1431" s="1">
        <v>45496</v>
      </c>
      <c r="C1431" t="s">
        <v>20</v>
      </c>
      <c r="D1431" t="s">
        <v>13</v>
      </c>
      <c r="E1431">
        <v>500</v>
      </c>
      <c r="F1431" t="s">
        <v>32</v>
      </c>
      <c r="G1431" t="s">
        <v>15</v>
      </c>
      <c r="H1431" t="s">
        <v>16</v>
      </c>
      <c r="I1431" t="s">
        <v>17</v>
      </c>
      <c r="J1431" t="s">
        <v>66</v>
      </c>
      <c r="K1431">
        <v>0</v>
      </c>
    </row>
    <row r="1432" spans="1:11" x14ac:dyDescent="0.25">
      <c r="A1432" t="s">
        <v>1470</v>
      </c>
      <c r="B1432" s="1">
        <v>45318</v>
      </c>
      <c r="C1432" t="s">
        <v>20</v>
      </c>
      <c r="D1432" t="s">
        <v>13</v>
      </c>
      <c r="E1432">
        <v>500</v>
      </c>
      <c r="F1432" t="s">
        <v>14</v>
      </c>
      <c r="G1432" t="s">
        <v>15</v>
      </c>
      <c r="H1432" t="s">
        <v>16</v>
      </c>
      <c r="I1432" t="s">
        <v>17</v>
      </c>
      <c r="J1432" t="s">
        <v>18</v>
      </c>
      <c r="K1432">
        <v>0</v>
      </c>
    </row>
    <row r="1433" spans="1:11" x14ac:dyDescent="0.25">
      <c r="A1433" t="s">
        <v>1471</v>
      </c>
      <c r="B1433" s="1">
        <v>44988</v>
      </c>
      <c r="C1433" t="s">
        <v>12</v>
      </c>
      <c r="D1433" t="s">
        <v>13</v>
      </c>
      <c r="E1433">
        <v>1500</v>
      </c>
      <c r="F1433" t="s">
        <v>14</v>
      </c>
      <c r="G1433" t="s">
        <v>28</v>
      </c>
      <c r="H1433" t="s">
        <v>33</v>
      </c>
      <c r="I1433" t="s">
        <v>34</v>
      </c>
      <c r="J1433" t="s">
        <v>55</v>
      </c>
      <c r="K1433">
        <v>0</v>
      </c>
    </row>
    <row r="1434" spans="1:11" x14ac:dyDescent="0.25">
      <c r="A1434" t="s">
        <v>1472</v>
      </c>
      <c r="B1434" s="1">
        <v>45119</v>
      </c>
      <c r="C1434" t="s">
        <v>12</v>
      </c>
      <c r="D1434" t="s">
        <v>13</v>
      </c>
      <c r="E1434">
        <v>1500</v>
      </c>
      <c r="F1434" t="s">
        <v>14</v>
      </c>
      <c r="G1434" t="s">
        <v>28</v>
      </c>
      <c r="H1434" t="s">
        <v>33</v>
      </c>
      <c r="I1434" t="s">
        <v>34</v>
      </c>
      <c r="J1434" t="s">
        <v>37</v>
      </c>
      <c r="K1434">
        <v>0</v>
      </c>
    </row>
    <row r="1435" spans="1:11" x14ac:dyDescent="0.25">
      <c r="A1435" t="s">
        <v>1473</v>
      </c>
      <c r="B1435" s="1">
        <v>45509</v>
      </c>
      <c r="C1435" t="s">
        <v>31</v>
      </c>
      <c r="D1435" t="s">
        <v>27</v>
      </c>
      <c r="E1435">
        <v>10800</v>
      </c>
      <c r="F1435" t="s">
        <v>32</v>
      </c>
      <c r="G1435" t="s">
        <v>28</v>
      </c>
      <c r="H1435" t="s">
        <v>16</v>
      </c>
      <c r="I1435" t="s">
        <v>17</v>
      </c>
      <c r="J1435" t="s">
        <v>66</v>
      </c>
      <c r="K1435">
        <v>0.1</v>
      </c>
    </row>
    <row r="1436" spans="1:11" x14ac:dyDescent="0.25">
      <c r="A1436" t="s">
        <v>1474</v>
      </c>
      <c r="B1436" s="1">
        <v>45640</v>
      </c>
      <c r="C1436" t="s">
        <v>20</v>
      </c>
      <c r="D1436" t="s">
        <v>13</v>
      </c>
      <c r="E1436">
        <v>500</v>
      </c>
      <c r="F1436" t="s">
        <v>14</v>
      </c>
      <c r="G1436" t="s">
        <v>15</v>
      </c>
      <c r="H1436" t="s">
        <v>16</v>
      </c>
      <c r="I1436" t="s">
        <v>17</v>
      </c>
      <c r="J1436" t="s">
        <v>37</v>
      </c>
      <c r="K1436">
        <v>0</v>
      </c>
    </row>
    <row r="1437" spans="1:11" x14ac:dyDescent="0.25">
      <c r="A1437" t="s">
        <v>1475</v>
      </c>
      <c r="B1437" s="1">
        <v>45027</v>
      </c>
      <c r="C1437" t="s">
        <v>20</v>
      </c>
      <c r="D1437" t="s">
        <v>27</v>
      </c>
      <c r="E1437">
        <v>5400</v>
      </c>
      <c r="F1437" t="s">
        <v>32</v>
      </c>
      <c r="G1437" t="s">
        <v>28</v>
      </c>
      <c r="H1437" t="s">
        <v>33</v>
      </c>
      <c r="I1437" t="s">
        <v>34</v>
      </c>
      <c r="J1437" t="s">
        <v>35</v>
      </c>
      <c r="K1437">
        <v>0.1</v>
      </c>
    </row>
    <row r="1438" spans="1:11" x14ac:dyDescent="0.25">
      <c r="A1438" t="s">
        <v>1476</v>
      </c>
      <c r="B1438" s="1">
        <v>45538</v>
      </c>
      <c r="C1438" t="s">
        <v>31</v>
      </c>
      <c r="D1438" t="s">
        <v>27</v>
      </c>
      <c r="E1438">
        <v>10800</v>
      </c>
      <c r="F1438" t="s">
        <v>14</v>
      </c>
      <c r="G1438" t="s">
        <v>15</v>
      </c>
      <c r="H1438" t="s">
        <v>16</v>
      </c>
      <c r="I1438" t="s">
        <v>17</v>
      </c>
      <c r="J1438" t="s">
        <v>22</v>
      </c>
      <c r="K1438">
        <v>0.1</v>
      </c>
    </row>
    <row r="1439" spans="1:11" x14ac:dyDescent="0.25">
      <c r="A1439" t="s">
        <v>1477</v>
      </c>
      <c r="B1439" s="1">
        <v>45054</v>
      </c>
      <c r="C1439" t="s">
        <v>31</v>
      </c>
      <c r="D1439" t="s">
        <v>27</v>
      </c>
      <c r="E1439">
        <v>10800</v>
      </c>
      <c r="F1439" t="s">
        <v>32</v>
      </c>
      <c r="G1439" t="s">
        <v>28</v>
      </c>
      <c r="H1439" t="s">
        <v>16</v>
      </c>
      <c r="I1439" t="s">
        <v>17</v>
      </c>
      <c r="J1439" t="s">
        <v>35</v>
      </c>
      <c r="K1439">
        <v>0.1</v>
      </c>
    </row>
    <row r="1440" spans="1:11" x14ac:dyDescent="0.25">
      <c r="A1440" t="s">
        <v>1478</v>
      </c>
      <c r="B1440" s="1">
        <v>45219</v>
      </c>
      <c r="C1440" t="s">
        <v>12</v>
      </c>
      <c r="D1440" t="s">
        <v>27</v>
      </c>
      <c r="E1440">
        <v>16200</v>
      </c>
      <c r="F1440" t="s">
        <v>49</v>
      </c>
      <c r="G1440" t="s">
        <v>24</v>
      </c>
      <c r="H1440" t="s">
        <v>33</v>
      </c>
      <c r="I1440" t="s">
        <v>34</v>
      </c>
      <c r="J1440" t="s">
        <v>22</v>
      </c>
      <c r="K1440">
        <v>0.1</v>
      </c>
    </row>
    <row r="1441" spans="1:11" x14ac:dyDescent="0.25">
      <c r="A1441" t="s">
        <v>1479</v>
      </c>
      <c r="B1441" s="1">
        <v>45126</v>
      </c>
      <c r="C1441" t="s">
        <v>20</v>
      </c>
      <c r="D1441" t="s">
        <v>13</v>
      </c>
      <c r="E1441">
        <v>500</v>
      </c>
      <c r="F1441" t="s">
        <v>21</v>
      </c>
      <c r="G1441" t="s">
        <v>15</v>
      </c>
      <c r="H1441" t="s">
        <v>33</v>
      </c>
      <c r="I1441" t="s">
        <v>34</v>
      </c>
      <c r="J1441" t="s">
        <v>18</v>
      </c>
      <c r="K1441">
        <v>0</v>
      </c>
    </row>
    <row r="1442" spans="1:11" x14ac:dyDescent="0.25">
      <c r="A1442" t="s">
        <v>1480</v>
      </c>
      <c r="B1442" s="1">
        <v>45383</v>
      </c>
      <c r="C1442" t="s">
        <v>31</v>
      </c>
      <c r="D1442" t="s">
        <v>27</v>
      </c>
      <c r="E1442">
        <v>10800</v>
      </c>
      <c r="F1442" t="s">
        <v>14</v>
      </c>
      <c r="G1442" t="s">
        <v>24</v>
      </c>
      <c r="H1442" t="s">
        <v>16</v>
      </c>
      <c r="I1442" t="s">
        <v>17</v>
      </c>
      <c r="J1442" t="s">
        <v>37</v>
      </c>
      <c r="K1442">
        <v>0.1</v>
      </c>
    </row>
    <row r="1443" spans="1:11" x14ac:dyDescent="0.25">
      <c r="A1443" t="s">
        <v>1481</v>
      </c>
      <c r="B1443" s="1">
        <v>45232</v>
      </c>
      <c r="C1443" t="s">
        <v>31</v>
      </c>
      <c r="D1443" t="s">
        <v>27</v>
      </c>
      <c r="E1443">
        <v>10800</v>
      </c>
      <c r="F1443" t="s">
        <v>49</v>
      </c>
      <c r="G1443" t="s">
        <v>28</v>
      </c>
      <c r="H1443" t="s">
        <v>33</v>
      </c>
      <c r="I1443" t="s">
        <v>34</v>
      </c>
      <c r="J1443" t="s">
        <v>22</v>
      </c>
      <c r="K1443">
        <v>0.1</v>
      </c>
    </row>
    <row r="1444" spans="1:11" x14ac:dyDescent="0.25">
      <c r="A1444" t="s">
        <v>1482</v>
      </c>
      <c r="B1444" s="1">
        <v>45019</v>
      </c>
      <c r="C1444" t="s">
        <v>20</v>
      </c>
      <c r="D1444" t="s">
        <v>13</v>
      </c>
      <c r="E1444">
        <v>500</v>
      </c>
      <c r="F1444" t="s">
        <v>32</v>
      </c>
      <c r="G1444" t="s">
        <v>28</v>
      </c>
      <c r="H1444" t="s">
        <v>16</v>
      </c>
      <c r="I1444" t="s">
        <v>17</v>
      </c>
      <c r="J1444" t="s">
        <v>25</v>
      </c>
      <c r="K1444">
        <v>0</v>
      </c>
    </row>
    <row r="1445" spans="1:11" x14ac:dyDescent="0.25">
      <c r="A1445" t="s">
        <v>1483</v>
      </c>
      <c r="B1445" s="1">
        <v>45535</v>
      </c>
      <c r="C1445" t="s">
        <v>20</v>
      </c>
      <c r="D1445" t="s">
        <v>27</v>
      </c>
      <c r="E1445">
        <v>5400</v>
      </c>
      <c r="F1445" t="s">
        <v>32</v>
      </c>
      <c r="G1445" t="s">
        <v>24</v>
      </c>
      <c r="H1445" t="s">
        <v>16</v>
      </c>
      <c r="I1445" t="s">
        <v>17</v>
      </c>
      <c r="J1445" t="s">
        <v>35</v>
      </c>
      <c r="K1445">
        <v>0.1</v>
      </c>
    </row>
    <row r="1446" spans="1:11" x14ac:dyDescent="0.25">
      <c r="A1446" t="s">
        <v>1484</v>
      </c>
      <c r="B1446" s="1">
        <v>45148</v>
      </c>
      <c r="C1446" t="s">
        <v>31</v>
      </c>
      <c r="D1446" t="s">
        <v>27</v>
      </c>
      <c r="E1446">
        <v>10800</v>
      </c>
      <c r="F1446" t="s">
        <v>21</v>
      </c>
      <c r="G1446" t="s">
        <v>28</v>
      </c>
      <c r="H1446" t="s">
        <v>16</v>
      </c>
      <c r="I1446" t="s">
        <v>17</v>
      </c>
      <c r="J1446" t="s">
        <v>18</v>
      </c>
      <c r="K1446">
        <v>0.1</v>
      </c>
    </row>
    <row r="1447" spans="1:11" x14ac:dyDescent="0.25">
      <c r="A1447" t="s">
        <v>1485</v>
      </c>
      <c r="B1447" s="1">
        <v>45047</v>
      </c>
      <c r="C1447" t="s">
        <v>31</v>
      </c>
      <c r="D1447" t="s">
        <v>27</v>
      </c>
      <c r="E1447">
        <v>10800</v>
      </c>
      <c r="F1447" t="s">
        <v>49</v>
      </c>
      <c r="G1447" t="s">
        <v>15</v>
      </c>
      <c r="H1447" t="s">
        <v>33</v>
      </c>
      <c r="I1447" t="s">
        <v>34</v>
      </c>
      <c r="J1447" t="s">
        <v>22</v>
      </c>
      <c r="K1447">
        <v>0.1</v>
      </c>
    </row>
    <row r="1448" spans="1:11" x14ac:dyDescent="0.25">
      <c r="A1448" t="s">
        <v>1486</v>
      </c>
      <c r="B1448" s="1">
        <v>45189</v>
      </c>
      <c r="C1448" t="s">
        <v>20</v>
      </c>
      <c r="D1448" t="s">
        <v>27</v>
      </c>
      <c r="E1448">
        <v>5400</v>
      </c>
      <c r="F1448" t="s">
        <v>21</v>
      </c>
      <c r="G1448" t="s">
        <v>24</v>
      </c>
      <c r="H1448" t="s">
        <v>16</v>
      </c>
      <c r="I1448" t="s">
        <v>17</v>
      </c>
      <c r="J1448" t="s">
        <v>29</v>
      </c>
      <c r="K1448">
        <v>0.1</v>
      </c>
    </row>
    <row r="1449" spans="1:11" x14ac:dyDescent="0.25">
      <c r="A1449" t="s">
        <v>1487</v>
      </c>
      <c r="B1449" s="1">
        <v>45061</v>
      </c>
      <c r="C1449" t="s">
        <v>20</v>
      </c>
      <c r="D1449" t="s">
        <v>27</v>
      </c>
      <c r="E1449">
        <v>5400</v>
      </c>
      <c r="F1449" t="s">
        <v>21</v>
      </c>
      <c r="G1449" t="s">
        <v>15</v>
      </c>
      <c r="H1449" t="s">
        <v>16</v>
      </c>
      <c r="I1449" t="s">
        <v>17</v>
      </c>
      <c r="J1449" t="s">
        <v>25</v>
      </c>
      <c r="K1449">
        <v>0.1</v>
      </c>
    </row>
    <row r="1450" spans="1:11" x14ac:dyDescent="0.25">
      <c r="A1450" t="s">
        <v>1488</v>
      </c>
      <c r="B1450" s="1">
        <v>45554</v>
      </c>
      <c r="C1450" t="s">
        <v>20</v>
      </c>
      <c r="D1450" t="s">
        <v>27</v>
      </c>
      <c r="E1450">
        <v>5400</v>
      </c>
      <c r="F1450" t="s">
        <v>14</v>
      </c>
      <c r="G1450" t="s">
        <v>15</v>
      </c>
      <c r="H1450" t="s">
        <v>33</v>
      </c>
      <c r="I1450" t="s">
        <v>34</v>
      </c>
      <c r="J1450" t="s">
        <v>37</v>
      </c>
      <c r="K1450">
        <v>0.1</v>
      </c>
    </row>
    <row r="1451" spans="1:11" x14ac:dyDescent="0.25">
      <c r="A1451" t="s">
        <v>1489</v>
      </c>
      <c r="B1451" s="1">
        <v>45536</v>
      </c>
      <c r="C1451" t="s">
        <v>31</v>
      </c>
      <c r="D1451" t="s">
        <v>13</v>
      </c>
      <c r="E1451">
        <v>1000</v>
      </c>
      <c r="F1451" t="s">
        <v>32</v>
      </c>
      <c r="G1451" t="s">
        <v>24</v>
      </c>
      <c r="H1451" t="s">
        <v>16</v>
      </c>
      <c r="I1451" t="s">
        <v>17</v>
      </c>
      <c r="J1451" t="s">
        <v>25</v>
      </c>
      <c r="K1451">
        <v>0</v>
      </c>
    </row>
    <row r="1452" spans="1:11" x14ac:dyDescent="0.25">
      <c r="A1452" t="s">
        <v>1490</v>
      </c>
      <c r="B1452" s="1">
        <v>45060</v>
      </c>
      <c r="C1452" t="s">
        <v>31</v>
      </c>
      <c r="D1452" t="s">
        <v>27</v>
      </c>
      <c r="E1452">
        <v>10800</v>
      </c>
      <c r="F1452" t="s">
        <v>49</v>
      </c>
      <c r="G1452" t="s">
        <v>15</v>
      </c>
      <c r="H1452" t="s">
        <v>16</v>
      </c>
      <c r="I1452" t="s">
        <v>17</v>
      </c>
      <c r="J1452" t="s">
        <v>25</v>
      </c>
      <c r="K1452">
        <v>0.1</v>
      </c>
    </row>
    <row r="1453" spans="1:11" x14ac:dyDescent="0.25">
      <c r="A1453" t="s">
        <v>1491</v>
      </c>
      <c r="B1453" s="1">
        <v>45151</v>
      </c>
      <c r="C1453" t="s">
        <v>31</v>
      </c>
      <c r="D1453" t="s">
        <v>27</v>
      </c>
      <c r="E1453">
        <v>10800</v>
      </c>
      <c r="F1453" t="s">
        <v>49</v>
      </c>
      <c r="G1453" t="s">
        <v>28</v>
      </c>
      <c r="H1453" t="s">
        <v>33</v>
      </c>
      <c r="I1453" t="s">
        <v>34</v>
      </c>
      <c r="J1453" t="s">
        <v>35</v>
      </c>
      <c r="K1453">
        <v>0.1</v>
      </c>
    </row>
    <row r="1454" spans="1:11" x14ac:dyDescent="0.25">
      <c r="A1454" t="s">
        <v>1492</v>
      </c>
      <c r="B1454" s="1">
        <v>44961</v>
      </c>
      <c r="C1454" t="s">
        <v>20</v>
      </c>
      <c r="D1454" t="s">
        <v>13</v>
      </c>
      <c r="E1454">
        <v>500</v>
      </c>
      <c r="F1454" t="s">
        <v>14</v>
      </c>
      <c r="G1454" t="s">
        <v>24</v>
      </c>
      <c r="H1454" t="s">
        <v>16</v>
      </c>
      <c r="I1454" t="s">
        <v>17</v>
      </c>
      <c r="J1454" t="s">
        <v>37</v>
      </c>
      <c r="K1454">
        <v>0</v>
      </c>
    </row>
    <row r="1455" spans="1:11" x14ac:dyDescent="0.25">
      <c r="A1455" t="s">
        <v>1493</v>
      </c>
      <c r="B1455" s="1">
        <v>45368</v>
      </c>
      <c r="C1455" t="s">
        <v>12</v>
      </c>
      <c r="D1455" t="s">
        <v>27</v>
      </c>
      <c r="E1455">
        <v>16200</v>
      </c>
      <c r="F1455" t="s">
        <v>49</v>
      </c>
      <c r="G1455" t="s">
        <v>28</v>
      </c>
      <c r="H1455" t="s">
        <v>33</v>
      </c>
      <c r="I1455" t="s">
        <v>34</v>
      </c>
      <c r="J1455" t="s">
        <v>50</v>
      </c>
      <c r="K1455">
        <v>0.1</v>
      </c>
    </row>
    <row r="1456" spans="1:11" x14ac:dyDescent="0.25">
      <c r="A1456" t="s">
        <v>1494</v>
      </c>
      <c r="B1456" s="1">
        <v>45254</v>
      </c>
      <c r="C1456" t="s">
        <v>31</v>
      </c>
      <c r="D1456" t="s">
        <v>27</v>
      </c>
      <c r="E1456">
        <v>10800</v>
      </c>
      <c r="F1456" t="s">
        <v>14</v>
      </c>
      <c r="G1456" t="s">
        <v>28</v>
      </c>
      <c r="H1456" t="s">
        <v>33</v>
      </c>
      <c r="I1456" t="s">
        <v>34</v>
      </c>
      <c r="J1456" t="s">
        <v>37</v>
      </c>
      <c r="K1456">
        <v>0.1</v>
      </c>
    </row>
    <row r="1457" spans="1:11" x14ac:dyDescent="0.25">
      <c r="A1457" t="s">
        <v>1495</v>
      </c>
      <c r="B1457" s="1">
        <v>45175</v>
      </c>
      <c r="C1457" t="s">
        <v>20</v>
      </c>
      <c r="D1457" t="s">
        <v>13</v>
      </c>
      <c r="E1457">
        <v>500</v>
      </c>
      <c r="F1457" t="s">
        <v>14</v>
      </c>
      <c r="G1457" t="s">
        <v>15</v>
      </c>
      <c r="H1457" t="s">
        <v>33</v>
      </c>
      <c r="I1457" t="s">
        <v>34</v>
      </c>
      <c r="J1457" t="s">
        <v>55</v>
      </c>
      <c r="K1457">
        <v>0</v>
      </c>
    </row>
    <row r="1458" spans="1:11" x14ac:dyDescent="0.25">
      <c r="A1458" t="s">
        <v>1496</v>
      </c>
      <c r="B1458" s="1">
        <v>45392</v>
      </c>
      <c r="C1458" t="s">
        <v>12</v>
      </c>
      <c r="D1458" t="s">
        <v>27</v>
      </c>
      <c r="E1458">
        <v>16200</v>
      </c>
      <c r="F1458" t="s">
        <v>49</v>
      </c>
      <c r="G1458" t="s">
        <v>28</v>
      </c>
      <c r="H1458" t="s">
        <v>16</v>
      </c>
      <c r="I1458" t="s">
        <v>17</v>
      </c>
      <c r="J1458" t="s">
        <v>18</v>
      </c>
      <c r="K1458">
        <v>0.1</v>
      </c>
    </row>
    <row r="1459" spans="1:11" x14ac:dyDescent="0.25">
      <c r="A1459" t="s">
        <v>1497</v>
      </c>
      <c r="B1459" s="1">
        <v>45650</v>
      </c>
      <c r="C1459" t="s">
        <v>20</v>
      </c>
      <c r="D1459" t="s">
        <v>27</v>
      </c>
      <c r="E1459">
        <v>5400</v>
      </c>
      <c r="F1459" t="s">
        <v>49</v>
      </c>
      <c r="G1459" t="s">
        <v>15</v>
      </c>
      <c r="H1459" t="s">
        <v>33</v>
      </c>
      <c r="I1459" t="s">
        <v>34</v>
      </c>
      <c r="J1459" t="s">
        <v>58</v>
      </c>
      <c r="K1459">
        <v>0.1</v>
      </c>
    </row>
    <row r="1460" spans="1:11" x14ac:dyDescent="0.25">
      <c r="A1460" t="s">
        <v>1498</v>
      </c>
      <c r="B1460" s="1">
        <v>45048</v>
      </c>
      <c r="C1460" t="s">
        <v>12</v>
      </c>
      <c r="D1460" t="s">
        <v>13</v>
      </c>
      <c r="E1460">
        <v>1500</v>
      </c>
      <c r="F1460" t="s">
        <v>49</v>
      </c>
      <c r="G1460" t="s">
        <v>15</v>
      </c>
      <c r="H1460" t="s">
        <v>33</v>
      </c>
      <c r="I1460" t="s">
        <v>34</v>
      </c>
      <c r="J1460" t="s">
        <v>35</v>
      </c>
      <c r="K1460">
        <v>0</v>
      </c>
    </row>
    <row r="1461" spans="1:11" x14ac:dyDescent="0.25">
      <c r="A1461" t="s">
        <v>1499</v>
      </c>
      <c r="B1461" s="1">
        <v>45530</v>
      </c>
      <c r="C1461" t="s">
        <v>31</v>
      </c>
      <c r="D1461" t="s">
        <v>27</v>
      </c>
      <c r="E1461">
        <v>10800</v>
      </c>
      <c r="F1461" t="s">
        <v>14</v>
      </c>
      <c r="G1461" t="s">
        <v>24</v>
      </c>
      <c r="H1461" t="s">
        <v>33</v>
      </c>
      <c r="I1461" t="s">
        <v>34</v>
      </c>
      <c r="J1461" t="s">
        <v>55</v>
      </c>
      <c r="K1461">
        <v>0.1</v>
      </c>
    </row>
    <row r="1462" spans="1:11" x14ac:dyDescent="0.25">
      <c r="A1462" t="s">
        <v>1500</v>
      </c>
      <c r="B1462" s="1">
        <v>45654</v>
      </c>
      <c r="C1462" t="s">
        <v>20</v>
      </c>
      <c r="D1462" t="s">
        <v>27</v>
      </c>
      <c r="E1462">
        <v>5400</v>
      </c>
      <c r="F1462" t="s">
        <v>49</v>
      </c>
      <c r="G1462" t="s">
        <v>15</v>
      </c>
      <c r="H1462" t="s">
        <v>16</v>
      </c>
      <c r="I1462" t="s">
        <v>17</v>
      </c>
      <c r="J1462" t="s">
        <v>50</v>
      </c>
      <c r="K1462">
        <v>0.1</v>
      </c>
    </row>
    <row r="1463" spans="1:11" x14ac:dyDescent="0.25">
      <c r="A1463" t="s">
        <v>1501</v>
      </c>
      <c r="B1463" s="1">
        <v>45061</v>
      </c>
      <c r="C1463" t="s">
        <v>20</v>
      </c>
      <c r="D1463" t="s">
        <v>27</v>
      </c>
      <c r="E1463">
        <v>5400</v>
      </c>
      <c r="F1463" t="s">
        <v>49</v>
      </c>
      <c r="G1463" t="s">
        <v>24</v>
      </c>
      <c r="H1463" t="s">
        <v>33</v>
      </c>
      <c r="I1463" t="s">
        <v>34</v>
      </c>
      <c r="J1463" t="s">
        <v>25</v>
      </c>
      <c r="K1463">
        <v>0.1</v>
      </c>
    </row>
    <row r="1464" spans="1:11" x14ac:dyDescent="0.25">
      <c r="A1464" t="s">
        <v>1502</v>
      </c>
      <c r="B1464" s="1">
        <v>45264</v>
      </c>
      <c r="C1464" t="s">
        <v>20</v>
      </c>
      <c r="D1464" t="s">
        <v>13</v>
      </c>
      <c r="E1464">
        <v>500</v>
      </c>
      <c r="F1464" t="s">
        <v>14</v>
      </c>
      <c r="G1464" t="s">
        <v>28</v>
      </c>
      <c r="H1464" t="s">
        <v>33</v>
      </c>
      <c r="I1464" t="s">
        <v>34</v>
      </c>
      <c r="J1464" t="s">
        <v>55</v>
      </c>
      <c r="K1464">
        <v>0</v>
      </c>
    </row>
    <row r="1465" spans="1:11" x14ac:dyDescent="0.25">
      <c r="A1465" t="s">
        <v>1503</v>
      </c>
      <c r="B1465" s="1">
        <v>45363</v>
      </c>
      <c r="C1465" t="s">
        <v>31</v>
      </c>
      <c r="D1465" t="s">
        <v>13</v>
      </c>
      <c r="E1465">
        <v>1000</v>
      </c>
      <c r="F1465" t="s">
        <v>14</v>
      </c>
      <c r="G1465" t="s">
        <v>28</v>
      </c>
      <c r="H1465" t="s">
        <v>33</v>
      </c>
      <c r="I1465" t="s">
        <v>34</v>
      </c>
      <c r="J1465" t="s">
        <v>37</v>
      </c>
      <c r="K1465">
        <v>0</v>
      </c>
    </row>
    <row r="1466" spans="1:11" x14ac:dyDescent="0.25">
      <c r="A1466" t="s">
        <v>1504</v>
      </c>
      <c r="B1466" s="1">
        <v>45151</v>
      </c>
      <c r="C1466" t="s">
        <v>20</v>
      </c>
      <c r="D1466" t="s">
        <v>13</v>
      </c>
      <c r="E1466">
        <v>500</v>
      </c>
      <c r="F1466" t="s">
        <v>14</v>
      </c>
      <c r="G1466" t="s">
        <v>24</v>
      </c>
      <c r="H1466" t="s">
        <v>33</v>
      </c>
      <c r="I1466" t="s">
        <v>34</v>
      </c>
      <c r="J1466" t="s">
        <v>55</v>
      </c>
      <c r="K1466">
        <v>0</v>
      </c>
    </row>
    <row r="1467" spans="1:11" x14ac:dyDescent="0.25">
      <c r="A1467" t="s">
        <v>1505</v>
      </c>
      <c r="B1467" s="1">
        <v>45290</v>
      </c>
      <c r="C1467" t="s">
        <v>31</v>
      </c>
      <c r="D1467" t="s">
        <v>27</v>
      </c>
      <c r="E1467">
        <v>10800</v>
      </c>
      <c r="F1467" t="s">
        <v>14</v>
      </c>
      <c r="G1467" t="s">
        <v>24</v>
      </c>
      <c r="H1467" t="s">
        <v>16</v>
      </c>
      <c r="I1467" t="s">
        <v>17</v>
      </c>
      <c r="J1467" t="s">
        <v>18</v>
      </c>
      <c r="K1467">
        <v>0.1</v>
      </c>
    </row>
    <row r="1468" spans="1:11" x14ac:dyDescent="0.25">
      <c r="A1468" t="s">
        <v>1506</v>
      </c>
      <c r="B1468" s="1">
        <v>45376</v>
      </c>
      <c r="C1468" t="s">
        <v>12</v>
      </c>
      <c r="D1468" t="s">
        <v>27</v>
      </c>
      <c r="E1468">
        <v>16200</v>
      </c>
      <c r="F1468" t="s">
        <v>32</v>
      </c>
      <c r="G1468" t="s">
        <v>15</v>
      </c>
      <c r="H1468" t="s">
        <v>16</v>
      </c>
      <c r="I1468" t="s">
        <v>17</v>
      </c>
      <c r="J1468" t="s">
        <v>25</v>
      </c>
      <c r="K1468">
        <v>0.1</v>
      </c>
    </row>
    <row r="1469" spans="1:11" x14ac:dyDescent="0.25">
      <c r="A1469" t="s">
        <v>1507</v>
      </c>
      <c r="B1469" s="1">
        <v>45556</v>
      </c>
      <c r="C1469" t="s">
        <v>12</v>
      </c>
      <c r="D1469" t="s">
        <v>13</v>
      </c>
      <c r="E1469">
        <v>1500</v>
      </c>
      <c r="F1469" t="s">
        <v>14</v>
      </c>
      <c r="G1469" t="s">
        <v>28</v>
      </c>
      <c r="H1469" t="s">
        <v>16</v>
      </c>
      <c r="I1469" t="s">
        <v>17</v>
      </c>
      <c r="J1469" t="s">
        <v>37</v>
      </c>
      <c r="K1469">
        <v>0</v>
      </c>
    </row>
    <row r="1470" spans="1:11" x14ac:dyDescent="0.25">
      <c r="A1470" t="s">
        <v>1508</v>
      </c>
      <c r="B1470" s="1">
        <v>45575</v>
      </c>
      <c r="C1470" t="s">
        <v>31</v>
      </c>
      <c r="D1470" t="s">
        <v>27</v>
      </c>
      <c r="E1470">
        <v>10800</v>
      </c>
      <c r="F1470" t="s">
        <v>32</v>
      </c>
      <c r="G1470" t="s">
        <v>15</v>
      </c>
      <c r="H1470" t="s">
        <v>16</v>
      </c>
      <c r="I1470" t="s">
        <v>17</v>
      </c>
      <c r="J1470" t="s">
        <v>66</v>
      </c>
      <c r="K1470">
        <v>0.1</v>
      </c>
    </row>
    <row r="1471" spans="1:11" x14ac:dyDescent="0.25">
      <c r="A1471" t="s">
        <v>1509</v>
      </c>
      <c r="B1471" s="1">
        <v>45104</v>
      </c>
      <c r="C1471" t="s">
        <v>12</v>
      </c>
      <c r="D1471" t="s">
        <v>27</v>
      </c>
      <c r="E1471">
        <v>16200</v>
      </c>
      <c r="F1471" t="s">
        <v>14</v>
      </c>
      <c r="G1471" t="s">
        <v>28</v>
      </c>
      <c r="H1471" t="s">
        <v>16</v>
      </c>
      <c r="I1471" t="s">
        <v>17</v>
      </c>
      <c r="J1471" t="s">
        <v>37</v>
      </c>
      <c r="K1471">
        <v>0.1</v>
      </c>
    </row>
    <row r="1472" spans="1:11" x14ac:dyDescent="0.25">
      <c r="A1472" t="s">
        <v>1510</v>
      </c>
      <c r="B1472" s="1">
        <v>45454</v>
      </c>
      <c r="C1472" t="s">
        <v>12</v>
      </c>
      <c r="D1472" t="s">
        <v>13</v>
      </c>
      <c r="E1472">
        <v>1500</v>
      </c>
      <c r="F1472" t="s">
        <v>49</v>
      </c>
      <c r="G1472" t="s">
        <v>15</v>
      </c>
      <c r="H1472" t="s">
        <v>33</v>
      </c>
      <c r="I1472" t="s">
        <v>34</v>
      </c>
      <c r="J1472" t="s">
        <v>50</v>
      </c>
      <c r="K1472">
        <v>0</v>
      </c>
    </row>
    <row r="1473" spans="1:11" x14ac:dyDescent="0.25">
      <c r="A1473" t="s">
        <v>1511</v>
      </c>
      <c r="B1473" s="1">
        <v>45624</v>
      </c>
      <c r="C1473" t="s">
        <v>20</v>
      </c>
      <c r="D1473" t="s">
        <v>13</v>
      </c>
      <c r="E1473">
        <v>500</v>
      </c>
      <c r="F1473" t="s">
        <v>32</v>
      </c>
      <c r="G1473" t="s">
        <v>28</v>
      </c>
      <c r="H1473" t="s">
        <v>16</v>
      </c>
      <c r="I1473" t="s">
        <v>17</v>
      </c>
      <c r="J1473" t="s">
        <v>66</v>
      </c>
      <c r="K1473">
        <v>0</v>
      </c>
    </row>
    <row r="1474" spans="1:11" x14ac:dyDescent="0.25">
      <c r="A1474" t="s">
        <v>1512</v>
      </c>
      <c r="B1474" s="1">
        <v>45285</v>
      </c>
      <c r="C1474" t="s">
        <v>31</v>
      </c>
      <c r="D1474" t="s">
        <v>27</v>
      </c>
      <c r="E1474">
        <v>10800</v>
      </c>
      <c r="F1474" t="s">
        <v>21</v>
      </c>
      <c r="G1474" t="s">
        <v>24</v>
      </c>
      <c r="H1474" t="s">
        <v>16</v>
      </c>
      <c r="I1474" t="s">
        <v>17</v>
      </c>
      <c r="J1474" t="s">
        <v>25</v>
      </c>
      <c r="K1474">
        <v>0.1</v>
      </c>
    </row>
    <row r="1475" spans="1:11" x14ac:dyDescent="0.25">
      <c r="A1475" t="s">
        <v>1513</v>
      </c>
      <c r="B1475" s="1">
        <v>45184</v>
      </c>
      <c r="C1475" t="s">
        <v>12</v>
      </c>
      <c r="D1475" t="s">
        <v>13</v>
      </c>
      <c r="E1475">
        <v>1500</v>
      </c>
      <c r="F1475" t="s">
        <v>49</v>
      </c>
      <c r="G1475" t="s">
        <v>15</v>
      </c>
      <c r="H1475" t="s">
        <v>16</v>
      </c>
      <c r="I1475" t="s">
        <v>17</v>
      </c>
      <c r="J1475" t="s">
        <v>25</v>
      </c>
      <c r="K1475">
        <v>0</v>
      </c>
    </row>
    <row r="1476" spans="1:11" x14ac:dyDescent="0.25">
      <c r="A1476" t="s">
        <v>1514</v>
      </c>
      <c r="B1476" s="1">
        <v>45562</v>
      </c>
      <c r="C1476" t="s">
        <v>31</v>
      </c>
      <c r="D1476" t="s">
        <v>13</v>
      </c>
      <c r="E1476">
        <v>1000</v>
      </c>
      <c r="F1476" t="s">
        <v>49</v>
      </c>
      <c r="G1476" t="s">
        <v>15</v>
      </c>
      <c r="H1476" t="s">
        <v>16</v>
      </c>
      <c r="I1476" t="s">
        <v>17</v>
      </c>
      <c r="J1476" t="s">
        <v>25</v>
      </c>
      <c r="K1476">
        <v>0</v>
      </c>
    </row>
    <row r="1477" spans="1:11" x14ac:dyDescent="0.25">
      <c r="A1477" t="s">
        <v>1515</v>
      </c>
      <c r="B1477" s="1">
        <v>45601</v>
      </c>
      <c r="C1477" t="s">
        <v>20</v>
      </c>
      <c r="D1477" t="s">
        <v>13</v>
      </c>
      <c r="E1477">
        <v>500</v>
      </c>
      <c r="F1477" t="s">
        <v>14</v>
      </c>
      <c r="G1477" t="s">
        <v>24</v>
      </c>
      <c r="H1477" t="s">
        <v>33</v>
      </c>
      <c r="I1477" t="s">
        <v>34</v>
      </c>
      <c r="J1477" t="s">
        <v>22</v>
      </c>
      <c r="K1477">
        <v>0</v>
      </c>
    </row>
    <row r="1478" spans="1:11" x14ac:dyDescent="0.25">
      <c r="A1478" t="s">
        <v>1516</v>
      </c>
      <c r="B1478" s="1">
        <v>45594</v>
      </c>
      <c r="C1478" t="s">
        <v>20</v>
      </c>
      <c r="D1478" t="s">
        <v>13</v>
      </c>
      <c r="E1478">
        <v>500</v>
      </c>
      <c r="F1478" t="s">
        <v>14</v>
      </c>
      <c r="G1478" t="s">
        <v>28</v>
      </c>
      <c r="H1478" t="s">
        <v>33</v>
      </c>
      <c r="I1478" t="s">
        <v>34</v>
      </c>
      <c r="J1478" t="s">
        <v>22</v>
      </c>
      <c r="K1478">
        <v>0</v>
      </c>
    </row>
    <row r="1479" spans="1:11" x14ac:dyDescent="0.25">
      <c r="A1479" t="s">
        <v>1517</v>
      </c>
      <c r="B1479" s="1">
        <v>45356</v>
      </c>
      <c r="C1479" t="s">
        <v>31</v>
      </c>
      <c r="D1479" t="s">
        <v>27</v>
      </c>
      <c r="E1479">
        <v>10800</v>
      </c>
      <c r="F1479" t="s">
        <v>21</v>
      </c>
      <c r="G1479" t="s">
        <v>28</v>
      </c>
      <c r="H1479" t="s">
        <v>33</v>
      </c>
      <c r="I1479" t="s">
        <v>34</v>
      </c>
      <c r="J1479" t="s">
        <v>18</v>
      </c>
      <c r="K1479">
        <v>0.1</v>
      </c>
    </row>
    <row r="1480" spans="1:11" x14ac:dyDescent="0.25">
      <c r="A1480" t="s">
        <v>1518</v>
      </c>
      <c r="B1480" s="1">
        <v>45552</v>
      </c>
      <c r="C1480" t="s">
        <v>31</v>
      </c>
      <c r="D1480" t="s">
        <v>27</v>
      </c>
      <c r="E1480">
        <v>10800</v>
      </c>
      <c r="F1480" t="s">
        <v>14</v>
      </c>
      <c r="G1480" t="s">
        <v>15</v>
      </c>
      <c r="H1480" t="s">
        <v>33</v>
      </c>
      <c r="I1480" t="s">
        <v>34</v>
      </c>
      <c r="J1480" t="s">
        <v>22</v>
      </c>
      <c r="K1480">
        <v>0.1</v>
      </c>
    </row>
    <row r="1481" spans="1:11" x14ac:dyDescent="0.25">
      <c r="A1481" t="s">
        <v>1519</v>
      </c>
      <c r="B1481" s="1">
        <v>45014</v>
      </c>
      <c r="C1481" t="s">
        <v>20</v>
      </c>
      <c r="D1481" t="s">
        <v>13</v>
      </c>
      <c r="E1481">
        <v>500</v>
      </c>
      <c r="F1481" t="s">
        <v>14</v>
      </c>
      <c r="G1481" t="s">
        <v>28</v>
      </c>
      <c r="H1481" t="s">
        <v>33</v>
      </c>
      <c r="I1481" t="s">
        <v>34</v>
      </c>
      <c r="J1481" t="s">
        <v>37</v>
      </c>
      <c r="K1481">
        <v>0</v>
      </c>
    </row>
    <row r="1482" spans="1:11" x14ac:dyDescent="0.25">
      <c r="A1482" t="s">
        <v>1520</v>
      </c>
      <c r="B1482" s="1">
        <v>45174</v>
      </c>
      <c r="C1482" t="s">
        <v>12</v>
      </c>
      <c r="D1482" t="s">
        <v>27</v>
      </c>
      <c r="E1482">
        <v>16200</v>
      </c>
      <c r="F1482" t="s">
        <v>14</v>
      </c>
      <c r="G1482" t="s">
        <v>28</v>
      </c>
      <c r="H1482" t="s">
        <v>33</v>
      </c>
      <c r="I1482" t="s">
        <v>34</v>
      </c>
      <c r="J1482" t="s">
        <v>22</v>
      </c>
      <c r="K1482">
        <v>0.1</v>
      </c>
    </row>
    <row r="1483" spans="1:11" x14ac:dyDescent="0.25">
      <c r="A1483" t="s">
        <v>1521</v>
      </c>
      <c r="B1483" s="1">
        <v>45635</v>
      </c>
      <c r="C1483" t="s">
        <v>12</v>
      </c>
      <c r="D1483" t="s">
        <v>27</v>
      </c>
      <c r="E1483">
        <v>16200</v>
      </c>
      <c r="F1483" t="s">
        <v>14</v>
      </c>
      <c r="G1483" t="s">
        <v>24</v>
      </c>
      <c r="H1483" t="s">
        <v>33</v>
      </c>
      <c r="I1483" t="s">
        <v>34</v>
      </c>
      <c r="J1483" t="s">
        <v>55</v>
      </c>
      <c r="K1483">
        <v>0.1</v>
      </c>
    </row>
    <row r="1484" spans="1:11" x14ac:dyDescent="0.25">
      <c r="A1484" t="s">
        <v>1522</v>
      </c>
      <c r="B1484" s="1">
        <v>45463</v>
      </c>
      <c r="C1484" t="s">
        <v>12</v>
      </c>
      <c r="D1484" t="s">
        <v>27</v>
      </c>
      <c r="E1484">
        <v>16200</v>
      </c>
      <c r="F1484" t="s">
        <v>32</v>
      </c>
      <c r="G1484" t="s">
        <v>24</v>
      </c>
      <c r="H1484" t="s">
        <v>33</v>
      </c>
      <c r="I1484" t="s">
        <v>34</v>
      </c>
      <c r="J1484" t="s">
        <v>66</v>
      </c>
      <c r="K1484">
        <v>0.1</v>
      </c>
    </row>
    <row r="1485" spans="1:11" x14ac:dyDescent="0.25">
      <c r="A1485" t="s">
        <v>1523</v>
      </c>
      <c r="B1485" s="1">
        <v>45111</v>
      </c>
      <c r="C1485" t="s">
        <v>20</v>
      </c>
      <c r="D1485" t="s">
        <v>13</v>
      </c>
      <c r="E1485">
        <v>500</v>
      </c>
      <c r="F1485" t="s">
        <v>21</v>
      </c>
      <c r="G1485" t="s">
        <v>24</v>
      </c>
      <c r="H1485" t="s">
        <v>16</v>
      </c>
      <c r="I1485" t="s">
        <v>17</v>
      </c>
      <c r="J1485" t="s">
        <v>18</v>
      </c>
      <c r="K1485">
        <v>0</v>
      </c>
    </row>
    <row r="1486" spans="1:11" x14ac:dyDescent="0.25">
      <c r="A1486" t="s">
        <v>1524</v>
      </c>
      <c r="B1486" s="1">
        <v>45033</v>
      </c>
      <c r="C1486" t="s">
        <v>20</v>
      </c>
      <c r="D1486" t="s">
        <v>13</v>
      </c>
      <c r="E1486">
        <v>500</v>
      </c>
      <c r="F1486" t="s">
        <v>21</v>
      </c>
      <c r="G1486" t="s">
        <v>24</v>
      </c>
      <c r="H1486" t="s">
        <v>16</v>
      </c>
      <c r="I1486" t="s">
        <v>17</v>
      </c>
      <c r="J1486" t="s">
        <v>18</v>
      </c>
      <c r="K1486">
        <v>0</v>
      </c>
    </row>
    <row r="1487" spans="1:11" x14ac:dyDescent="0.25">
      <c r="A1487" t="s">
        <v>1525</v>
      </c>
      <c r="B1487" s="1">
        <v>45534</v>
      </c>
      <c r="C1487" t="s">
        <v>20</v>
      </c>
      <c r="D1487" t="s">
        <v>27</v>
      </c>
      <c r="E1487">
        <v>5400</v>
      </c>
      <c r="F1487" t="s">
        <v>21</v>
      </c>
      <c r="G1487" t="s">
        <v>15</v>
      </c>
      <c r="H1487" t="s">
        <v>16</v>
      </c>
      <c r="I1487" t="s">
        <v>17</v>
      </c>
      <c r="J1487" t="s">
        <v>29</v>
      </c>
      <c r="K1487">
        <v>0.1</v>
      </c>
    </row>
    <row r="1488" spans="1:11" x14ac:dyDescent="0.25">
      <c r="A1488" t="s">
        <v>1526</v>
      </c>
      <c r="B1488" s="1">
        <v>45521</v>
      </c>
      <c r="C1488" t="s">
        <v>31</v>
      </c>
      <c r="D1488" t="s">
        <v>27</v>
      </c>
      <c r="E1488">
        <v>10800</v>
      </c>
      <c r="F1488" t="s">
        <v>21</v>
      </c>
      <c r="G1488" t="s">
        <v>15</v>
      </c>
      <c r="H1488" t="s">
        <v>16</v>
      </c>
      <c r="I1488" t="s">
        <v>17</v>
      </c>
      <c r="J1488" t="s">
        <v>18</v>
      </c>
      <c r="K1488">
        <v>0.1</v>
      </c>
    </row>
    <row r="1489" spans="1:11" x14ac:dyDescent="0.25">
      <c r="A1489" t="s">
        <v>1527</v>
      </c>
      <c r="B1489" s="1">
        <v>44987</v>
      </c>
      <c r="C1489" t="s">
        <v>12</v>
      </c>
      <c r="D1489" t="s">
        <v>13</v>
      </c>
      <c r="E1489">
        <v>1500</v>
      </c>
      <c r="F1489" t="s">
        <v>21</v>
      </c>
      <c r="G1489" t="s">
        <v>24</v>
      </c>
      <c r="H1489" t="s">
        <v>16</v>
      </c>
      <c r="I1489" t="s">
        <v>17</v>
      </c>
      <c r="J1489" t="s">
        <v>29</v>
      </c>
      <c r="K1489">
        <v>0</v>
      </c>
    </row>
    <row r="1490" spans="1:11" x14ac:dyDescent="0.25">
      <c r="A1490" t="s">
        <v>1528</v>
      </c>
      <c r="B1490" s="1">
        <v>44961</v>
      </c>
      <c r="C1490" t="s">
        <v>31</v>
      </c>
      <c r="D1490" t="s">
        <v>27</v>
      </c>
      <c r="E1490">
        <v>10800</v>
      </c>
      <c r="F1490" t="s">
        <v>21</v>
      </c>
      <c r="G1490" t="s">
        <v>28</v>
      </c>
      <c r="H1490" t="s">
        <v>33</v>
      </c>
      <c r="I1490" t="s">
        <v>34</v>
      </c>
      <c r="J1490" t="s">
        <v>18</v>
      </c>
      <c r="K1490">
        <v>0.1</v>
      </c>
    </row>
    <row r="1491" spans="1:11" x14ac:dyDescent="0.25">
      <c r="A1491" t="s">
        <v>1529</v>
      </c>
      <c r="B1491" s="1">
        <v>45221</v>
      </c>
      <c r="C1491" t="s">
        <v>20</v>
      </c>
      <c r="D1491" t="s">
        <v>13</v>
      </c>
      <c r="E1491">
        <v>500</v>
      </c>
      <c r="F1491" t="s">
        <v>21</v>
      </c>
      <c r="G1491" t="s">
        <v>15</v>
      </c>
      <c r="H1491" t="s">
        <v>33</v>
      </c>
      <c r="I1491" t="s">
        <v>34</v>
      </c>
      <c r="J1491" t="s">
        <v>29</v>
      </c>
      <c r="K1491">
        <v>0</v>
      </c>
    </row>
    <row r="1492" spans="1:11" x14ac:dyDescent="0.25">
      <c r="A1492" t="s">
        <v>1530</v>
      </c>
      <c r="B1492" s="1">
        <v>45161</v>
      </c>
      <c r="C1492" t="s">
        <v>12</v>
      </c>
      <c r="D1492" t="s">
        <v>13</v>
      </c>
      <c r="E1492">
        <v>1500</v>
      </c>
      <c r="F1492" t="s">
        <v>49</v>
      </c>
      <c r="G1492" t="s">
        <v>24</v>
      </c>
      <c r="H1492" t="s">
        <v>16</v>
      </c>
      <c r="I1492" t="s">
        <v>17</v>
      </c>
      <c r="J1492" t="s">
        <v>58</v>
      </c>
      <c r="K1492">
        <v>0</v>
      </c>
    </row>
    <row r="1493" spans="1:11" x14ac:dyDescent="0.25">
      <c r="A1493" t="s">
        <v>1531</v>
      </c>
      <c r="B1493" s="1">
        <v>45202</v>
      </c>
      <c r="C1493" t="s">
        <v>20</v>
      </c>
      <c r="D1493" t="s">
        <v>27</v>
      </c>
      <c r="E1493">
        <v>5400</v>
      </c>
      <c r="F1493" t="s">
        <v>14</v>
      </c>
      <c r="G1493" t="s">
        <v>28</v>
      </c>
      <c r="H1493" t="s">
        <v>16</v>
      </c>
      <c r="I1493" t="s">
        <v>17</v>
      </c>
      <c r="J1493" t="s">
        <v>55</v>
      </c>
      <c r="K1493">
        <v>0.1</v>
      </c>
    </row>
    <row r="1494" spans="1:11" x14ac:dyDescent="0.25">
      <c r="A1494" t="s">
        <v>1532</v>
      </c>
      <c r="B1494" s="1">
        <v>45465</v>
      </c>
      <c r="C1494" t="s">
        <v>20</v>
      </c>
      <c r="D1494" t="s">
        <v>27</v>
      </c>
      <c r="E1494">
        <v>5400</v>
      </c>
      <c r="F1494" t="s">
        <v>21</v>
      </c>
      <c r="G1494" t="s">
        <v>28</v>
      </c>
      <c r="H1494" t="s">
        <v>33</v>
      </c>
      <c r="I1494" t="s">
        <v>34</v>
      </c>
      <c r="J1494" t="s">
        <v>18</v>
      </c>
      <c r="K1494">
        <v>0.1</v>
      </c>
    </row>
    <row r="1495" spans="1:11" x14ac:dyDescent="0.25">
      <c r="A1495" t="s">
        <v>1533</v>
      </c>
      <c r="B1495" s="1">
        <v>45086</v>
      </c>
      <c r="C1495" t="s">
        <v>20</v>
      </c>
      <c r="D1495" t="s">
        <v>13</v>
      </c>
      <c r="E1495">
        <v>500</v>
      </c>
      <c r="F1495" t="s">
        <v>49</v>
      </c>
      <c r="G1495" t="s">
        <v>28</v>
      </c>
      <c r="H1495" t="s">
        <v>33</v>
      </c>
      <c r="I1495" t="s">
        <v>34</v>
      </c>
      <c r="J1495" t="s">
        <v>50</v>
      </c>
      <c r="K1495">
        <v>0</v>
      </c>
    </row>
    <row r="1496" spans="1:11" x14ac:dyDescent="0.25">
      <c r="A1496" t="s">
        <v>1534</v>
      </c>
      <c r="B1496" s="1">
        <v>45527</v>
      </c>
      <c r="C1496" t="s">
        <v>31</v>
      </c>
      <c r="D1496" t="s">
        <v>27</v>
      </c>
      <c r="E1496">
        <v>10800</v>
      </c>
      <c r="F1496" t="s">
        <v>21</v>
      </c>
      <c r="G1496" t="s">
        <v>28</v>
      </c>
      <c r="H1496" t="s">
        <v>16</v>
      </c>
      <c r="I1496" t="s">
        <v>17</v>
      </c>
      <c r="J1496" t="s">
        <v>29</v>
      </c>
      <c r="K1496">
        <v>0.1</v>
      </c>
    </row>
    <row r="1497" spans="1:11" x14ac:dyDescent="0.25">
      <c r="A1497" t="s">
        <v>1535</v>
      </c>
      <c r="B1497" s="1">
        <v>45496</v>
      </c>
      <c r="C1497" t="s">
        <v>20</v>
      </c>
      <c r="D1497" t="s">
        <v>13</v>
      </c>
      <c r="E1497">
        <v>500</v>
      </c>
      <c r="F1497" t="s">
        <v>32</v>
      </c>
      <c r="G1497" t="s">
        <v>28</v>
      </c>
      <c r="H1497" t="s">
        <v>16</v>
      </c>
      <c r="I1497" t="s">
        <v>17</v>
      </c>
      <c r="J1497" t="s">
        <v>25</v>
      </c>
      <c r="K1497">
        <v>0</v>
      </c>
    </row>
    <row r="1498" spans="1:11" x14ac:dyDescent="0.25">
      <c r="A1498" t="s">
        <v>1536</v>
      </c>
      <c r="B1498" s="1">
        <v>45113</v>
      </c>
      <c r="C1498" t="s">
        <v>12</v>
      </c>
      <c r="D1498" t="s">
        <v>27</v>
      </c>
      <c r="E1498">
        <v>16200</v>
      </c>
      <c r="F1498" t="s">
        <v>14</v>
      </c>
      <c r="G1498" t="s">
        <v>15</v>
      </c>
      <c r="H1498" t="s">
        <v>16</v>
      </c>
      <c r="I1498" t="s">
        <v>17</v>
      </c>
      <c r="J1498" t="s">
        <v>41</v>
      </c>
      <c r="K1498">
        <v>0.1</v>
      </c>
    </row>
    <row r="1499" spans="1:11" x14ac:dyDescent="0.25">
      <c r="A1499" t="s">
        <v>1537</v>
      </c>
      <c r="B1499" s="1">
        <v>45080</v>
      </c>
      <c r="C1499" t="s">
        <v>31</v>
      </c>
      <c r="D1499" t="s">
        <v>13</v>
      </c>
      <c r="E1499">
        <v>1000</v>
      </c>
      <c r="F1499" t="s">
        <v>49</v>
      </c>
      <c r="G1499" t="s">
        <v>24</v>
      </c>
      <c r="H1499" t="s">
        <v>16</v>
      </c>
      <c r="I1499" t="s">
        <v>17</v>
      </c>
      <c r="J1499" t="s">
        <v>22</v>
      </c>
      <c r="K1499">
        <v>0</v>
      </c>
    </row>
    <row r="1500" spans="1:11" x14ac:dyDescent="0.25">
      <c r="A1500" t="s">
        <v>1538</v>
      </c>
      <c r="B1500" s="1">
        <v>45362</v>
      </c>
      <c r="C1500" t="s">
        <v>20</v>
      </c>
      <c r="D1500" t="s">
        <v>13</v>
      </c>
      <c r="E1500">
        <v>500</v>
      </c>
      <c r="F1500" t="s">
        <v>49</v>
      </c>
      <c r="G1500" t="s">
        <v>15</v>
      </c>
      <c r="H1500" t="s">
        <v>16</v>
      </c>
      <c r="I1500" t="s">
        <v>17</v>
      </c>
      <c r="J1500" t="s">
        <v>18</v>
      </c>
      <c r="K1500">
        <v>0</v>
      </c>
    </row>
    <row r="1501" spans="1:11" x14ac:dyDescent="0.25">
      <c r="A1501" t="s">
        <v>1539</v>
      </c>
      <c r="B1501" s="1">
        <v>45115</v>
      </c>
      <c r="C1501" t="s">
        <v>20</v>
      </c>
      <c r="D1501" t="s">
        <v>13</v>
      </c>
      <c r="E1501">
        <v>500</v>
      </c>
      <c r="F1501" t="s">
        <v>32</v>
      </c>
      <c r="G1501" t="s">
        <v>15</v>
      </c>
      <c r="H1501" t="s">
        <v>16</v>
      </c>
      <c r="I1501" t="s">
        <v>17</v>
      </c>
      <c r="J1501" t="s">
        <v>44</v>
      </c>
      <c r="K1501">
        <v>0</v>
      </c>
    </row>
    <row r="1502" spans="1:11" x14ac:dyDescent="0.25">
      <c r="A1502" t="s">
        <v>1540</v>
      </c>
      <c r="B1502" s="1">
        <v>45142</v>
      </c>
      <c r="C1502" t="s">
        <v>12</v>
      </c>
      <c r="D1502" t="s">
        <v>27</v>
      </c>
      <c r="E1502">
        <v>16200</v>
      </c>
      <c r="F1502" t="s">
        <v>32</v>
      </c>
      <c r="G1502" t="s">
        <v>24</v>
      </c>
      <c r="H1502" t="s">
        <v>33</v>
      </c>
      <c r="I1502" t="s">
        <v>34</v>
      </c>
      <c r="J1502" t="s">
        <v>39</v>
      </c>
      <c r="K1502">
        <v>0.1</v>
      </c>
    </row>
    <row r="1503" spans="1:11" x14ac:dyDescent="0.25">
      <c r="A1503" t="s">
        <v>1541</v>
      </c>
      <c r="B1503" s="1">
        <v>45416</v>
      </c>
      <c r="C1503" t="s">
        <v>20</v>
      </c>
      <c r="D1503" t="s">
        <v>13</v>
      </c>
      <c r="E1503">
        <v>500</v>
      </c>
      <c r="F1503" t="s">
        <v>21</v>
      </c>
      <c r="G1503" t="s">
        <v>28</v>
      </c>
      <c r="H1503" t="s">
        <v>16</v>
      </c>
      <c r="I1503" t="s">
        <v>17</v>
      </c>
      <c r="J1503" t="s">
        <v>25</v>
      </c>
      <c r="K1503">
        <v>0</v>
      </c>
    </row>
    <row r="1504" spans="1:11" x14ac:dyDescent="0.25">
      <c r="A1504" t="s">
        <v>1542</v>
      </c>
      <c r="B1504" s="1">
        <v>45396</v>
      </c>
      <c r="C1504" t="s">
        <v>20</v>
      </c>
      <c r="D1504" t="s">
        <v>27</v>
      </c>
      <c r="E1504">
        <v>5400</v>
      </c>
      <c r="F1504" t="s">
        <v>49</v>
      </c>
      <c r="G1504" t="s">
        <v>24</v>
      </c>
      <c r="H1504" t="s">
        <v>16</v>
      </c>
      <c r="I1504" t="s">
        <v>17</v>
      </c>
      <c r="J1504" t="s">
        <v>58</v>
      </c>
      <c r="K1504">
        <v>0.1</v>
      </c>
    </row>
    <row r="1505" spans="1:11" x14ac:dyDescent="0.25">
      <c r="A1505" t="s">
        <v>1543</v>
      </c>
      <c r="B1505" s="1">
        <v>44998</v>
      </c>
      <c r="C1505" t="s">
        <v>31</v>
      </c>
      <c r="D1505" t="s">
        <v>13</v>
      </c>
      <c r="E1505">
        <v>1000</v>
      </c>
      <c r="F1505" t="s">
        <v>49</v>
      </c>
      <c r="G1505" t="s">
        <v>28</v>
      </c>
      <c r="H1505" t="s">
        <v>16</v>
      </c>
      <c r="I1505" t="s">
        <v>17</v>
      </c>
      <c r="J1505" t="s">
        <v>50</v>
      </c>
      <c r="K1505">
        <v>0</v>
      </c>
    </row>
    <row r="1506" spans="1:11" x14ac:dyDescent="0.25">
      <c r="A1506" t="s">
        <v>1544</v>
      </c>
      <c r="B1506" s="1">
        <v>44937</v>
      </c>
      <c r="C1506" t="s">
        <v>12</v>
      </c>
      <c r="D1506" t="s">
        <v>13</v>
      </c>
      <c r="E1506">
        <v>1500</v>
      </c>
      <c r="F1506" t="s">
        <v>49</v>
      </c>
      <c r="G1506" t="s">
        <v>15</v>
      </c>
      <c r="H1506" t="s">
        <v>33</v>
      </c>
      <c r="I1506" t="s">
        <v>34</v>
      </c>
      <c r="J1506" t="s">
        <v>22</v>
      </c>
      <c r="K1506">
        <v>0</v>
      </c>
    </row>
    <row r="1507" spans="1:11" x14ac:dyDescent="0.25">
      <c r="A1507" t="s">
        <v>1545</v>
      </c>
      <c r="B1507" s="1">
        <v>45242</v>
      </c>
      <c r="C1507" t="s">
        <v>20</v>
      </c>
      <c r="D1507" t="s">
        <v>13</v>
      </c>
      <c r="E1507">
        <v>500</v>
      </c>
      <c r="F1507" t="s">
        <v>21</v>
      </c>
      <c r="G1507" t="s">
        <v>28</v>
      </c>
      <c r="H1507" t="s">
        <v>16</v>
      </c>
      <c r="I1507" t="s">
        <v>17</v>
      </c>
      <c r="J1507" t="s">
        <v>25</v>
      </c>
      <c r="K1507">
        <v>0</v>
      </c>
    </row>
    <row r="1508" spans="1:11" x14ac:dyDescent="0.25">
      <c r="A1508" t="s">
        <v>1546</v>
      </c>
      <c r="B1508" s="1">
        <v>45276</v>
      </c>
      <c r="C1508" t="s">
        <v>20</v>
      </c>
      <c r="D1508" t="s">
        <v>13</v>
      </c>
      <c r="E1508">
        <v>500</v>
      </c>
      <c r="F1508" t="s">
        <v>49</v>
      </c>
      <c r="G1508" t="s">
        <v>28</v>
      </c>
      <c r="H1508" t="s">
        <v>33</v>
      </c>
      <c r="I1508" t="s">
        <v>34</v>
      </c>
      <c r="J1508" t="s">
        <v>18</v>
      </c>
      <c r="K1508">
        <v>0</v>
      </c>
    </row>
    <row r="1509" spans="1:11" x14ac:dyDescent="0.25">
      <c r="A1509" t="s">
        <v>1547</v>
      </c>
      <c r="B1509" s="1">
        <v>45003</v>
      </c>
      <c r="C1509" t="s">
        <v>12</v>
      </c>
      <c r="D1509" t="s">
        <v>13</v>
      </c>
      <c r="E1509">
        <v>1500</v>
      </c>
      <c r="F1509" t="s">
        <v>49</v>
      </c>
      <c r="G1509" t="s">
        <v>28</v>
      </c>
      <c r="H1509" t="s">
        <v>33</v>
      </c>
      <c r="I1509" t="s">
        <v>34</v>
      </c>
      <c r="J1509" t="s">
        <v>22</v>
      </c>
      <c r="K1509">
        <v>0</v>
      </c>
    </row>
    <row r="1510" spans="1:11" x14ac:dyDescent="0.25">
      <c r="A1510" t="s">
        <v>1548</v>
      </c>
      <c r="B1510" s="1">
        <v>45601</v>
      </c>
      <c r="C1510" t="s">
        <v>31</v>
      </c>
      <c r="D1510" t="s">
        <v>27</v>
      </c>
      <c r="E1510">
        <v>10800</v>
      </c>
      <c r="F1510" t="s">
        <v>49</v>
      </c>
      <c r="G1510" t="s">
        <v>28</v>
      </c>
      <c r="H1510" t="s">
        <v>33</v>
      </c>
      <c r="I1510" t="s">
        <v>34</v>
      </c>
      <c r="J1510" t="s">
        <v>58</v>
      </c>
      <c r="K1510">
        <v>0.1</v>
      </c>
    </row>
    <row r="1511" spans="1:11" x14ac:dyDescent="0.25">
      <c r="A1511" t="s">
        <v>1549</v>
      </c>
      <c r="B1511" s="1">
        <v>45118</v>
      </c>
      <c r="C1511" t="s">
        <v>12</v>
      </c>
      <c r="D1511" t="s">
        <v>13</v>
      </c>
      <c r="E1511">
        <v>1500</v>
      </c>
      <c r="F1511" t="s">
        <v>49</v>
      </c>
      <c r="G1511" t="s">
        <v>24</v>
      </c>
      <c r="H1511" t="s">
        <v>16</v>
      </c>
      <c r="I1511" t="s">
        <v>17</v>
      </c>
      <c r="J1511" t="s">
        <v>25</v>
      </c>
      <c r="K1511">
        <v>0</v>
      </c>
    </row>
    <row r="1512" spans="1:11" x14ac:dyDescent="0.25">
      <c r="A1512" t="s">
        <v>1550</v>
      </c>
      <c r="B1512" s="1">
        <v>45563</v>
      </c>
      <c r="C1512" t="s">
        <v>31</v>
      </c>
      <c r="D1512" t="s">
        <v>13</v>
      </c>
      <c r="E1512">
        <v>1000</v>
      </c>
      <c r="F1512" t="s">
        <v>14</v>
      </c>
      <c r="G1512" t="s">
        <v>24</v>
      </c>
      <c r="H1512" t="s">
        <v>33</v>
      </c>
      <c r="I1512" t="s">
        <v>34</v>
      </c>
      <c r="J1512" t="s">
        <v>41</v>
      </c>
      <c r="K1512">
        <v>0</v>
      </c>
    </row>
    <row r="1513" spans="1:11" x14ac:dyDescent="0.25">
      <c r="A1513" t="s">
        <v>1551</v>
      </c>
      <c r="B1513" s="1">
        <v>45560</v>
      </c>
      <c r="C1513" t="s">
        <v>20</v>
      </c>
      <c r="D1513" t="s">
        <v>27</v>
      </c>
      <c r="E1513">
        <v>5400</v>
      </c>
      <c r="F1513" t="s">
        <v>49</v>
      </c>
      <c r="G1513" t="s">
        <v>15</v>
      </c>
      <c r="H1513" t="s">
        <v>33</v>
      </c>
      <c r="I1513" t="s">
        <v>34</v>
      </c>
      <c r="J1513" t="s">
        <v>18</v>
      </c>
      <c r="K1513">
        <v>0.1</v>
      </c>
    </row>
    <row r="1514" spans="1:11" x14ac:dyDescent="0.25">
      <c r="A1514" t="s">
        <v>1552</v>
      </c>
      <c r="B1514" s="1">
        <v>45619</v>
      </c>
      <c r="C1514" t="s">
        <v>12</v>
      </c>
      <c r="D1514" t="s">
        <v>13</v>
      </c>
      <c r="E1514">
        <v>1500</v>
      </c>
      <c r="F1514" t="s">
        <v>14</v>
      </c>
      <c r="G1514" t="s">
        <v>24</v>
      </c>
      <c r="H1514" t="s">
        <v>33</v>
      </c>
      <c r="I1514" t="s">
        <v>34</v>
      </c>
      <c r="J1514" t="s">
        <v>55</v>
      </c>
      <c r="K1514">
        <v>0</v>
      </c>
    </row>
    <row r="1515" spans="1:11" x14ac:dyDescent="0.25">
      <c r="A1515" t="s">
        <v>1553</v>
      </c>
      <c r="B1515" s="1">
        <v>45122</v>
      </c>
      <c r="C1515" t="s">
        <v>12</v>
      </c>
      <c r="D1515" t="s">
        <v>27</v>
      </c>
      <c r="E1515">
        <v>16200</v>
      </c>
      <c r="F1515" t="s">
        <v>49</v>
      </c>
      <c r="G1515" t="s">
        <v>15</v>
      </c>
      <c r="H1515" t="s">
        <v>33</v>
      </c>
      <c r="I1515" t="s">
        <v>34</v>
      </c>
      <c r="J1515" t="s">
        <v>50</v>
      </c>
      <c r="K1515">
        <v>0.1</v>
      </c>
    </row>
    <row r="1516" spans="1:11" x14ac:dyDescent="0.25">
      <c r="A1516" t="s">
        <v>1554</v>
      </c>
      <c r="B1516" s="1">
        <v>45021</v>
      </c>
      <c r="C1516" t="s">
        <v>20</v>
      </c>
      <c r="D1516" t="s">
        <v>27</v>
      </c>
      <c r="E1516">
        <v>5400</v>
      </c>
      <c r="F1516" t="s">
        <v>21</v>
      </c>
      <c r="G1516" t="s">
        <v>24</v>
      </c>
      <c r="H1516" t="s">
        <v>16</v>
      </c>
      <c r="I1516" t="s">
        <v>17</v>
      </c>
      <c r="J1516" t="s">
        <v>22</v>
      </c>
      <c r="K1516">
        <v>0.1</v>
      </c>
    </row>
    <row r="1517" spans="1:11" x14ac:dyDescent="0.25">
      <c r="A1517" t="s">
        <v>1555</v>
      </c>
      <c r="B1517" s="1">
        <v>45433</v>
      </c>
      <c r="C1517" t="s">
        <v>31</v>
      </c>
      <c r="D1517" t="s">
        <v>27</v>
      </c>
      <c r="E1517">
        <v>10800</v>
      </c>
      <c r="F1517" t="s">
        <v>21</v>
      </c>
      <c r="G1517" t="s">
        <v>28</v>
      </c>
      <c r="H1517" t="s">
        <v>33</v>
      </c>
      <c r="I1517" t="s">
        <v>34</v>
      </c>
      <c r="J1517" t="s">
        <v>29</v>
      </c>
      <c r="K1517">
        <v>0.1</v>
      </c>
    </row>
    <row r="1518" spans="1:11" x14ac:dyDescent="0.25">
      <c r="A1518" t="s">
        <v>1556</v>
      </c>
      <c r="B1518" s="1">
        <v>45338</v>
      </c>
      <c r="C1518" t="s">
        <v>20</v>
      </c>
      <c r="D1518" t="s">
        <v>13</v>
      </c>
      <c r="E1518">
        <v>500</v>
      </c>
      <c r="F1518" t="s">
        <v>32</v>
      </c>
      <c r="G1518" t="s">
        <v>15</v>
      </c>
      <c r="H1518" t="s">
        <v>16</v>
      </c>
      <c r="I1518" t="s">
        <v>17</v>
      </c>
      <c r="J1518" t="s">
        <v>25</v>
      </c>
      <c r="K1518">
        <v>0</v>
      </c>
    </row>
    <row r="1519" spans="1:11" x14ac:dyDescent="0.25">
      <c r="A1519" t="s">
        <v>1557</v>
      </c>
      <c r="B1519" s="1">
        <v>45212</v>
      </c>
      <c r="C1519" t="s">
        <v>12</v>
      </c>
      <c r="D1519" t="s">
        <v>27</v>
      </c>
      <c r="E1519">
        <v>16200</v>
      </c>
      <c r="F1519" t="s">
        <v>21</v>
      </c>
      <c r="G1519" t="s">
        <v>15</v>
      </c>
      <c r="H1519" t="s">
        <v>16</v>
      </c>
      <c r="I1519" t="s">
        <v>17</v>
      </c>
      <c r="J1519" t="s">
        <v>22</v>
      </c>
      <c r="K1519">
        <v>0.1</v>
      </c>
    </row>
    <row r="1520" spans="1:11" x14ac:dyDescent="0.25">
      <c r="A1520" t="s">
        <v>1558</v>
      </c>
      <c r="B1520" s="1">
        <v>45349</v>
      </c>
      <c r="C1520" t="s">
        <v>12</v>
      </c>
      <c r="D1520" t="s">
        <v>27</v>
      </c>
      <c r="E1520">
        <v>16200</v>
      </c>
      <c r="F1520" t="s">
        <v>32</v>
      </c>
      <c r="G1520" t="s">
        <v>15</v>
      </c>
      <c r="H1520" t="s">
        <v>33</v>
      </c>
      <c r="I1520" t="s">
        <v>34</v>
      </c>
      <c r="J1520" t="s">
        <v>25</v>
      </c>
      <c r="K1520">
        <v>0.1</v>
      </c>
    </row>
    <row r="1521" spans="1:11" x14ac:dyDescent="0.25">
      <c r="A1521" t="s">
        <v>1559</v>
      </c>
      <c r="B1521" s="1">
        <v>45299</v>
      </c>
      <c r="C1521" t="s">
        <v>31</v>
      </c>
      <c r="D1521" t="s">
        <v>27</v>
      </c>
      <c r="E1521">
        <v>10800</v>
      </c>
      <c r="F1521" t="s">
        <v>21</v>
      </c>
      <c r="G1521" t="s">
        <v>24</v>
      </c>
      <c r="H1521" t="s">
        <v>16</v>
      </c>
      <c r="I1521" t="s">
        <v>17</v>
      </c>
      <c r="J1521" t="s">
        <v>18</v>
      </c>
      <c r="K1521">
        <v>0.1</v>
      </c>
    </row>
    <row r="1522" spans="1:11" x14ac:dyDescent="0.25">
      <c r="A1522" t="s">
        <v>1560</v>
      </c>
      <c r="B1522" s="1">
        <v>45432</v>
      </c>
      <c r="C1522" t="s">
        <v>20</v>
      </c>
      <c r="D1522" t="s">
        <v>27</v>
      </c>
      <c r="E1522">
        <v>5400</v>
      </c>
      <c r="F1522" t="s">
        <v>14</v>
      </c>
      <c r="G1522" t="s">
        <v>28</v>
      </c>
      <c r="H1522" t="s">
        <v>33</v>
      </c>
      <c r="I1522" t="s">
        <v>34</v>
      </c>
      <c r="J1522" t="s">
        <v>55</v>
      </c>
      <c r="K1522">
        <v>0.1</v>
      </c>
    </row>
    <row r="1523" spans="1:11" x14ac:dyDescent="0.25">
      <c r="A1523" t="s">
        <v>1561</v>
      </c>
      <c r="B1523" s="1">
        <v>45418</v>
      </c>
      <c r="C1523" t="s">
        <v>20</v>
      </c>
      <c r="D1523" t="s">
        <v>13</v>
      </c>
      <c r="E1523">
        <v>500</v>
      </c>
      <c r="F1523" t="s">
        <v>32</v>
      </c>
      <c r="G1523" t="s">
        <v>24</v>
      </c>
      <c r="H1523" t="s">
        <v>16</v>
      </c>
      <c r="I1523" t="s">
        <v>17</v>
      </c>
      <c r="J1523" t="s">
        <v>25</v>
      </c>
      <c r="K1523">
        <v>0</v>
      </c>
    </row>
    <row r="1524" spans="1:11" x14ac:dyDescent="0.25">
      <c r="A1524" t="s">
        <v>1562</v>
      </c>
      <c r="B1524" s="1">
        <v>45620</v>
      </c>
      <c r="C1524" t="s">
        <v>12</v>
      </c>
      <c r="D1524" t="s">
        <v>13</v>
      </c>
      <c r="E1524">
        <v>1500</v>
      </c>
      <c r="F1524" t="s">
        <v>32</v>
      </c>
      <c r="G1524" t="s">
        <v>24</v>
      </c>
      <c r="H1524" t="s">
        <v>33</v>
      </c>
      <c r="I1524" t="s">
        <v>34</v>
      </c>
      <c r="J1524" t="s">
        <v>39</v>
      </c>
      <c r="K1524">
        <v>0</v>
      </c>
    </row>
    <row r="1525" spans="1:11" x14ac:dyDescent="0.25">
      <c r="A1525" t="s">
        <v>1563</v>
      </c>
      <c r="B1525" s="1">
        <v>45577</v>
      </c>
      <c r="C1525" t="s">
        <v>20</v>
      </c>
      <c r="D1525" t="s">
        <v>13</v>
      </c>
      <c r="E1525">
        <v>500</v>
      </c>
      <c r="F1525" t="s">
        <v>32</v>
      </c>
      <c r="G1525" t="s">
        <v>24</v>
      </c>
      <c r="H1525" t="s">
        <v>16</v>
      </c>
      <c r="I1525" t="s">
        <v>17</v>
      </c>
      <c r="J1525" t="s">
        <v>25</v>
      </c>
      <c r="K1525">
        <v>0</v>
      </c>
    </row>
    <row r="1526" spans="1:11" x14ac:dyDescent="0.25">
      <c r="A1526" t="s">
        <v>1564</v>
      </c>
      <c r="B1526" s="1">
        <v>44933</v>
      </c>
      <c r="C1526" t="s">
        <v>12</v>
      </c>
      <c r="D1526" t="s">
        <v>27</v>
      </c>
      <c r="E1526">
        <v>16200</v>
      </c>
      <c r="F1526" t="s">
        <v>49</v>
      </c>
      <c r="G1526" t="s">
        <v>24</v>
      </c>
      <c r="H1526" t="s">
        <v>33</v>
      </c>
      <c r="I1526" t="s">
        <v>34</v>
      </c>
      <c r="J1526" t="s">
        <v>58</v>
      </c>
      <c r="K1526">
        <v>0.1</v>
      </c>
    </row>
    <row r="1527" spans="1:11" x14ac:dyDescent="0.25">
      <c r="A1527" t="s">
        <v>1565</v>
      </c>
      <c r="B1527" s="1">
        <v>45590</v>
      </c>
      <c r="C1527" t="s">
        <v>12</v>
      </c>
      <c r="D1527" t="s">
        <v>27</v>
      </c>
      <c r="E1527">
        <v>16200</v>
      </c>
      <c r="F1527" t="s">
        <v>49</v>
      </c>
      <c r="G1527" t="s">
        <v>28</v>
      </c>
      <c r="H1527" t="s">
        <v>33</v>
      </c>
      <c r="I1527" t="s">
        <v>34</v>
      </c>
      <c r="J1527" t="s">
        <v>22</v>
      </c>
      <c r="K1527">
        <v>0.1</v>
      </c>
    </row>
    <row r="1528" spans="1:11" x14ac:dyDescent="0.25">
      <c r="A1528" t="s">
        <v>1566</v>
      </c>
      <c r="B1528" s="1">
        <v>45446</v>
      </c>
      <c r="C1528" t="s">
        <v>31</v>
      </c>
      <c r="D1528" t="s">
        <v>27</v>
      </c>
      <c r="E1528">
        <v>10800</v>
      </c>
      <c r="F1528" t="s">
        <v>49</v>
      </c>
      <c r="G1528" t="s">
        <v>24</v>
      </c>
      <c r="H1528" t="s">
        <v>33</v>
      </c>
      <c r="I1528" t="s">
        <v>34</v>
      </c>
      <c r="J1528" t="s">
        <v>25</v>
      </c>
      <c r="K1528">
        <v>0.1</v>
      </c>
    </row>
    <row r="1529" spans="1:11" x14ac:dyDescent="0.25">
      <c r="A1529" t="s">
        <v>1567</v>
      </c>
      <c r="B1529" s="1">
        <v>45592</v>
      </c>
      <c r="C1529" t="s">
        <v>31</v>
      </c>
      <c r="D1529" t="s">
        <v>27</v>
      </c>
      <c r="E1529">
        <v>10800</v>
      </c>
      <c r="F1529" t="s">
        <v>49</v>
      </c>
      <c r="G1529" t="s">
        <v>15</v>
      </c>
      <c r="H1529" t="s">
        <v>33</v>
      </c>
      <c r="I1529" t="s">
        <v>34</v>
      </c>
      <c r="J1529" t="s">
        <v>18</v>
      </c>
      <c r="K1529">
        <v>0.1</v>
      </c>
    </row>
    <row r="1530" spans="1:11" x14ac:dyDescent="0.25">
      <c r="A1530" t="s">
        <v>1568</v>
      </c>
      <c r="B1530" s="1">
        <v>45121</v>
      </c>
      <c r="C1530" t="s">
        <v>12</v>
      </c>
      <c r="D1530" t="s">
        <v>27</v>
      </c>
      <c r="E1530">
        <v>16200</v>
      </c>
      <c r="F1530" t="s">
        <v>21</v>
      </c>
      <c r="G1530" t="s">
        <v>28</v>
      </c>
      <c r="H1530" t="s">
        <v>33</v>
      </c>
      <c r="I1530" t="s">
        <v>34</v>
      </c>
      <c r="J1530" t="s">
        <v>25</v>
      </c>
      <c r="K1530">
        <v>0.1</v>
      </c>
    </row>
    <row r="1531" spans="1:11" x14ac:dyDescent="0.25">
      <c r="A1531" t="s">
        <v>1569</v>
      </c>
      <c r="B1531" s="1">
        <v>45468</v>
      </c>
      <c r="C1531" t="s">
        <v>31</v>
      </c>
      <c r="D1531" t="s">
        <v>27</v>
      </c>
      <c r="E1531">
        <v>10800</v>
      </c>
      <c r="F1531" t="s">
        <v>32</v>
      </c>
      <c r="G1531" t="s">
        <v>15</v>
      </c>
      <c r="H1531" t="s">
        <v>33</v>
      </c>
      <c r="I1531" t="s">
        <v>34</v>
      </c>
      <c r="J1531" t="s">
        <v>25</v>
      </c>
      <c r="K1531">
        <v>0.1</v>
      </c>
    </row>
    <row r="1532" spans="1:11" x14ac:dyDescent="0.25">
      <c r="A1532" t="s">
        <v>1570</v>
      </c>
      <c r="B1532" s="1">
        <v>44994</v>
      </c>
      <c r="C1532" t="s">
        <v>31</v>
      </c>
      <c r="D1532" t="s">
        <v>27</v>
      </c>
      <c r="E1532">
        <v>10800</v>
      </c>
      <c r="F1532" t="s">
        <v>21</v>
      </c>
      <c r="G1532" t="s">
        <v>28</v>
      </c>
      <c r="H1532" t="s">
        <v>16</v>
      </c>
      <c r="I1532" t="s">
        <v>17</v>
      </c>
      <c r="J1532" t="s">
        <v>29</v>
      </c>
      <c r="K1532">
        <v>0.1</v>
      </c>
    </row>
    <row r="1533" spans="1:11" x14ac:dyDescent="0.25">
      <c r="A1533" t="s">
        <v>1571</v>
      </c>
      <c r="B1533" s="1">
        <v>45407</v>
      </c>
      <c r="C1533" t="s">
        <v>31</v>
      </c>
      <c r="D1533" t="s">
        <v>27</v>
      </c>
      <c r="E1533">
        <v>10800</v>
      </c>
      <c r="F1533" t="s">
        <v>49</v>
      </c>
      <c r="G1533" t="s">
        <v>28</v>
      </c>
      <c r="H1533" t="s">
        <v>16</v>
      </c>
      <c r="I1533" t="s">
        <v>17</v>
      </c>
      <c r="J1533" t="s">
        <v>25</v>
      </c>
      <c r="K1533">
        <v>0.1</v>
      </c>
    </row>
    <row r="1534" spans="1:11" x14ac:dyDescent="0.25">
      <c r="A1534" t="s">
        <v>1572</v>
      </c>
      <c r="B1534" s="1">
        <v>45060</v>
      </c>
      <c r="C1534" t="s">
        <v>12</v>
      </c>
      <c r="D1534" t="s">
        <v>13</v>
      </c>
      <c r="E1534">
        <v>1500</v>
      </c>
      <c r="F1534" t="s">
        <v>49</v>
      </c>
      <c r="G1534" t="s">
        <v>15</v>
      </c>
      <c r="H1534" t="s">
        <v>33</v>
      </c>
      <c r="I1534" t="s">
        <v>34</v>
      </c>
      <c r="J1534" t="s">
        <v>50</v>
      </c>
      <c r="K1534">
        <v>0</v>
      </c>
    </row>
    <row r="1535" spans="1:11" x14ac:dyDescent="0.25">
      <c r="A1535" t="s">
        <v>1573</v>
      </c>
      <c r="B1535" s="1">
        <v>45394</v>
      </c>
      <c r="C1535" t="s">
        <v>20</v>
      </c>
      <c r="D1535" t="s">
        <v>27</v>
      </c>
      <c r="E1535">
        <v>5400</v>
      </c>
      <c r="F1535" t="s">
        <v>14</v>
      </c>
      <c r="G1535" t="s">
        <v>28</v>
      </c>
      <c r="H1535" t="s">
        <v>16</v>
      </c>
      <c r="I1535" t="s">
        <v>17</v>
      </c>
      <c r="J1535" t="s">
        <v>37</v>
      </c>
      <c r="K1535">
        <v>0.1</v>
      </c>
    </row>
    <row r="1536" spans="1:11" x14ac:dyDescent="0.25">
      <c r="A1536" t="s">
        <v>1574</v>
      </c>
      <c r="B1536" s="1">
        <v>45085</v>
      </c>
      <c r="C1536" t="s">
        <v>20</v>
      </c>
      <c r="D1536" t="s">
        <v>27</v>
      </c>
      <c r="E1536">
        <v>5400</v>
      </c>
      <c r="F1536" t="s">
        <v>32</v>
      </c>
      <c r="G1536" t="s">
        <v>15</v>
      </c>
      <c r="H1536" t="s">
        <v>33</v>
      </c>
      <c r="I1536" t="s">
        <v>34</v>
      </c>
      <c r="J1536" t="s">
        <v>66</v>
      </c>
      <c r="K1536">
        <v>0.1</v>
      </c>
    </row>
    <row r="1537" spans="1:11" x14ac:dyDescent="0.25">
      <c r="A1537" t="s">
        <v>1575</v>
      </c>
      <c r="B1537" s="1">
        <v>45014</v>
      </c>
      <c r="C1537" t="s">
        <v>20</v>
      </c>
      <c r="D1537" t="s">
        <v>13</v>
      </c>
      <c r="E1537">
        <v>500</v>
      </c>
      <c r="F1537" t="s">
        <v>32</v>
      </c>
      <c r="G1537" t="s">
        <v>28</v>
      </c>
      <c r="H1537" t="s">
        <v>16</v>
      </c>
      <c r="I1537" t="s">
        <v>17</v>
      </c>
      <c r="J1537" t="s">
        <v>66</v>
      </c>
      <c r="K1537">
        <v>0</v>
      </c>
    </row>
    <row r="1538" spans="1:11" x14ac:dyDescent="0.25">
      <c r="A1538" t="s">
        <v>1576</v>
      </c>
      <c r="B1538" s="1">
        <v>45101</v>
      </c>
      <c r="C1538" t="s">
        <v>20</v>
      </c>
      <c r="D1538" t="s">
        <v>27</v>
      </c>
      <c r="E1538">
        <v>5400</v>
      </c>
      <c r="F1538" t="s">
        <v>21</v>
      </c>
      <c r="G1538" t="s">
        <v>28</v>
      </c>
      <c r="H1538" t="s">
        <v>16</v>
      </c>
      <c r="I1538" t="s">
        <v>17</v>
      </c>
      <c r="J1538" t="s">
        <v>25</v>
      </c>
      <c r="K1538">
        <v>0.1</v>
      </c>
    </row>
    <row r="1539" spans="1:11" x14ac:dyDescent="0.25">
      <c r="A1539" t="s">
        <v>1577</v>
      </c>
      <c r="B1539" s="1">
        <v>45188</v>
      </c>
      <c r="C1539" t="s">
        <v>31</v>
      </c>
      <c r="D1539" t="s">
        <v>27</v>
      </c>
      <c r="E1539">
        <v>10800</v>
      </c>
      <c r="F1539" t="s">
        <v>32</v>
      </c>
      <c r="G1539" t="s">
        <v>28</v>
      </c>
      <c r="H1539" t="s">
        <v>16</v>
      </c>
      <c r="I1539" t="s">
        <v>17</v>
      </c>
      <c r="J1539" t="s">
        <v>66</v>
      </c>
      <c r="K1539">
        <v>0.1</v>
      </c>
    </row>
    <row r="1540" spans="1:11" x14ac:dyDescent="0.25">
      <c r="A1540" t="s">
        <v>1578</v>
      </c>
      <c r="B1540" s="1">
        <v>45005</v>
      </c>
      <c r="C1540" t="s">
        <v>20</v>
      </c>
      <c r="D1540" t="s">
        <v>13</v>
      </c>
      <c r="E1540">
        <v>500</v>
      </c>
      <c r="F1540" t="s">
        <v>49</v>
      </c>
      <c r="G1540" t="s">
        <v>28</v>
      </c>
      <c r="H1540" t="s">
        <v>33</v>
      </c>
      <c r="I1540" t="s">
        <v>34</v>
      </c>
      <c r="J1540" t="s">
        <v>50</v>
      </c>
      <c r="K1540">
        <v>0</v>
      </c>
    </row>
    <row r="1541" spans="1:11" x14ac:dyDescent="0.25">
      <c r="A1541" t="s">
        <v>1579</v>
      </c>
      <c r="B1541" s="1">
        <v>45567</v>
      </c>
      <c r="C1541" t="s">
        <v>31</v>
      </c>
      <c r="D1541" t="s">
        <v>13</v>
      </c>
      <c r="E1541">
        <v>1000</v>
      </c>
      <c r="F1541" t="s">
        <v>21</v>
      </c>
      <c r="G1541" t="s">
        <v>28</v>
      </c>
      <c r="H1541" t="s">
        <v>16</v>
      </c>
      <c r="I1541" t="s">
        <v>17</v>
      </c>
      <c r="J1541" t="s">
        <v>22</v>
      </c>
      <c r="K1541">
        <v>0</v>
      </c>
    </row>
    <row r="1542" spans="1:11" x14ac:dyDescent="0.25">
      <c r="A1542" t="s">
        <v>1580</v>
      </c>
      <c r="B1542" s="1">
        <v>45366</v>
      </c>
      <c r="C1542" t="s">
        <v>31</v>
      </c>
      <c r="D1542" t="s">
        <v>27</v>
      </c>
      <c r="E1542">
        <v>10800</v>
      </c>
      <c r="F1542" t="s">
        <v>32</v>
      </c>
      <c r="G1542" t="s">
        <v>28</v>
      </c>
      <c r="H1542" t="s">
        <v>16</v>
      </c>
      <c r="I1542" t="s">
        <v>17</v>
      </c>
      <c r="J1542" t="s">
        <v>25</v>
      </c>
      <c r="K1542">
        <v>0.1</v>
      </c>
    </row>
    <row r="1543" spans="1:11" x14ac:dyDescent="0.25">
      <c r="A1543" t="s">
        <v>1581</v>
      </c>
      <c r="B1543" s="1">
        <v>45205</v>
      </c>
      <c r="C1543" t="s">
        <v>20</v>
      </c>
      <c r="D1543" t="s">
        <v>27</v>
      </c>
      <c r="E1543">
        <v>5400</v>
      </c>
      <c r="F1543" t="s">
        <v>32</v>
      </c>
      <c r="G1543" t="s">
        <v>28</v>
      </c>
      <c r="H1543" t="s">
        <v>16</v>
      </c>
      <c r="I1543" t="s">
        <v>17</v>
      </c>
      <c r="J1543" t="s">
        <v>44</v>
      </c>
      <c r="K1543">
        <v>0.1</v>
      </c>
    </row>
    <row r="1544" spans="1:11" x14ac:dyDescent="0.25">
      <c r="A1544" t="s">
        <v>1582</v>
      </c>
      <c r="B1544" s="1">
        <v>45282</v>
      </c>
      <c r="C1544" t="s">
        <v>31</v>
      </c>
      <c r="D1544" t="s">
        <v>13</v>
      </c>
      <c r="E1544">
        <v>1000</v>
      </c>
      <c r="F1544" t="s">
        <v>14</v>
      </c>
      <c r="G1544" t="s">
        <v>24</v>
      </c>
      <c r="H1544" t="s">
        <v>16</v>
      </c>
      <c r="I1544" t="s">
        <v>17</v>
      </c>
      <c r="J1544" t="s">
        <v>22</v>
      </c>
      <c r="K1544">
        <v>0</v>
      </c>
    </row>
    <row r="1545" spans="1:11" x14ac:dyDescent="0.25">
      <c r="A1545" t="s">
        <v>1583</v>
      </c>
      <c r="B1545" s="1">
        <v>45354</v>
      </c>
      <c r="C1545" t="s">
        <v>31</v>
      </c>
      <c r="D1545" t="s">
        <v>27</v>
      </c>
      <c r="E1545">
        <v>10800</v>
      </c>
      <c r="F1545" t="s">
        <v>14</v>
      </c>
      <c r="G1545" t="s">
        <v>28</v>
      </c>
      <c r="H1545" t="s">
        <v>16</v>
      </c>
      <c r="I1545" t="s">
        <v>17</v>
      </c>
      <c r="J1545" t="s">
        <v>37</v>
      </c>
      <c r="K1545">
        <v>0.1</v>
      </c>
    </row>
    <row r="1546" spans="1:11" x14ac:dyDescent="0.25">
      <c r="A1546" t="s">
        <v>1584</v>
      </c>
      <c r="B1546" s="1">
        <v>44989</v>
      </c>
      <c r="C1546" t="s">
        <v>31</v>
      </c>
      <c r="D1546" t="s">
        <v>27</v>
      </c>
      <c r="E1546">
        <v>10800</v>
      </c>
      <c r="F1546" t="s">
        <v>14</v>
      </c>
      <c r="G1546" t="s">
        <v>28</v>
      </c>
      <c r="H1546" t="s">
        <v>33</v>
      </c>
      <c r="I1546" t="s">
        <v>34</v>
      </c>
      <c r="J1546" t="s">
        <v>37</v>
      </c>
      <c r="K1546">
        <v>0.1</v>
      </c>
    </row>
    <row r="1547" spans="1:11" x14ac:dyDescent="0.25">
      <c r="A1547" t="s">
        <v>1585</v>
      </c>
      <c r="B1547" s="1">
        <v>45325</v>
      </c>
      <c r="C1547" t="s">
        <v>12</v>
      </c>
      <c r="D1547" t="s">
        <v>13</v>
      </c>
      <c r="E1547">
        <v>1500</v>
      </c>
      <c r="F1547" t="s">
        <v>32</v>
      </c>
      <c r="G1547" t="s">
        <v>24</v>
      </c>
      <c r="H1547" t="s">
        <v>16</v>
      </c>
      <c r="I1547" t="s">
        <v>17</v>
      </c>
      <c r="J1547" t="s">
        <v>44</v>
      </c>
      <c r="K1547">
        <v>0</v>
      </c>
    </row>
    <row r="1548" spans="1:11" x14ac:dyDescent="0.25">
      <c r="A1548" t="s">
        <v>1586</v>
      </c>
      <c r="B1548" s="1">
        <v>45028</v>
      </c>
      <c r="C1548" t="s">
        <v>31</v>
      </c>
      <c r="D1548" t="s">
        <v>27</v>
      </c>
      <c r="E1548">
        <v>10800</v>
      </c>
      <c r="F1548" t="s">
        <v>49</v>
      </c>
      <c r="G1548" t="s">
        <v>28</v>
      </c>
      <c r="H1548" t="s">
        <v>16</v>
      </c>
      <c r="I1548" t="s">
        <v>17</v>
      </c>
      <c r="J1548" t="s">
        <v>18</v>
      </c>
      <c r="K1548">
        <v>0.1</v>
      </c>
    </row>
    <row r="1549" spans="1:11" x14ac:dyDescent="0.25">
      <c r="A1549" t="s">
        <v>1587</v>
      </c>
      <c r="B1549" s="1">
        <v>44933</v>
      </c>
      <c r="C1549" t="s">
        <v>12</v>
      </c>
      <c r="D1549" t="s">
        <v>27</v>
      </c>
      <c r="E1549">
        <v>16200</v>
      </c>
      <c r="F1549" t="s">
        <v>14</v>
      </c>
      <c r="G1549" t="s">
        <v>24</v>
      </c>
      <c r="H1549" t="s">
        <v>16</v>
      </c>
      <c r="I1549" t="s">
        <v>17</v>
      </c>
      <c r="J1549" t="s">
        <v>37</v>
      </c>
      <c r="K1549">
        <v>0.1</v>
      </c>
    </row>
    <row r="1550" spans="1:11" x14ac:dyDescent="0.25">
      <c r="A1550" t="s">
        <v>1588</v>
      </c>
      <c r="B1550" s="1">
        <v>45575</v>
      </c>
      <c r="C1550" t="s">
        <v>12</v>
      </c>
      <c r="D1550" t="s">
        <v>13</v>
      </c>
      <c r="E1550">
        <v>1500</v>
      </c>
      <c r="F1550" t="s">
        <v>21</v>
      </c>
      <c r="G1550" t="s">
        <v>28</v>
      </c>
      <c r="H1550" t="s">
        <v>16</v>
      </c>
      <c r="I1550" t="s">
        <v>17</v>
      </c>
      <c r="J1550" t="s">
        <v>29</v>
      </c>
      <c r="K1550">
        <v>0</v>
      </c>
    </row>
    <row r="1551" spans="1:11" x14ac:dyDescent="0.25">
      <c r="A1551" t="s">
        <v>1589</v>
      </c>
      <c r="B1551" s="1">
        <v>45552</v>
      </c>
      <c r="C1551" t="s">
        <v>20</v>
      </c>
      <c r="D1551" t="s">
        <v>27</v>
      </c>
      <c r="E1551">
        <v>5400</v>
      </c>
      <c r="F1551" t="s">
        <v>49</v>
      </c>
      <c r="G1551" t="s">
        <v>28</v>
      </c>
      <c r="H1551" t="s">
        <v>16</v>
      </c>
      <c r="I1551" t="s">
        <v>17</v>
      </c>
      <c r="J1551" t="s">
        <v>18</v>
      </c>
      <c r="K1551">
        <v>0.1</v>
      </c>
    </row>
    <row r="1552" spans="1:11" x14ac:dyDescent="0.25">
      <c r="A1552" t="s">
        <v>1590</v>
      </c>
      <c r="B1552" s="1">
        <v>45054</v>
      </c>
      <c r="C1552" t="s">
        <v>31</v>
      </c>
      <c r="D1552" t="s">
        <v>13</v>
      </c>
      <c r="E1552">
        <v>1000</v>
      </c>
      <c r="F1552" t="s">
        <v>49</v>
      </c>
      <c r="G1552" t="s">
        <v>28</v>
      </c>
      <c r="H1552" t="s">
        <v>16</v>
      </c>
      <c r="I1552" t="s">
        <v>17</v>
      </c>
      <c r="J1552" t="s">
        <v>22</v>
      </c>
      <c r="K1552">
        <v>0</v>
      </c>
    </row>
    <row r="1553" spans="1:11" x14ac:dyDescent="0.25">
      <c r="A1553" t="s">
        <v>1591</v>
      </c>
      <c r="B1553" s="1">
        <v>45103</v>
      </c>
      <c r="C1553" t="s">
        <v>31</v>
      </c>
      <c r="D1553" t="s">
        <v>13</v>
      </c>
      <c r="E1553">
        <v>1000</v>
      </c>
      <c r="F1553" t="s">
        <v>21</v>
      </c>
      <c r="G1553" t="s">
        <v>24</v>
      </c>
      <c r="H1553" t="s">
        <v>33</v>
      </c>
      <c r="I1553" t="s">
        <v>34</v>
      </c>
      <c r="J1553" t="s">
        <v>25</v>
      </c>
      <c r="K1553">
        <v>0</v>
      </c>
    </row>
    <row r="1554" spans="1:11" x14ac:dyDescent="0.25">
      <c r="A1554" t="s">
        <v>1592</v>
      </c>
      <c r="B1554" s="1">
        <v>45475</v>
      </c>
      <c r="C1554" t="s">
        <v>20</v>
      </c>
      <c r="D1554" t="s">
        <v>13</v>
      </c>
      <c r="E1554">
        <v>500</v>
      </c>
      <c r="F1554" t="s">
        <v>49</v>
      </c>
      <c r="G1554" t="s">
        <v>24</v>
      </c>
      <c r="H1554" t="s">
        <v>16</v>
      </c>
      <c r="I1554" t="s">
        <v>17</v>
      </c>
      <c r="J1554" t="s">
        <v>22</v>
      </c>
      <c r="K1554">
        <v>0</v>
      </c>
    </row>
    <row r="1555" spans="1:11" x14ac:dyDescent="0.25">
      <c r="A1555" t="s">
        <v>1593</v>
      </c>
      <c r="B1555" s="1">
        <v>45374</v>
      </c>
      <c r="C1555" t="s">
        <v>20</v>
      </c>
      <c r="D1555" t="s">
        <v>13</v>
      </c>
      <c r="E1555">
        <v>500</v>
      </c>
      <c r="F1555" t="s">
        <v>14</v>
      </c>
      <c r="G1555" t="s">
        <v>24</v>
      </c>
      <c r="H1555" t="s">
        <v>33</v>
      </c>
      <c r="I1555" t="s">
        <v>34</v>
      </c>
      <c r="J1555" t="s">
        <v>55</v>
      </c>
      <c r="K1555">
        <v>0</v>
      </c>
    </row>
    <row r="1556" spans="1:11" x14ac:dyDescent="0.25">
      <c r="A1556" t="s">
        <v>1594</v>
      </c>
      <c r="B1556" s="1">
        <v>44964</v>
      </c>
      <c r="C1556" t="s">
        <v>12</v>
      </c>
      <c r="D1556" t="s">
        <v>13</v>
      </c>
      <c r="E1556">
        <v>1500</v>
      </c>
      <c r="F1556" t="s">
        <v>32</v>
      </c>
      <c r="G1556" t="s">
        <v>15</v>
      </c>
      <c r="H1556" t="s">
        <v>33</v>
      </c>
      <c r="I1556" t="s">
        <v>34</v>
      </c>
      <c r="J1556" t="s">
        <v>39</v>
      </c>
      <c r="K1556">
        <v>0</v>
      </c>
    </row>
    <row r="1557" spans="1:11" x14ac:dyDescent="0.25">
      <c r="A1557" t="s">
        <v>1595</v>
      </c>
      <c r="B1557" s="1">
        <v>45131</v>
      </c>
      <c r="C1557" t="s">
        <v>31</v>
      </c>
      <c r="D1557" t="s">
        <v>27</v>
      </c>
      <c r="E1557">
        <v>10800</v>
      </c>
      <c r="F1557" t="s">
        <v>49</v>
      </c>
      <c r="G1557" t="s">
        <v>15</v>
      </c>
      <c r="H1557" t="s">
        <v>33</v>
      </c>
      <c r="I1557" t="s">
        <v>34</v>
      </c>
      <c r="J1557" t="s">
        <v>50</v>
      </c>
      <c r="K1557">
        <v>0.1</v>
      </c>
    </row>
    <row r="1558" spans="1:11" x14ac:dyDescent="0.25">
      <c r="A1558" t="s">
        <v>1596</v>
      </c>
      <c r="B1558" s="1">
        <v>45111</v>
      </c>
      <c r="C1558" t="s">
        <v>20</v>
      </c>
      <c r="D1558" t="s">
        <v>13</v>
      </c>
      <c r="E1558">
        <v>500</v>
      </c>
      <c r="F1558" t="s">
        <v>32</v>
      </c>
      <c r="G1558" t="s">
        <v>24</v>
      </c>
      <c r="H1558" t="s">
        <v>33</v>
      </c>
      <c r="I1558" t="s">
        <v>34</v>
      </c>
      <c r="J1558" t="s">
        <v>66</v>
      </c>
      <c r="K1558">
        <v>0</v>
      </c>
    </row>
    <row r="1559" spans="1:11" x14ac:dyDescent="0.25">
      <c r="A1559" t="s">
        <v>1597</v>
      </c>
      <c r="B1559" s="1">
        <v>45375</v>
      </c>
      <c r="C1559" t="s">
        <v>20</v>
      </c>
      <c r="D1559" t="s">
        <v>27</v>
      </c>
      <c r="E1559">
        <v>5400</v>
      </c>
      <c r="F1559" t="s">
        <v>49</v>
      </c>
      <c r="G1559" t="s">
        <v>15</v>
      </c>
      <c r="H1559" t="s">
        <v>33</v>
      </c>
      <c r="I1559" t="s">
        <v>34</v>
      </c>
      <c r="J1559" t="s">
        <v>35</v>
      </c>
      <c r="K1559">
        <v>0.1</v>
      </c>
    </row>
    <row r="1560" spans="1:11" x14ac:dyDescent="0.25">
      <c r="A1560" t="s">
        <v>1598</v>
      </c>
      <c r="B1560" s="1">
        <v>45191</v>
      </c>
      <c r="C1560" t="s">
        <v>20</v>
      </c>
      <c r="D1560" t="s">
        <v>27</v>
      </c>
      <c r="E1560">
        <v>5400</v>
      </c>
      <c r="F1560" t="s">
        <v>32</v>
      </c>
      <c r="G1560" t="s">
        <v>15</v>
      </c>
      <c r="H1560" t="s">
        <v>16</v>
      </c>
      <c r="I1560" t="s">
        <v>17</v>
      </c>
      <c r="J1560" t="s">
        <v>44</v>
      </c>
      <c r="K1560">
        <v>0.1</v>
      </c>
    </row>
    <row r="1561" spans="1:11" x14ac:dyDescent="0.25">
      <c r="A1561" t="s">
        <v>1599</v>
      </c>
      <c r="B1561" s="1">
        <v>45465</v>
      </c>
      <c r="C1561" t="s">
        <v>31</v>
      </c>
      <c r="D1561" t="s">
        <v>13</v>
      </c>
      <c r="E1561">
        <v>1000</v>
      </c>
      <c r="F1561" t="s">
        <v>14</v>
      </c>
      <c r="G1561" t="s">
        <v>28</v>
      </c>
      <c r="H1561" t="s">
        <v>16</v>
      </c>
      <c r="I1561" t="s">
        <v>17</v>
      </c>
      <c r="J1561" t="s">
        <v>37</v>
      </c>
      <c r="K1561">
        <v>0</v>
      </c>
    </row>
    <row r="1562" spans="1:11" x14ac:dyDescent="0.25">
      <c r="A1562" t="s">
        <v>1600</v>
      </c>
      <c r="B1562" s="1">
        <v>44934</v>
      </c>
      <c r="C1562" t="s">
        <v>20</v>
      </c>
      <c r="D1562" t="s">
        <v>13</v>
      </c>
      <c r="E1562">
        <v>500</v>
      </c>
      <c r="F1562" t="s">
        <v>21</v>
      </c>
      <c r="G1562" t="s">
        <v>28</v>
      </c>
      <c r="H1562" t="s">
        <v>16</v>
      </c>
      <c r="I1562" t="s">
        <v>17</v>
      </c>
      <c r="J1562" t="s">
        <v>25</v>
      </c>
      <c r="K1562">
        <v>0</v>
      </c>
    </row>
    <row r="1563" spans="1:11" x14ac:dyDescent="0.25">
      <c r="A1563" t="s">
        <v>1601</v>
      </c>
      <c r="B1563" s="1">
        <v>45226</v>
      </c>
      <c r="C1563" t="s">
        <v>12</v>
      </c>
      <c r="D1563" t="s">
        <v>27</v>
      </c>
      <c r="E1563">
        <v>16200</v>
      </c>
      <c r="F1563" t="s">
        <v>21</v>
      </c>
      <c r="G1563" t="s">
        <v>15</v>
      </c>
      <c r="H1563" t="s">
        <v>16</v>
      </c>
      <c r="I1563" t="s">
        <v>17</v>
      </c>
      <c r="J1563" t="s">
        <v>18</v>
      </c>
      <c r="K1563">
        <v>0.1</v>
      </c>
    </row>
    <row r="1564" spans="1:11" x14ac:dyDescent="0.25">
      <c r="A1564" t="s">
        <v>1602</v>
      </c>
      <c r="B1564" s="1">
        <v>45505</v>
      </c>
      <c r="C1564" t="s">
        <v>12</v>
      </c>
      <c r="D1564" t="s">
        <v>27</v>
      </c>
      <c r="E1564">
        <v>16200</v>
      </c>
      <c r="F1564" t="s">
        <v>14</v>
      </c>
      <c r="G1564" t="s">
        <v>28</v>
      </c>
      <c r="H1564" t="s">
        <v>16</v>
      </c>
      <c r="I1564" t="s">
        <v>17</v>
      </c>
      <c r="J1564" t="s">
        <v>18</v>
      </c>
      <c r="K1564">
        <v>0.1</v>
      </c>
    </row>
    <row r="1565" spans="1:11" x14ac:dyDescent="0.25">
      <c r="A1565" t="s">
        <v>1603</v>
      </c>
      <c r="B1565" s="1">
        <v>45436</v>
      </c>
      <c r="C1565" t="s">
        <v>20</v>
      </c>
      <c r="D1565" t="s">
        <v>27</v>
      </c>
      <c r="E1565">
        <v>5400</v>
      </c>
      <c r="F1565" t="s">
        <v>49</v>
      </c>
      <c r="G1565" t="s">
        <v>28</v>
      </c>
      <c r="H1565" t="s">
        <v>16</v>
      </c>
      <c r="I1565" t="s">
        <v>17</v>
      </c>
      <c r="J1565" t="s">
        <v>22</v>
      </c>
      <c r="K1565">
        <v>0.1</v>
      </c>
    </row>
    <row r="1566" spans="1:11" x14ac:dyDescent="0.25">
      <c r="A1566" t="s">
        <v>1604</v>
      </c>
      <c r="B1566" s="1">
        <v>45453</v>
      </c>
      <c r="C1566" t="s">
        <v>12</v>
      </c>
      <c r="D1566" t="s">
        <v>27</v>
      </c>
      <c r="E1566">
        <v>16200</v>
      </c>
      <c r="F1566" t="s">
        <v>21</v>
      </c>
      <c r="G1566" t="s">
        <v>28</v>
      </c>
      <c r="H1566" t="s">
        <v>33</v>
      </c>
      <c r="I1566" t="s">
        <v>34</v>
      </c>
      <c r="J1566" t="s">
        <v>25</v>
      </c>
      <c r="K1566">
        <v>0.1</v>
      </c>
    </row>
    <row r="1567" spans="1:11" x14ac:dyDescent="0.25">
      <c r="A1567" t="s">
        <v>1605</v>
      </c>
      <c r="B1567" s="1">
        <v>45357</v>
      </c>
      <c r="C1567" t="s">
        <v>31</v>
      </c>
      <c r="D1567" t="s">
        <v>27</v>
      </c>
      <c r="E1567">
        <v>10800</v>
      </c>
      <c r="F1567" t="s">
        <v>32</v>
      </c>
      <c r="G1567" t="s">
        <v>15</v>
      </c>
      <c r="H1567" t="s">
        <v>33</v>
      </c>
      <c r="I1567" t="s">
        <v>34</v>
      </c>
      <c r="J1567" t="s">
        <v>25</v>
      </c>
      <c r="K1567">
        <v>0.1</v>
      </c>
    </row>
    <row r="1568" spans="1:11" x14ac:dyDescent="0.25">
      <c r="A1568" t="s">
        <v>1606</v>
      </c>
      <c r="B1568" s="1">
        <v>45163</v>
      </c>
      <c r="C1568" t="s">
        <v>20</v>
      </c>
      <c r="D1568" t="s">
        <v>13</v>
      </c>
      <c r="E1568">
        <v>500</v>
      </c>
      <c r="F1568" t="s">
        <v>21</v>
      </c>
      <c r="G1568" t="s">
        <v>24</v>
      </c>
      <c r="H1568" t="s">
        <v>33</v>
      </c>
      <c r="I1568" t="s">
        <v>34</v>
      </c>
      <c r="J1568" t="s">
        <v>29</v>
      </c>
      <c r="K1568">
        <v>0</v>
      </c>
    </row>
    <row r="1569" spans="1:11" x14ac:dyDescent="0.25">
      <c r="A1569" t="s">
        <v>1607</v>
      </c>
      <c r="B1569" s="1">
        <v>44935</v>
      </c>
      <c r="C1569" t="s">
        <v>20</v>
      </c>
      <c r="D1569" t="s">
        <v>27</v>
      </c>
      <c r="E1569">
        <v>5400</v>
      </c>
      <c r="F1569" t="s">
        <v>49</v>
      </c>
      <c r="G1569" t="s">
        <v>15</v>
      </c>
      <c r="H1569" t="s">
        <v>33</v>
      </c>
      <c r="I1569" t="s">
        <v>34</v>
      </c>
      <c r="J1569" t="s">
        <v>25</v>
      </c>
      <c r="K1569">
        <v>0.1</v>
      </c>
    </row>
    <row r="1570" spans="1:11" x14ac:dyDescent="0.25">
      <c r="A1570" t="s">
        <v>1608</v>
      </c>
      <c r="B1570" s="1">
        <v>45398</v>
      </c>
      <c r="C1570" t="s">
        <v>12</v>
      </c>
      <c r="D1570" t="s">
        <v>13</v>
      </c>
      <c r="E1570">
        <v>1500</v>
      </c>
      <c r="F1570" t="s">
        <v>21</v>
      </c>
      <c r="G1570" t="s">
        <v>15</v>
      </c>
      <c r="H1570" t="s">
        <v>33</v>
      </c>
      <c r="I1570" t="s">
        <v>34</v>
      </c>
      <c r="J1570" t="s">
        <v>29</v>
      </c>
      <c r="K1570">
        <v>0</v>
      </c>
    </row>
    <row r="1571" spans="1:11" x14ac:dyDescent="0.25">
      <c r="A1571" t="s">
        <v>1609</v>
      </c>
      <c r="B1571" s="1">
        <v>45002</v>
      </c>
      <c r="C1571" t="s">
        <v>12</v>
      </c>
      <c r="D1571" t="s">
        <v>13</v>
      </c>
      <c r="E1571">
        <v>1500</v>
      </c>
      <c r="F1571" t="s">
        <v>49</v>
      </c>
      <c r="G1571" t="s">
        <v>24</v>
      </c>
      <c r="H1571" t="s">
        <v>16</v>
      </c>
      <c r="I1571" t="s">
        <v>17</v>
      </c>
      <c r="J1571" t="s">
        <v>58</v>
      </c>
      <c r="K1571">
        <v>0</v>
      </c>
    </row>
    <row r="1572" spans="1:11" x14ac:dyDescent="0.25">
      <c r="A1572" t="s">
        <v>1610</v>
      </c>
      <c r="B1572" s="1">
        <v>45222</v>
      </c>
      <c r="C1572" t="s">
        <v>20</v>
      </c>
      <c r="D1572" t="s">
        <v>27</v>
      </c>
      <c r="E1572">
        <v>5400</v>
      </c>
      <c r="F1572" t="s">
        <v>14</v>
      </c>
      <c r="G1572" t="s">
        <v>28</v>
      </c>
      <c r="H1572" t="s">
        <v>33</v>
      </c>
      <c r="I1572" t="s">
        <v>34</v>
      </c>
      <c r="J1572" t="s">
        <v>22</v>
      </c>
      <c r="K1572">
        <v>0.1</v>
      </c>
    </row>
    <row r="1573" spans="1:11" x14ac:dyDescent="0.25">
      <c r="A1573" t="s">
        <v>1611</v>
      </c>
      <c r="B1573" s="1">
        <v>44974</v>
      </c>
      <c r="C1573" t="s">
        <v>31</v>
      </c>
      <c r="D1573" t="s">
        <v>27</v>
      </c>
      <c r="E1573">
        <v>10800</v>
      </c>
      <c r="F1573" t="s">
        <v>21</v>
      </c>
      <c r="G1573" t="s">
        <v>28</v>
      </c>
      <c r="H1573" t="s">
        <v>16</v>
      </c>
      <c r="I1573" t="s">
        <v>17</v>
      </c>
      <c r="J1573" t="s">
        <v>18</v>
      </c>
      <c r="K1573">
        <v>0.1</v>
      </c>
    </row>
    <row r="1574" spans="1:11" x14ac:dyDescent="0.25">
      <c r="A1574" t="s">
        <v>1612</v>
      </c>
      <c r="B1574" s="1">
        <v>45093</v>
      </c>
      <c r="C1574" t="s">
        <v>20</v>
      </c>
      <c r="D1574" t="s">
        <v>27</v>
      </c>
      <c r="E1574">
        <v>5400</v>
      </c>
      <c r="F1574" t="s">
        <v>14</v>
      </c>
      <c r="G1574" t="s">
        <v>15</v>
      </c>
      <c r="H1574" t="s">
        <v>16</v>
      </c>
      <c r="I1574" t="s">
        <v>17</v>
      </c>
      <c r="J1574" t="s">
        <v>37</v>
      </c>
      <c r="K1574">
        <v>0.1</v>
      </c>
    </row>
    <row r="1575" spans="1:11" x14ac:dyDescent="0.25">
      <c r="A1575" t="s">
        <v>1613</v>
      </c>
      <c r="B1575" s="1">
        <v>45066</v>
      </c>
      <c r="C1575" t="s">
        <v>31</v>
      </c>
      <c r="D1575" t="s">
        <v>27</v>
      </c>
      <c r="E1575">
        <v>10800</v>
      </c>
      <c r="F1575" t="s">
        <v>49</v>
      </c>
      <c r="G1575" t="s">
        <v>28</v>
      </c>
      <c r="H1575" t="s">
        <v>16</v>
      </c>
      <c r="I1575" t="s">
        <v>17</v>
      </c>
      <c r="J1575" t="s">
        <v>58</v>
      </c>
      <c r="K1575">
        <v>0.1</v>
      </c>
    </row>
    <row r="1576" spans="1:11" x14ac:dyDescent="0.25">
      <c r="A1576" t="s">
        <v>1614</v>
      </c>
      <c r="B1576" s="1">
        <v>45074</v>
      </c>
      <c r="C1576" t="s">
        <v>31</v>
      </c>
      <c r="D1576" t="s">
        <v>13</v>
      </c>
      <c r="E1576">
        <v>1000</v>
      </c>
      <c r="F1576" t="s">
        <v>32</v>
      </c>
      <c r="G1576" t="s">
        <v>28</v>
      </c>
      <c r="H1576" t="s">
        <v>16</v>
      </c>
      <c r="I1576" t="s">
        <v>17</v>
      </c>
      <c r="J1576" t="s">
        <v>25</v>
      </c>
      <c r="K1576">
        <v>0</v>
      </c>
    </row>
    <row r="1577" spans="1:11" x14ac:dyDescent="0.25">
      <c r="A1577" t="s">
        <v>1615</v>
      </c>
      <c r="B1577" s="1">
        <v>45098</v>
      </c>
      <c r="C1577" t="s">
        <v>12</v>
      </c>
      <c r="D1577" t="s">
        <v>27</v>
      </c>
      <c r="E1577">
        <v>16200</v>
      </c>
      <c r="F1577" t="s">
        <v>32</v>
      </c>
      <c r="G1577" t="s">
        <v>24</v>
      </c>
      <c r="H1577" t="s">
        <v>16</v>
      </c>
      <c r="I1577" t="s">
        <v>17</v>
      </c>
      <c r="J1577" t="s">
        <v>66</v>
      </c>
      <c r="K1577">
        <v>0.1</v>
      </c>
    </row>
    <row r="1578" spans="1:11" x14ac:dyDescent="0.25">
      <c r="A1578" t="s">
        <v>1616</v>
      </c>
      <c r="B1578" s="1">
        <v>45618</v>
      </c>
      <c r="C1578" t="s">
        <v>31</v>
      </c>
      <c r="D1578" t="s">
        <v>13</v>
      </c>
      <c r="E1578">
        <v>1000</v>
      </c>
      <c r="F1578" t="s">
        <v>32</v>
      </c>
      <c r="G1578" t="s">
        <v>15</v>
      </c>
      <c r="H1578" t="s">
        <v>16</v>
      </c>
      <c r="I1578" t="s">
        <v>17</v>
      </c>
      <c r="J1578" t="s">
        <v>25</v>
      </c>
      <c r="K1578">
        <v>0</v>
      </c>
    </row>
    <row r="1579" spans="1:11" x14ac:dyDescent="0.25">
      <c r="A1579" t="s">
        <v>1617</v>
      </c>
      <c r="B1579" s="1">
        <v>45160</v>
      </c>
      <c r="C1579" t="s">
        <v>20</v>
      </c>
      <c r="D1579" t="s">
        <v>27</v>
      </c>
      <c r="E1579">
        <v>5400</v>
      </c>
      <c r="F1579" t="s">
        <v>32</v>
      </c>
      <c r="G1579" t="s">
        <v>24</v>
      </c>
      <c r="H1579" t="s">
        <v>16</v>
      </c>
      <c r="I1579" t="s">
        <v>17</v>
      </c>
      <c r="J1579" t="s">
        <v>44</v>
      </c>
      <c r="K1579">
        <v>0.1</v>
      </c>
    </row>
    <row r="1580" spans="1:11" x14ac:dyDescent="0.25">
      <c r="A1580" t="s">
        <v>1618</v>
      </c>
      <c r="B1580" s="1">
        <v>45274</v>
      </c>
      <c r="C1580" t="s">
        <v>20</v>
      </c>
      <c r="D1580" t="s">
        <v>13</v>
      </c>
      <c r="E1580">
        <v>500</v>
      </c>
      <c r="F1580" t="s">
        <v>32</v>
      </c>
      <c r="G1580" t="s">
        <v>24</v>
      </c>
      <c r="H1580" t="s">
        <v>16</v>
      </c>
      <c r="I1580" t="s">
        <v>17</v>
      </c>
      <c r="J1580" t="s">
        <v>44</v>
      </c>
      <c r="K1580">
        <v>0</v>
      </c>
    </row>
    <row r="1581" spans="1:11" x14ac:dyDescent="0.25">
      <c r="A1581" t="s">
        <v>1619</v>
      </c>
      <c r="B1581" s="1">
        <v>45117</v>
      </c>
      <c r="C1581" t="s">
        <v>12</v>
      </c>
      <c r="D1581" t="s">
        <v>13</v>
      </c>
      <c r="E1581">
        <v>1500</v>
      </c>
      <c r="F1581" t="s">
        <v>21</v>
      </c>
      <c r="G1581" t="s">
        <v>24</v>
      </c>
      <c r="H1581" t="s">
        <v>16</v>
      </c>
      <c r="I1581" t="s">
        <v>17</v>
      </c>
      <c r="J1581" t="s">
        <v>18</v>
      </c>
      <c r="K1581">
        <v>0</v>
      </c>
    </row>
    <row r="1582" spans="1:11" x14ac:dyDescent="0.25">
      <c r="A1582" t="s">
        <v>1620</v>
      </c>
      <c r="B1582" s="1">
        <v>45362</v>
      </c>
      <c r="C1582" t="s">
        <v>20</v>
      </c>
      <c r="D1582" t="s">
        <v>27</v>
      </c>
      <c r="E1582">
        <v>5400</v>
      </c>
      <c r="F1582" t="s">
        <v>32</v>
      </c>
      <c r="G1582" t="s">
        <v>28</v>
      </c>
      <c r="H1582" t="s">
        <v>33</v>
      </c>
      <c r="I1582" t="s">
        <v>34</v>
      </c>
      <c r="J1582" t="s">
        <v>39</v>
      </c>
      <c r="K1582">
        <v>0.1</v>
      </c>
    </row>
    <row r="1583" spans="1:11" x14ac:dyDescent="0.25">
      <c r="A1583" t="s">
        <v>1621</v>
      </c>
      <c r="B1583" s="1">
        <v>45228</v>
      </c>
      <c r="C1583" t="s">
        <v>12</v>
      </c>
      <c r="D1583" t="s">
        <v>13</v>
      </c>
      <c r="E1583">
        <v>1500</v>
      </c>
      <c r="F1583" t="s">
        <v>21</v>
      </c>
      <c r="G1583" t="s">
        <v>28</v>
      </c>
      <c r="H1583" t="s">
        <v>33</v>
      </c>
      <c r="I1583" t="s">
        <v>34</v>
      </c>
      <c r="J1583" t="s">
        <v>29</v>
      </c>
      <c r="K1583">
        <v>0</v>
      </c>
    </row>
    <row r="1584" spans="1:11" x14ac:dyDescent="0.25">
      <c r="A1584" t="s">
        <v>1622</v>
      </c>
      <c r="B1584" s="1">
        <v>45374</v>
      </c>
      <c r="C1584" t="s">
        <v>31</v>
      </c>
      <c r="D1584" t="s">
        <v>13</v>
      </c>
      <c r="E1584">
        <v>1000</v>
      </c>
      <c r="F1584" t="s">
        <v>49</v>
      </c>
      <c r="G1584" t="s">
        <v>15</v>
      </c>
      <c r="H1584" t="s">
        <v>16</v>
      </c>
      <c r="I1584" t="s">
        <v>17</v>
      </c>
      <c r="J1584" t="s">
        <v>25</v>
      </c>
      <c r="K1584">
        <v>0</v>
      </c>
    </row>
    <row r="1585" spans="1:11" x14ac:dyDescent="0.25">
      <c r="A1585" t="s">
        <v>1623</v>
      </c>
      <c r="B1585" s="1">
        <v>45281</v>
      </c>
      <c r="C1585" t="s">
        <v>20</v>
      </c>
      <c r="D1585" t="s">
        <v>27</v>
      </c>
      <c r="E1585">
        <v>5400</v>
      </c>
      <c r="F1585" t="s">
        <v>14</v>
      </c>
      <c r="G1585" t="s">
        <v>28</v>
      </c>
      <c r="H1585" t="s">
        <v>16</v>
      </c>
      <c r="I1585" t="s">
        <v>17</v>
      </c>
      <c r="J1585" t="s">
        <v>37</v>
      </c>
      <c r="K1585">
        <v>0.1</v>
      </c>
    </row>
    <row r="1586" spans="1:11" x14ac:dyDescent="0.25">
      <c r="A1586" t="s">
        <v>1624</v>
      </c>
      <c r="B1586" s="1">
        <v>44950</v>
      </c>
      <c r="C1586" t="s">
        <v>31</v>
      </c>
      <c r="D1586" t="s">
        <v>13</v>
      </c>
      <c r="E1586">
        <v>1000</v>
      </c>
      <c r="F1586" t="s">
        <v>14</v>
      </c>
      <c r="G1586" t="s">
        <v>28</v>
      </c>
      <c r="H1586" t="s">
        <v>16</v>
      </c>
      <c r="I1586" t="s">
        <v>17</v>
      </c>
      <c r="J1586" t="s">
        <v>41</v>
      </c>
      <c r="K1586">
        <v>0</v>
      </c>
    </row>
    <row r="1587" spans="1:11" x14ac:dyDescent="0.25">
      <c r="A1587" t="s">
        <v>1625</v>
      </c>
      <c r="B1587" s="1">
        <v>45355</v>
      </c>
      <c r="C1587" t="s">
        <v>20</v>
      </c>
      <c r="D1587" t="s">
        <v>27</v>
      </c>
      <c r="E1587">
        <v>5400</v>
      </c>
      <c r="F1587" t="s">
        <v>14</v>
      </c>
      <c r="G1587" t="s">
        <v>15</v>
      </c>
      <c r="H1587" t="s">
        <v>33</v>
      </c>
      <c r="I1587" t="s">
        <v>34</v>
      </c>
      <c r="J1587" t="s">
        <v>37</v>
      </c>
      <c r="K1587">
        <v>0.1</v>
      </c>
    </row>
    <row r="1588" spans="1:11" x14ac:dyDescent="0.25">
      <c r="A1588" t="s">
        <v>1626</v>
      </c>
      <c r="B1588" s="1">
        <v>45517</v>
      </c>
      <c r="C1588" t="s">
        <v>12</v>
      </c>
      <c r="D1588" t="s">
        <v>27</v>
      </c>
      <c r="E1588">
        <v>16200</v>
      </c>
      <c r="F1588" t="s">
        <v>49</v>
      </c>
      <c r="G1588" t="s">
        <v>15</v>
      </c>
      <c r="H1588" t="s">
        <v>33</v>
      </c>
      <c r="I1588" t="s">
        <v>34</v>
      </c>
      <c r="J1588" t="s">
        <v>22</v>
      </c>
      <c r="K1588">
        <v>0.1</v>
      </c>
    </row>
    <row r="1589" spans="1:11" x14ac:dyDescent="0.25">
      <c r="A1589" t="s">
        <v>1627</v>
      </c>
      <c r="B1589" s="1">
        <v>45088</v>
      </c>
      <c r="C1589" t="s">
        <v>12</v>
      </c>
      <c r="D1589" t="s">
        <v>13</v>
      </c>
      <c r="E1589">
        <v>1500</v>
      </c>
      <c r="F1589" t="s">
        <v>21</v>
      </c>
      <c r="G1589" t="s">
        <v>24</v>
      </c>
      <c r="H1589" t="s">
        <v>33</v>
      </c>
      <c r="I1589" t="s">
        <v>34</v>
      </c>
      <c r="J1589" t="s">
        <v>22</v>
      </c>
      <c r="K1589">
        <v>0</v>
      </c>
    </row>
    <row r="1590" spans="1:11" x14ac:dyDescent="0.25">
      <c r="A1590" t="s">
        <v>1628</v>
      </c>
      <c r="B1590" s="1">
        <v>45037</v>
      </c>
      <c r="C1590" t="s">
        <v>20</v>
      </c>
      <c r="D1590" t="s">
        <v>13</v>
      </c>
      <c r="E1590">
        <v>500</v>
      </c>
      <c r="F1590" t="s">
        <v>14</v>
      </c>
      <c r="G1590" t="s">
        <v>15</v>
      </c>
      <c r="H1590" t="s">
        <v>16</v>
      </c>
      <c r="I1590" t="s">
        <v>17</v>
      </c>
      <c r="J1590" t="s">
        <v>18</v>
      </c>
      <c r="K1590">
        <v>0</v>
      </c>
    </row>
    <row r="1591" spans="1:11" x14ac:dyDescent="0.25">
      <c r="A1591" t="s">
        <v>1629</v>
      </c>
      <c r="B1591" s="1">
        <v>45638</v>
      </c>
      <c r="C1591" t="s">
        <v>20</v>
      </c>
      <c r="D1591" t="s">
        <v>13</v>
      </c>
      <c r="E1591">
        <v>500</v>
      </c>
      <c r="F1591" t="s">
        <v>14</v>
      </c>
      <c r="G1591" t="s">
        <v>15</v>
      </c>
      <c r="H1591" t="s">
        <v>16</v>
      </c>
      <c r="I1591" t="s">
        <v>17</v>
      </c>
      <c r="J1591" t="s">
        <v>55</v>
      </c>
      <c r="K1591">
        <v>0</v>
      </c>
    </row>
    <row r="1592" spans="1:11" x14ac:dyDescent="0.25">
      <c r="A1592" t="s">
        <v>1630</v>
      </c>
      <c r="B1592" s="1">
        <v>45492</v>
      </c>
      <c r="C1592" t="s">
        <v>20</v>
      </c>
      <c r="D1592" t="s">
        <v>13</v>
      </c>
      <c r="E1592">
        <v>500</v>
      </c>
      <c r="F1592" t="s">
        <v>21</v>
      </c>
      <c r="G1592" t="s">
        <v>24</v>
      </c>
      <c r="H1592" t="s">
        <v>33</v>
      </c>
      <c r="I1592" t="s">
        <v>34</v>
      </c>
      <c r="J1592" t="s">
        <v>18</v>
      </c>
      <c r="K1592">
        <v>0</v>
      </c>
    </row>
    <row r="1593" spans="1:11" x14ac:dyDescent="0.25">
      <c r="A1593" t="s">
        <v>1631</v>
      </c>
      <c r="B1593" s="1">
        <v>45260</v>
      </c>
      <c r="C1593" t="s">
        <v>31</v>
      </c>
      <c r="D1593" t="s">
        <v>27</v>
      </c>
      <c r="E1593">
        <v>10800</v>
      </c>
      <c r="F1593" t="s">
        <v>14</v>
      </c>
      <c r="G1593" t="s">
        <v>15</v>
      </c>
      <c r="H1593" t="s">
        <v>33</v>
      </c>
      <c r="I1593" t="s">
        <v>34</v>
      </c>
      <c r="J1593" t="s">
        <v>37</v>
      </c>
      <c r="K1593">
        <v>0.1</v>
      </c>
    </row>
    <row r="1594" spans="1:11" x14ac:dyDescent="0.25">
      <c r="A1594" t="s">
        <v>1632</v>
      </c>
      <c r="B1594" s="1">
        <v>45528</v>
      </c>
      <c r="C1594" t="s">
        <v>20</v>
      </c>
      <c r="D1594" t="s">
        <v>13</v>
      </c>
      <c r="E1594">
        <v>500</v>
      </c>
      <c r="F1594" t="s">
        <v>14</v>
      </c>
      <c r="G1594" t="s">
        <v>28</v>
      </c>
      <c r="H1594" t="s">
        <v>16</v>
      </c>
      <c r="I1594" t="s">
        <v>17</v>
      </c>
      <c r="J1594" t="s">
        <v>37</v>
      </c>
      <c r="K1594">
        <v>0</v>
      </c>
    </row>
    <row r="1595" spans="1:11" x14ac:dyDescent="0.25">
      <c r="A1595" t="s">
        <v>1633</v>
      </c>
      <c r="B1595" s="1">
        <v>45020</v>
      </c>
      <c r="C1595" t="s">
        <v>31</v>
      </c>
      <c r="D1595" t="s">
        <v>13</v>
      </c>
      <c r="E1595">
        <v>1000</v>
      </c>
      <c r="F1595" t="s">
        <v>14</v>
      </c>
      <c r="G1595" t="s">
        <v>15</v>
      </c>
      <c r="H1595" t="s">
        <v>33</v>
      </c>
      <c r="I1595" t="s">
        <v>34</v>
      </c>
      <c r="J1595" t="s">
        <v>41</v>
      </c>
      <c r="K1595">
        <v>0</v>
      </c>
    </row>
    <row r="1596" spans="1:11" x14ac:dyDescent="0.25">
      <c r="A1596" t="s">
        <v>1634</v>
      </c>
      <c r="B1596" s="1">
        <v>45549</v>
      </c>
      <c r="C1596" t="s">
        <v>20</v>
      </c>
      <c r="D1596" t="s">
        <v>27</v>
      </c>
      <c r="E1596">
        <v>5400</v>
      </c>
      <c r="F1596" t="s">
        <v>32</v>
      </c>
      <c r="G1596" t="s">
        <v>24</v>
      </c>
      <c r="H1596" t="s">
        <v>16</v>
      </c>
      <c r="I1596" t="s">
        <v>17</v>
      </c>
      <c r="J1596" t="s">
        <v>44</v>
      </c>
      <c r="K1596">
        <v>0.1</v>
      </c>
    </row>
    <row r="1597" spans="1:11" x14ac:dyDescent="0.25">
      <c r="A1597" t="s">
        <v>1635</v>
      </c>
      <c r="B1597" s="1">
        <v>45474</v>
      </c>
      <c r="C1597" t="s">
        <v>12</v>
      </c>
      <c r="D1597" t="s">
        <v>13</v>
      </c>
      <c r="E1597">
        <v>1500</v>
      </c>
      <c r="F1597" t="s">
        <v>14</v>
      </c>
      <c r="G1597" t="s">
        <v>15</v>
      </c>
      <c r="H1597" t="s">
        <v>33</v>
      </c>
      <c r="I1597" t="s">
        <v>34</v>
      </c>
      <c r="J1597" t="s">
        <v>37</v>
      </c>
      <c r="K1597">
        <v>0</v>
      </c>
    </row>
    <row r="1598" spans="1:11" x14ac:dyDescent="0.25">
      <c r="A1598" t="s">
        <v>1636</v>
      </c>
      <c r="B1598" s="1">
        <v>45538</v>
      </c>
      <c r="C1598" t="s">
        <v>20</v>
      </c>
      <c r="D1598" t="s">
        <v>27</v>
      </c>
      <c r="E1598">
        <v>5400</v>
      </c>
      <c r="F1598" t="s">
        <v>49</v>
      </c>
      <c r="G1598" t="s">
        <v>24</v>
      </c>
      <c r="H1598" t="s">
        <v>33</v>
      </c>
      <c r="I1598" t="s">
        <v>34</v>
      </c>
      <c r="J1598" t="s">
        <v>25</v>
      </c>
      <c r="K1598">
        <v>0.1</v>
      </c>
    </row>
    <row r="1599" spans="1:11" x14ac:dyDescent="0.25">
      <c r="A1599" t="s">
        <v>1637</v>
      </c>
      <c r="B1599" s="1">
        <v>45248</v>
      </c>
      <c r="C1599" t="s">
        <v>12</v>
      </c>
      <c r="D1599" t="s">
        <v>27</v>
      </c>
      <c r="E1599">
        <v>16200</v>
      </c>
      <c r="F1599" t="s">
        <v>21</v>
      </c>
      <c r="G1599" t="s">
        <v>15</v>
      </c>
      <c r="H1599" t="s">
        <v>16</v>
      </c>
      <c r="I1599" t="s">
        <v>17</v>
      </c>
      <c r="J1599" t="s">
        <v>25</v>
      </c>
      <c r="K1599">
        <v>0.1</v>
      </c>
    </row>
    <row r="1600" spans="1:11" x14ac:dyDescent="0.25">
      <c r="A1600" t="s">
        <v>1638</v>
      </c>
      <c r="B1600" s="1">
        <v>45598</v>
      </c>
      <c r="C1600" t="s">
        <v>31</v>
      </c>
      <c r="D1600" t="s">
        <v>27</v>
      </c>
      <c r="E1600">
        <v>10800</v>
      </c>
      <c r="F1600" t="s">
        <v>21</v>
      </c>
      <c r="G1600" t="s">
        <v>15</v>
      </c>
      <c r="H1600" t="s">
        <v>16</v>
      </c>
      <c r="I1600" t="s">
        <v>17</v>
      </c>
      <c r="J1600" t="s">
        <v>18</v>
      </c>
      <c r="K1600">
        <v>0.1</v>
      </c>
    </row>
    <row r="1601" spans="1:11" x14ac:dyDescent="0.25">
      <c r="A1601" t="s">
        <v>1639</v>
      </c>
      <c r="B1601" s="1">
        <v>45141</v>
      </c>
      <c r="C1601" t="s">
        <v>12</v>
      </c>
      <c r="D1601" t="s">
        <v>27</v>
      </c>
      <c r="E1601">
        <v>16200</v>
      </c>
      <c r="F1601" t="s">
        <v>21</v>
      </c>
      <c r="G1601" t="s">
        <v>24</v>
      </c>
      <c r="H1601" t="s">
        <v>16</v>
      </c>
      <c r="I1601" t="s">
        <v>17</v>
      </c>
      <c r="J1601" t="s">
        <v>25</v>
      </c>
      <c r="K1601">
        <v>0.1</v>
      </c>
    </row>
    <row r="1602" spans="1:11" x14ac:dyDescent="0.25">
      <c r="A1602" t="s">
        <v>1640</v>
      </c>
      <c r="B1602" s="1">
        <v>45297</v>
      </c>
      <c r="C1602" t="s">
        <v>31</v>
      </c>
      <c r="D1602" t="s">
        <v>13</v>
      </c>
      <c r="E1602">
        <v>1000</v>
      </c>
      <c r="F1602" t="s">
        <v>49</v>
      </c>
      <c r="G1602" t="s">
        <v>28</v>
      </c>
      <c r="H1602" t="s">
        <v>33</v>
      </c>
      <c r="I1602" t="s">
        <v>34</v>
      </c>
      <c r="J1602" t="s">
        <v>22</v>
      </c>
      <c r="K1602">
        <v>0</v>
      </c>
    </row>
    <row r="1603" spans="1:11" x14ac:dyDescent="0.25">
      <c r="A1603" t="s">
        <v>1641</v>
      </c>
      <c r="B1603" s="1">
        <v>45308</v>
      </c>
      <c r="C1603" t="s">
        <v>20</v>
      </c>
      <c r="D1603" t="s">
        <v>27</v>
      </c>
      <c r="E1603">
        <v>5400</v>
      </c>
      <c r="F1603" t="s">
        <v>14</v>
      </c>
      <c r="G1603" t="s">
        <v>28</v>
      </c>
      <c r="H1603" t="s">
        <v>33</v>
      </c>
      <c r="I1603" t="s">
        <v>34</v>
      </c>
      <c r="J1603" t="s">
        <v>55</v>
      </c>
      <c r="K1603">
        <v>0.1</v>
      </c>
    </row>
    <row r="1604" spans="1:11" x14ac:dyDescent="0.25">
      <c r="A1604" t="s">
        <v>1642</v>
      </c>
      <c r="B1604" s="1">
        <v>45357</v>
      </c>
      <c r="C1604" t="s">
        <v>31</v>
      </c>
      <c r="D1604" t="s">
        <v>13</v>
      </c>
      <c r="E1604">
        <v>1000</v>
      </c>
      <c r="F1604" t="s">
        <v>32</v>
      </c>
      <c r="G1604" t="s">
        <v>28</v>
      </c>
      <c r="H1604" t="s">
        <v>16</v>
      </c>
      <c r="I1604" t="s">
        <v>17</v>
      </c>
      <c r="J1604" t="s">
        <v>44</v>
      </c>
      <c r="K1604">
        <v>0</v>
      </c>
    </row>
    <row r="1605" spans="1:11" x14ac:dyDescent="0.25">
      <c r="A1605" t="s">
        <v>1643</v>
      </c>
      <c r="B1605" s="1">
        <v>45101</v>
      </c>
      <c r="C1605" t="s">
        <v>20</v>
      </c>
      <c r="D1605" t="s">
        <v>27</v>
      </c>
      <c r="E1605">
        <v>5400</v>
      </c>
      <c r="F1605" t="s">
        <v>49</v>
      </c>
      <c r="G1605" t="s">
        <v>15</v>
      </c>
      <c r="H1605" t="s">
        <v>33</v>
      </c>
      <c r="I1605" t="s">
        <v>34</v>
      </c>
      <c r="J1605" t="s">
        <v>58</v>
      </c>
      <c r="K1605">
        <v>0.1</v>
      </c>
    </row>
    <row r="1606" spans="1:11" x14ac:dyDescent="0.25">
      <c r="A1606" t="s">
        <v>1644</v>
      </c>
      <c r="B1606" s="1">
        <v>45409</v>
      </c>
      <c r="C1606" t="s">
        <v>12</v>
      </c>
      <c r="D1606" t="s">
        <v>13</v>
      </c>
      <c r="E1606">
        <v>1500</v>
      </c>
      <c r="F1606" t="s">
        <v>32</v>
      </c>
      <c r="G1606" t="s">
        <v>15</v>
      </c>
      <c r="H1606" t="s">
        <v>16</v>
      </c>
      <c r="I1606" t="s">
        <v>17</v>
      </c>
      <c r="J1606" t="s">
        <v>35</v>
      </c>
      <c r="K1606">
        <v>0</v>
      </c>
    </row>
    <row r="1607" spans="1:11" x14ac:dyDescent="0.25">
      <c r="A1607" t="s">
        <v>1645</v>
      </c>
      <c r="B1607" s="1">
        <v>45347</v>
      </c>
      <c r="C1607" t="s">
        <v>31</v>
      </c>
      <c r="D1607" t="s">
        <v>27</v>
      </c>
      <c r="E1607">
        <v>10800</v>
      </c>
      <c r="F1607" t="s">
        <v>49</v>
      </c>
      <c r="G1607" t="s">
        <v>24</v>
      </c>
      <c r="H1607" t="s">
        <v>33</v>
      </c>
      <c r="I1607" t="s">
        <v>34</v>
      </c>
      <c r="J1607" t="s">
        <v>22</v>
      </c>
      <c r="K1607">
        <v>0.1</v>
      </c>
    </row>
    <row r="1608" spans="1:11" x14ac:dyDescent="0.25">
      <c r="A1608" t="s">
        <v>1646</v>
      </c>
      <c r="B1608" s="1">
        <v>44928</v>
      </c>
      <c r="C1608" t="s">
        <v>20</v>
      </c>
      <c r="D1608" t="s">
        <v>13</v>
      </c>
      <c r="E1608">
        <v>500</v>
      </c>
      <c r="F1608" t="s">
        <v>49</v>
      </c>
      <c r="G1608" t="s">
        <v>28</v>
      </c>
      <c r="H1608" t="s">
        <v>16</v>
      </c>
      <c r="I1608" t="s">
        <v>17</v>
      </c>
      <c r="J1608" t="s">
        <v>50</v>
      </c>
      <c r="K1608">
        <v>0</v>
      </c>
    </row>
    <row r="1609" spans="1:11" x14ac:dyDescent="0.25">
      <c r="A1609" t="s">
        <v>1647</v>
      </c>
      <c r="B1609" s="1">
        <v>45056</v>
      </c>
      <c r="C1609" t="s">
        <v>31</v>
      </c>
      <c r="D1609" t="s">
        <v>27</v>
      </c>
      <c r="E1609">
        <v>10800</v>
      </c>
      <c r="F1609" t="s">
        <v>49</v>
      </c>
      <c r="G1609" t="s">
        <v>24</v>
      </c>
      <c r="H1609" t="s">
        <v>16</v>
      </c>
      <c r="I1609" t="s">
        <v>17</v>
      </c>
      <c r="J1609" t="s">
        <v>50</v>
      </c>
      <c r="K1609">
        <v>0.1</v>
      </c>
    </row>
    <row r="1610" spans="1:11" x14ac:dyDescent="0.25">
      <c r="A1610" t="s">
        <v>1648</v>
      </c>
      <c r="B1610" s="1">
        <v>45464</v>
      </c>
      <c r="C1610" t="s">
        <v>12</v>
      </c>
      <c r="D1610" t="s">
        <v>27</v>
      </c>
      <c r="E1610">
        <v>16200</v>
      </c>
      <c r="F1610" t="s">
        <v>32</v>
      </c>
      <c r="G1610" t="s">
        <v>15</v>
      </c>
      <c r="H1610" t="s">
        <v>33</v>
      </c>
      <c r="I1610" t="s">
        <v>34</v>
      </c>
      <c r="J1610" t="s">
        <v>35</v>
      </c>
      <c r="K1610">
        <v>0.1</v>
      </c>
    </row>
    <row r="1611" spans="1:11" x14ac:dyDescent="0.25">
      <c r="A1611" t="s">
        <v>1649</v>
      </c>
      <c r="B1611" s="1">
        <v>45462</v>
      </c>
      <c r="C1611" t="s">
        <v>20</v>
      </c>
      <c r="D1611" t="s">
        <v>13</v>
      </c>
      <c r="E1611">
        <v>500</v>
      </c>
      <c r="F1611" t="s">
        <v>49</v>
      </c>
      <c r="G1611" t="s">
        <v>15</v>
      </c>
      <c r="H1611" t="s">
        <v>33</v>
      </c>
      <c r="I1611" t="s">
        <v>34</v>
      </c>
      <c r="J1611" t="s">
        <v>58</v>
      </c>
      <c r="K1611">
        <v>0</v>
      </c>
    </row>
    <row r="1612" spans="1:11" x14ac:dyDescent="0.25">
      <c r="A1612" t="s">
        <v>1650</v>
      </c>
      <c r="B1612" s="1">
        <v>45637</v>
      </c>
      <c r="C1612" t="s">
        <v>20</v>
      </c>
      <c r="D1612" t="s">
        <v>13</v>
      </c>
      <c r="E1612">
        <v>500</v>
      </c>
      <c r="F1612" t="s">
        <v>14</v>
      </c>
      <c r="G1612" t="s">
        <v>24</v>
      </c>
      <c r="H1612" t="s">
        <v>33</v>
      </c>
      <c r="I1612" t="s">
        <v>34</v>
      </c>
      <c r="J1612" t="s">
        <v>37</v>
      </c>
      <c r="K1612">
        <v>0</v>
      </c>
    </row>
    <row r="1613" spans="1:11" x14ac:dyDescent="0.25">
      <c r="A1613" t="s">
        <v>1651</v>
      </c>
      <c r="B1613" s="1">
        <v>45318</v>
      </c>
      <c r="C1613" t="s">
        <v>31</v>
      </c>
      <c r="D1613" t="s">
        <v>13</v>
      </c>
      <c r="E1613">
        <v>1000</v>
      </c>
      <c r="F1613" t="s">
        <v>14</v>
      </c>
      <c r="G1613" t="s">
        <v>15</v>
      </c>
      <c r="H1613" t="s">
        <v>33</v>
      </c>
      <c r="I1613" t="s">
        <v>34</v>
      </c>
      <c r="J1613" t="s">
        <v>37</v>
      </c>
      <c r="K1613">
        <v>0</v>
      </c>
    </row>
    <row r="1614" spans="1:11" x14ac:dyDescent="0.25">
      <c r="A1614" t="s">
        <v>1652</v>
      </c>
      <c r="B1614" s="1">
        <v>45390</v>
      </c>
      <c r="C1614" t="s">
        <v>31</v>
      </c>
      <c r="D1614" t="s">
        <v>13</v>
      </c>
      <c r="E1614">
        <v>1000</v>
      </c>
      <c r="F1614" t="s">
        <v>49</v>
      </c>
      <c r="G1614" t="s">
        <v>24</v>
      </c>
      <c r="H1614" t="s">
        <v>16</v>
      </c>
      <c r="I1614" t="s">
        <v>17</v>
      </c>
      <c r="J1614" t="s">
        <v>18</v>
      </c>
      <c r="K1614">
        <v>0</v>
      </c>
    </row>
    <row r="1615" spans="1:11" x14ac:dyDescent="0.25">
      <c r="A1615" t="s">
        <v>1653</v>
      </c>
      <c r="B1615" s="1">
        <v>45050</v>
      </c>
      <c r="C1615" t="s">
        <v>20</v>
      </c>
      <c r="D1615" t="s">
        <v>13</v>
      </c>
      <c r="E1615">
        <v>500</v>
      </c>
      <c r="F1615" t="s">
        <v>32</v>
      </c>
      <c r="G1615" t="s">
        <v>15</v>
      </c>
      <c r="H1615" t="s">
        <v>16</v>
      </c>
      <c r="I1615" t="s">
        <v>17</v>
      </c>
      <c r="J1615" t="s">
        <v>35</v>
      </c>
      <c r="K1615">
        <v>0</v>
      </c>
    </row>
    <row r="1616" spans="1:11" x14ac:dyDescent="0.25">
      <c r="A1616" t="s">
        <v>1654</v>
      </c>
      <c r="B1616" s="1">
        <v>44973</v>
      </c>
      <c r="C1616" t="s">
        <v>31</v>
      </c>
      <c r="D1616" t="s">
        <v>27</v>
      </c>
      <c r="E1616">
        <v>10800</v>
      </c>
      <c r="F1616" t="s">
        <v>21</v>
      </c>
      <c r="G1616" t="s">
        <v>15</v>
      </c>
      <c r="H1616" t="s">
        <v>33</v>
      </c>
      <c r="I1616" t="s">
        <v>34</v>
      </c>
      <c r="J1616" t="s">
        <v>29</v>
      </c>
      <c r="K1616">
        <v>0.1</v>
      </c>
    </row>
    <row r="1617" spans="1:11" x14ac:dyDescent="0.25">
      <c r="A1617" t="s">
        <v>1655</v>
      </c>
      <c r="B1617" s="1">
        <v>45480</v>
      </c>
      <c r="C1617" t="s">
        <v>20</v>
      </c>
      <c r="D1617" t="s">
        <v>13</v>
      </c>
      <c r="E1617">
        <v>500</v>
      </c>
      <c r="F1617" t="s">
        <v>21</v>
      </c>
      <c r="G1617" t="s">
        <v>28</v>
      </c>
      <c r="H1617" t="s">
        <v>16</v>
      </c>
      <c r="I1617" t="s">
        <v>17</v>
      </c>
      <c r="J1617" t="s">
        <v>18</v>
      </c>
      <c r="K1617">
        <v>0</v>
      </c>
    </row>
    <row r="1618" spans="1:11" x14ac:dyDescent="0.25">
      <c r="A1618" t="s">
        <v>1656</v>
      </c>
      <c r="B1618" s="1">
        <v>44978</v>
      </c>
      <c r="C1618" t="s">
        <v>20</v>
      </c>
      <c r="D1618" t="s">
        <v>13</v>
      </c>
      <c r="E1618">
        <v>500</v>
      </c>
      <c r="F1618" t="s">
        <v>14</v>
      </c>
      <c r="G1618" t="s">
        <v>28</v>
      </c>
      <c r="H1618" t="s">
        <v>16</v>
      </c>
      <c r="I1618" t="s">
        <v>17</v>
      </c>
      <c r="J1618" t="s">
        <v>18</v>
      </c>
      <c r="K1618">
        <v>0</v>
      </c>
    </row>
    <row r="1619" spans="1:11" x14ac:dyDescent="0.25">
      <c r="A1619" t="s">
        <v>1657</v>
      </c>
      <c r="B1619" s="1">
        <v>45523</v>
      </c>
      <c r="C1619" t="s">
        <v>12</v>
      </c>
      <c r="D1619" t="s">
        <v>27</v>
      </c>
      <c r="E1619">
        <v>16200</v>
      </c>
      <c r="F1619" t="s">
        <v>21</v>
      </c>
      <c r="G1619" t="s">
        <v>15</v>
      </c>
      <c r="H1619" t="s">
        <v>33</v>
      </c>
      <c r="I1619" t="s">
        <v>34</v>
      </c>
      <c r="J1619" t="s">
        <v>18</v>
      </c>
      <c r="K1619">
        <v>0.1</v>
      </c>
    </row>
    <row r="1620" spans="1:11" x14ac:dyDescent="0.25">
      <c r="A1620" t="s">
        <v>1658</v>
      </c>
      <c r="B1620" s="1">
        <v>45547</v>
      </c>
      <c r="C1620" t="s">
        <v>12</v>
      </c>
      <c r="D1620" t="s">
        <v>27</v>
      </c>
      <c r="E1620">
        <v>16200</v>
      </c>
      <c r="F1620" t="s">
        <v>49</v>
      </c>
      <c r="G1620" t="s">
        <v>24</v>
      </c>
      <c r="H1620" t="s">
        <v>16</v>
      </c>
      <c r="I1620" t="s">
        <v>17</v>
      </c>
      <c r="J1620" t="s">
        <v>50</v>
      </c>
      <c r="K1620">
        <v>0.1</v>
      </c>
    </row>
    <row r="1621" spans="1:11" x14ac:dyDescent="0.25">
      <c r="A1621" t="s">
        <v>1659</v>
      </c>
      <c r="B1621" s="1">
        <v>45424</v>
      </c>
      <c r="C1621" t="s">
        <v>12</v>
      </c>
      <c r="D1621" t="s">
        <v>27</v>
      </c>
      <c r="E1621">
        <v>16200</v>
      </c>
      <c r="F1621" t="s">
        <v>14</v>
      </c>
      <c r="G1621" t="s">
        <v>24</v>
      </c>
      <c r="H1621" t="s">
        <v>16</v>
      </c>
      <c r="I1621" t="s">
        <v>17</v>
      </c>
      <c r="J1621" t="s">
        <v>55</v>
      </c>
      <c r="K1621">
        <v>0.1</v>
      </c>
    </row>
    <row r="1622" spans="1:11" x14ac:dyDescent="0.25">
      <c r="A1622" t="s">
        <v>1660</v>
      </c>
      <c r="B1622" s="1">
        <v>44994</v>
      </c>
      <c r="C1622" t="s">
        <v>20</v>
      </c>
      <c r="D1622" t="s">
        <v>27</v>
      </c>
      <c r="E1622">
        <v>5400</v>
      </c>
      <c r="F1622" t="s">
        <v>14</v>
      </c>
      <c r="G1622" t="s">
        <v>24</v>
      </c>
      <c r="H1622" t="s">
        <v>33</v>
      </c>
      <c r="I1622" t="s">
        <v>34</v>
      </c>
      <c r="J1622" t="s">
        <v>22</v>
      </c>
      <c r="K1622">
        <v>0.1</v>
      </c>
    </row>
    <row r="1623" spans="1:11" x14ac:dyDescent="0.25">
      <c r="A1623" t="s">
        <v>1661</v>
      </c>
      <c r="B1623" s="1">
        <v>45520</v>
      </c>
      <c r="C1623" t="s">
        <v>12</v>
      </c>
      <c r="D1623" t="s">
        <v>13</v>
      </c>
      <c r="E1623">
        <v>1500</v>
      </c>
      <c r="F1623" t="s">
        <v>21</v>
      </c>
      <c r="G1623" t="s">
        <v>28</v>
      </c>
      <c r="H1623" t="s">
        <v>16</v>
      </c>
      <c r="I1623" t="s">
        <v>17</v>
      </c>
      <c r="J1623" t="s">
        <v>18</v>
      </c>
      <c r="K1623">
        <v>0</v>
      </c>
    </row>
    <row r="1624" spans="1:11" x14ac:dyDescent="0.25">
      <c r="A1624" t="s">
        <v>1662</v>
      </c>
      <c r="B1624" s="1">
        <v>45249</v>
      </c>
      <c r="C1624" t="s">
        <v>31</v>
      </c>
      <c r="D1624" t="s">
        <v>13</v>
      </c>
      <c r="E1624">
        <v>1000</v>
      </c>
      <c r="F1624" t="s">
        <v>49</v>
      </c>
      <c r="G1624" t="s">
        <v>24</v>
      </c>
      <c r="H1624" t="s">
        <v>33</v>
      </c>
      <c r="I1624" t="s">
        <v>34</v>
      </c>
      <c r="J1624" t="s">
        <v>25</v>
      </c>
      <c r="K1624">
        <v>0</v>
      </c>
    </row>
    <row r="1625" spans="1:11" x14ac:dyDescent="0.25">
      <c r="A1625" t="s">
        <v>1663</v>
      </c>
      <c r="B1625" s="1">
        <v>44975</v>
      </c>
      <c r="C1625" t="s">
        <v>20</v>
      </c>
      <c r="D1625" t="s">
        <v>13</v>
      </c>
      <c r="E1625">
        <v>500</v>
      </c>
      <c r="F1625" t="s">
        <v>21</v>
      </c>
      <c r="G1625" t="s">
        <v>15</v>
      </c>
      <c r="H1625" t="s">
        <v>16</v>
      </c>
      <c r="I1625" t="s">
        <v>17</v>
      </c>
      <c r="J1625" t="s">
        <v>18</v>
      </c>
      <c r="K1625">
        <v>0</v>
      </c>
    </row>
    <row r="1626" spans="1:11" x14ac:dyDescent="0.25">
      <c r="A1626" t="s">
        <v>1664</v>
      </c>
      <c r="B1626" s="1">
        <v>45201</v>
      </c>
      <c r="C1626" t="s">
        <v>20</v>
      </c>
      <c r="D1626" t="s">
        <v>13</v>
      </c>
      <c r="E1626">
        <v>500</v>
      </c>
      <c r="F1626" t="s">
        <v>32</v>
      </c>
      <c r="G1626" t="s">
        <v>28</v>
      </c>
      <c r="H1626" t="s">
        <v>16</v>
      </c>
      <c r="I1626" t="s">
        <v>17</v>
      </c>
      <c r="J1626" t="s">
        <v>39</v>
      </c>
      <c r="K1626">
        <v>0</v>
      </c>
    </row>
    <row r="1627" spans="1:11" x14ac:dyDescent="0.25">
      <c r="A1627" t="s">
        <v>1665</v>
      </c>
      <c r="B1627" s="1">
        <v>45069</v>
      </c>
      <c r="C1627" t="s">
        <v>20</v>
      </c>
      <c r="D1627" t="s">
        <v>13</v>
      </c>
      <c r="E1627">
        <v>500</v>
      </c>
      <c r="F1627" t="s">
        <v>14</v>
      </c>
      <c r="G1627" t="s">
        <v>15</v>
      </c>
      <c r="H1627" t="s">
        <v>33</v>
      </c>
      <c r="I1627" t="s">
        <v>34</v>
      </c>
      <c r="J1627" t="s">
        <v>55</v>
      </c>
      <c r="K1627">
        <v>0</v>
      </c>
    </row>
    <row r="1628" spans="1:11" x14ac:dyDescent="0.25">
      <c r="A1628" t="s">
        <v>1666</v>
      </c>
      <c r="B1628" s="1">
        <v>45610</v>
      </c>
      <c r="C1628" t="s">
        <v>20</v>
      </c>
      <c r="D1628" t="s">
        <v>27</v>
      </c>
      <c r="E1628">
        <v>5400</v>
      </c>
      <c r="F1628" t="s">
        <v>21</v>
      </c>
      <c r="G1628" t="s">
        <v>15</v>
      </c>
      <c r="H1628" t="s">
        <v>16</v>
      </c>
      <c r="I1628" t="s">
        <v>17</v>
      </c>
      <c r="J1628" t="s">
        <v>22</v>
      </c>
      <c r="K1628">
        <v>0.1</v>
      </c>
    </row>
    <row r="1629" spans="1:11" x14ac:dyDescent="0.25">
      <c r="A1629" t="s">
        <v>1667</v>
      </c>
      <c r="B1629" s="1">
        <v>45457</v>
      </c>
      <c r="C1629" t="s">
        <v>20</v>
      </c>
      <c r="D1629" t="s">
        <v>27</v>
      </c>
      <c r="E1629">
        <v>5400</v>
      </c>
      <c r="F1629" t="s">
        <v>21</v>
      </c>
      <c r="G1629" t="s">
        <v>28</v>
      </c>
      <c r="H1629" t="s">
        <v>16</v>
      </c>
      <c r="I1629" t="s">
        <v>17</v>
      </c>
      <c r="J1629" t="s">
        <v>25</v>
      </c>
      <c r="K1629">
        <v>0.1</v>
      </c>
    </row>
    <row r="1630" spans="1:11" x14ac:dyDescent="0.25">
      <c r="A1630" t="s">
        <v>1668</v>
      </c>
      <c r="B1630" s="1">
        <v>45164</v>
      </c>
      <c r="C1630" t="s">
        <v>12</v>
      </c>
      <c r="D1630" t="s">
        <v>27</v>
      </c>
      <c r="E1630">
        <v>16200</v>
      </c>
      <c r="F1630" t="s">
        <v>32</v>
      </c>
      <c r="G1630" t="s">
        <v>24</v>
      </c>
      <c r="H1630" t="s">
        <v>33</v>
      </c>
      <c r="I1630" t="s">
        <v>34</v>
      </c>
      <c r="J1630" t="s">
        <v>66</v>
      </c>
      <c r="K1630">
        <v>0.1</v>
      </c>
    </row>
    <row r="1631" spans="1:11" x14ac:dyDescent="0.25">
      <c r="A1631" t="s">
        <v>1669</v>
      </c>
      <c r="B1631" s="1">
        <v>45240</v>
      </c>
      <c r="C1631" t="s">
        <v>31</v>
      </c>
      <c r="D1631" t="s">
        <v>27</v>
      </c>
      <c r="E1631">
        <v>10800</v>
      </c>
      <c r="F1631" t="s">
        <v>49</v>
      </c>
      <c r="G1631" t="s">
        <v>28</v>
      </c>
      <c r="H1631" t="s">
        <v>33</v>
      </c>
      <c r="I1631" t="s">
        <v>34</v>
      </c>
      <c r="J1631" t="s">
        <v>25</v>
      </c>
      <c r="K1631">
        <v>0.1</v>
      </c>
    </row>
    <row r="1632" spans="1:11" x14ac:dyDescent="0.25">
      <c r="A1632" t="s">
        <v>1670</v>
      </c>
      <c r="B1632" s="1">
        <v>45145</v>
      </c>
      <c r="C1632" t="s">
        <v>31</v>
      </c>
      <c r="D1632" t="s">
        <v>13</v>
      </c>
      <c r="E1632">
        <v>1000</v>
      </c>
      <c r="F1632" t="s">
        <v>49</v>
      </c>
      <c r="G1632" t="s">
        <v>24</v>
      </c>
      <c r="H1632" t="s">
        <v>33</v>
      </c>
      <c r="I1632" t="s">
        <v>34</v>
      </c>
      <c r="J1632" t="s">
        <v>18</v>
      </c>
      <c r="K1632">
        <v>0</v>
      </c>
    </row>
    <row r="1633" spans="1:11" x14ac:dyDescent="0.25">
      <c r="A1633" t="s">
        <v>1671</v>
      </c>
      <c r="B1633" s="1">
        <v>45603</v>
      </c>
      <c r="C1633" t="s">
        <v>20</v>
      </c>
      <c r="D1633" t="s">
        <v>13</v>
      </c>
      <c r="E1633">
        <v>500</v>
      </c>
      <c r="F1633" t="s">
        <v>14</v>
      </c>
      <c r="G1633" t="s">
        <v>28</v>
      </c>
      <c r="H1633" t="s">
        <v>33</v>
      </c>
      <c r="I1633" t="s">
        <v>34</v>
      </c>
      <c r="J1633" t="s">
        <v>37</v>
      </c>
      <c r="K1633">
        <v>0</v>
      </c>
    </row>
    <row r="1634" spans="1:11" x14ac:dyDescent="0.25">
      <c r="A1634" t="s">
        <v>1672</v>
      </c>
      <c r="B1634" s="1">
        <v>45224</v>
      </c>
      <c r="C1634" t="s">
        <v>12</v>
      </c>
      <c r="D1634" t="s">
        <v>27</v>
      </c>
      <c r="E1634">
        <v>16200</v>
      </c>
      <c r="F1634" t="s">
        <v>32</v>
      </c>
      <c r="G1634" t="s">
        <v>28</v>
      </c>
      <c r="H1634" t="s">
        <v>16</v>
      </c>
      <c r="I1634" t="s">
        <v>17</v>
      </c>
      <c r="J1634" t="s">
        <v>66</v>
      </c>
      <c r="K1634">
        <v>0.1</v>
      </c>
    </row>
    <row r="1635" spans="1:11" x14ac:dyDescent="0.25">
      <c r="A1635" t="s">
        <v>1673</v>
      </c>
      <c r="B1635" s="1">
        <v>45177</v>
      </c>
      <c r="C1635" t="s">
        <v>20</v>
      </c>
      <c r="D1635" t="s">
        <v>27</v>
      </c>
      <c r="E1635">
        <v>5400</v>
      </c>
      <c r="F1635" t="s">
        <v>21</v>
      </c>
      <c r="G1635" t="s">
        <v>24</v>
      </c>
      <c r="H1635" t="s">
        <v>16</v>
      </c>
      <c r="I1635" t="s">
        <v>17</v>
      </c>
      <c r="J1635" t="s">
        <v>29</v>
      </c>
      <c r="K1635">
        <v>0.1</v>
      </c>
    </row>
    <row r="1636" spans="1:11" x14ac:dyDescent="0.25">
      <c r="A1636" t="s">
        <v>1674</v>
      </c>
      <c r="B1636" s="1">
        <v>45294</v>
      </c>
      <c r="C1636" t="s">
        <v>31</v>
      </c>
      <c r="D1636" t="s">
        <v>27</v>
      </c>
      <c r="E1636">
        <v>10800</v>
      </c>
      <c r="F1636" t="s">
        <v>32</v>
      </c>
      <c r="G1636" t="s">
        <v>24</v>
      </c>
      <c r="H1636" t="s">
        <v>33</v>
      </c>
      <c r="I1636" t="s">
        <v>34</v>
      </c>
      <c r="J1636" t="s">
        <v>39</v>
      </c>
      <c r="K1636">
        <v>0.1</v>
      </c>
    </row>
    <row r="1637" spans="1:11" x14ac:dyDescent="0.25">
      <c r="A1637" t="s">
        <v>1675</v>
      </c>
      <c r="B1637" s="1">
        <v>44932</v>
      </c>
      <c r="C1637" t="s">
        <v>20</v>
      </c>
      <c r="D1637" t="s">
        <v>27</v>
      </c>
      <c r="E1637">
        <v>5400</v>
      </c>
      <c r="F1637" t="s">
        <v>14</v>
      </c>
      <c r="G1637" t="s">
        <v>15</v>
      </c>
      <c r="H1637" t="s">
        <v>16</v>
      </c>
      <c r="I1637" t="s">
        <v>17</v>
      </c>
      <c r="J1637" t="s">
        <v>41</v>
      </c>
      <c r="K1637">
        <v>0.1</v>
      </c>
    </row>
    <row r="1638" spans="1:11" x14ac:dyDescent="0.25">
      <c r="A1638" t="s">
        <v>1676</v>
      </c>
      <c r="B1638" s="1">
        <v>45471</v>
      </c>
      <c r="C1638" t="s">
        <v>20</v>
      </c>
      <c r="D1638" t="s">
        <v>27</v>
      </c>
      <c r="E1638">
        <v>5400</v>
      </c>
      <c r="F1638" t="s">
        <v>49</v>
      </c>
      <c r="G1638" t="s">
        <v>24</v>
      </c>
      <c r="H1638" t="s">
        <v>16</v>
      </c>
      <c r="I1638" t="s">
        <v>17</v>
      </c>
      <c r="J1638" t="s">
        <v>50</v>
      </c>
      <c r="K1638">
        <v>0.1</v>
      </c>
    </row>
    <row r="1639" spans="1:11" x14ac:dyDescent="0.25">
      <c r="A1639" t="s">
        <v>1677</v>
      </c>
      <c r="B1639" s="1">
        <v>45288</v>
      </c>
      <c r="C1639" t="s">
        <v>31</v>
      </c>
      <c r="D1639" t="s">
        <v>13</v>
      </c>
      <c r="E1639">
        <v>1000</v>
      </c>
      <c r="F1639" t="s">
        <v>14</v>
      </c>
      <c r="G1639" t="s">
        <v>15</v>
      </c>
      <c r="H1639" t="s">
        <v>16</v>
      </c>
      <c r="I1639" t="s">
        <v>17</v>
      </c>
      <c r="J1639" t="s">
        <v>18</v>
      </c>
      <c r="K1639">
        <v>0</v>
      </c>
    </row>
    <row r="1640" spans="1:11" x14ac:dyDescent="0.25">
      <c r="A1640" t="s">
        <v>1678</v>
      </c>
      <c r="B1640" s="1">
        <v>45402</v>
      </c>
      <c r="C1640" t="s">
        <v>31</v>
      </c>
      <c r="D1640" t="s">
        <v>13</v>
      </c>
      <c r="E1640">
        <v>1000</v>
      </c>
      <c r="F1640" t="s">
        <v>14</v>
      </c>
      <c r="G1640" t="s">
        <v>28</v>
      </c>
      <c r="H1640" t="s">
        <v>33</v>
      </c>
      <c r="I1640" t="s">
        <v>34</v>
      </c>
      <c r="J1640" t="s">
        <v>41</v>
      </c>
      <c r="K1640">
        <v>0</v>
      </c>
    </row>
    <row r="1641" spans="1:11" x14ac:dyDescent="0.25">
      <c r="A1641" t="s">
        <v>1679</v>
      </c>
      <c r="B1641" s="1">
        <v>45289</v>
      </c>
      <c r="C1641" t="s">
        <v>20</v>
      </c>
      <c r="D1641" t="s">
        <v>13</v>
      </c>
      <c r="E1641">
        <v>500</v>
      </c>
      <c r="F1641" t="s">
        <v>14</v>
      </c>
      <c r="G1641" t="s">
        <v>24</v>
      </c>
      <c r="H1641" t="s">
        <v>33</v>
      </c>
      <c r="I1641" t="s">
        <v>34</v>
      </c>
      <c r="J1641" t="s">
        <v>22</v>
      </c>
      <c r="K1641">
        <v>0</v>
      </c>
    </row>
    <row r="1642" spans="1:11" x14ac:dyDescent="0.25">
      <c r="A1642" t="s">
        <v>1680</v>
      </c>
      <c r="B1642" s="1">
        <v>45012</v>
      </c>
      <c r="C1642" t="s">
        <v>12</v>
      </c>
      <c r="D1642" t="s">
        <v>13</v>
      </c>
      <c r="E1642">
        <v>1500</v>
      </c>
      <c r="F1642" t="s">
        <v>32</v>
      </c>
      <c r="G1642" t="s">
        <v>28</v>
      </c>
      <c r="H1642" t="s">
        <v>16</v>
      </c>
      <c r="I1642" t="s">
        <v>17</v>
      </c>
      <c r="J1642" t="s">
        <v>25</v>
      </c>
      <c r="K1642">
        <v>0</v>
      </c>
    </row>
    <row r="1643" spans="1:11" x14ac:dyDescent="0.25">
      <c r="A1643" t="s">
        <v>1681</v>
      </c>
      <c r="B1643" s="1">
        <v>45283</v>
      </c>
      <c r="C1643" t="s">
        <v>31</v>
      </c>
      <c r="D1643" t="s">
        <v>27</v>
      </c>
      <c r="E1643">
        <v>10800</v>
      </c>
      <c r="F1643" t="s">
        <v>21</v>
      </c>
      <c r="G1643" t="s">
        <v>28</v>
      </c>
      <c r="H1643" t="s">
        <v>33</v>
      </c>
      <c r="I1643" t="s">
        <v>34</v>
      </c>
      <c r="J1643" t="s">
        <v>18</v>
      </c>
      <c r="K1643">
        <v>0.1</v>
      </c>
    </row>
    <row r="1644" spans="1:11" x14ac:dyDescent="0.25">
      <c r="A1644" t="s">
        <v>1682</v>
      </c>
      <c r="B1644" s="1">
        <v>45091</v>
      </c>
      <c r="C1644" t="s">
        <v>20</v>
      </c>
      <c r="D1644" t="s">
        <v>27</v>
      </c>
      <c r="E1644">
        <v>5400</v>
      </c>
      <c r="F1644" t="s">
        <v>32</v>
      </c>
      <c r="G1644" t="s">
        <v>24</v>
      </c>
      <c r="H1644" t="s">
        <v>16</v>
      </c>
      <c r="I1644" t="s">
        <v>17</v>
      </c>
      <c r="J1644" t="s">
        <v>66</v>
      </c>
      <c r="K1644">
        <v>0.1</v>
      </c>
    </row>
    <row r="1645" spans="1:11" x14ac:dyDescent="0.25">
      <c r="A1645" t="s">
        <v>1683</v>
      </c>
      <c r="B1645" s="1">
        <v>44997</v>
      </c>
      <c r="C1645" t="s">
        <v>31</v>
      </c>
      <c r="D1645" t="s">
        <v>13</v>
      </c>
      <c r="E1645">
        <v>1000</v>
      </c>
      <c r="F1645" t="s">
        <v>49</v>
      </c>
      <c r="G1645" t="s">
        <v>15</v>
      </c>
      <c r="H1645" t="s">
        <v>33</v>
      </c>
      <c r="I1645" t="s">
        <v>34</v>
      </c>
      <c r="J1645" t="s">
        <v>22</v>
      </c>
      <c r="K1645">
        <v>0</v>
      </c>
    </row>
    <row r="1646" spans="1:11" x14ac:dyDescent="0.25">
      <c r="A1646" t="s">
        <v>1684</v>
      </c>
      <c r="B1646" s="1">
        <v>45553</v>
      </c>
      <c r="C1646" t="s">
        <v>31</v>
      </c>
      <c r="D1646" t="s">
        <v>13</v>
      </c>
      <c r="E1646">
        <v>1000</v>
      </c>
      <c r="F1646" t="s">
        <v>14</v>
      </c>
      <c r="G1646" t="s">
        <v>28</v>
      </c>
      <c r="H1646" t="s">
        <v>33</v>
      </c>
      <c r="I1646" t="s">
        <v>34</v>
      </c>
      <c r="J1646" t="s">
        <v>37</v>
      </c>
      <c r="K1646">
        <v>0</v>
      </c>
    </row>
    <row r="1647" spans="1:11" x14ac:dyDescent="0.25">
      <c r="A1647" t="s">
        <v>1685</v>
      </c>
      <c r="B1647" s="1">
        <v>45384</v>
      </c>
      <c r="C1647" t="s">
        <v>12</v>
      </c>
      <c r="D1647" t="s">
        <v>13</v>
      </c>
      <c r="E1647">
        <v>1500</v>
      </c>
      <c r="F1647" t="s">
        <v>21</v>
      </c>
      <c r="G1647" t="s">
        <v>24</v>
      </c>
      <c r="H1647" t="s">
        <v>16</v>
      </c>
      <c r="I1647" t="s">
        <v>17</v>
      </c>
      <c r="J1647" t="s">
        <v>18</v>
      </c>
      <c r="K1647">
        <v>0</v>
      </c>
    </row>
    <row r="1648" spans="1:11" x14ac:dyDescent="0.25">
      <c r="A1648" t="s">
        <v>1686</v>
      </c>
      <c r="B1648" s="1">
        <v>45079</v>
      </c>
      <c r="C1648" t="s">
        <v>20</v>
      </c>
      <c r="D1648" t="s">
        <v>27</v>
      </c>
      <c r="E1648">
        <v>5400</v>
      </c>
      <c r="F1648" t="s">
        <v>14</v>
      </c>
      <c r="G1648" t="s">
        <v>15</v>
      </c>
      <c r="H1648" t="s">
        <v>16</v>
      </c>
      <c r="I1648" t="s">
        <v>17</v>
      </c>
      <c r="J1648" t="s">
        <v>22</v>
      </c>
      <c r="K1648">
        <v>0.1</v>
      </c>
    </row>
    <row r="1649" spans="1:11" x14ac:dyDescent="0.25">
      <c r="A1649" t="s">
        <v>1687</v>
      </c>
      <c r="B1649" s="1">
        <v>45195</v>
      </c>
      <c r="C1649" t="s">
        <v>31</v>
      </c>
      <c r="D1649" t="s">
        <v>27</v>
      </c>
      <c r="E1649">
        <v>10800</v>
      </c>
      <c r="F1649" t="s">
        <v>21</v>
      </c>
      <c r="G1649" t="s">
        <v>15</v>
      </c>
      <c r="H1649" t="s">
        <v>33</v>
      </c>
      <c r="I1649" t="s">
        <v>34</v>
      </c>
      <c r="J1649" t="s">
        <v>29</v>
      </c>
      <c r="K1649">
        <v>0.1</v>
      </c>
    </row>
    <row r="1650" spans="1:11" x14ac:dyDescent="0.25">
      <c r="A1650" t="s">
        <v>1688</v>
      </c>
      <c r="B1650" s="1">
        <v>45581</v>
      </c>
      <c r="C1650" t="s">
        <v>31</v>
      </c>
      <c r="D1650" t="s">
        <v>13</v>
      </c>
      <c r="E1650">
        <v>1000</v>
      </c>
      <c r="F1650" t="s">
        <v>14</v>
      </c>
      <c r="G1650" t="s">
        <v>24</v>
      </c>
      <c r="H1650" t="s">
        <v>33</v>
      </c>
      <c r="I1650" t="s">
        <v>34</v>
      </c>
      <c r="J1650" t="s">
        <v>41</v>
      </c>
      <c r="K1650">
        <v>0</v>
      </c>
    </row>
    <row r="1651" spans="1:11" x14ac:dyDescent="0.25">
      <c r="A1651" t="s">
        <v>1689</v>
      </c>
      <c r="B1651" s="1">
        <v>45172</v>
      </c>
      <c r="C1651" t="s">
        <v>12</v>
      </c>
      <c r="D1651" t="s">
        <v>13</v>
      </c>
      <c r="E1651">
        <v>1500</v>
      </c>
      <c r="F1651" t="s">
        <v>49</v>
      </c>
      <c r="G1651" t="s">
        <v>24</v>
      </c>
      <c r="H1651" t="s">
        <v>33</v>
      </c>
      <c r="I1651" t="s">
        <v>34</v>
      </c>
      <c r="J1651" t="s">
        <v>35</v>
      </c>
      <c r="K1651">
        <v>0</v>
      </c>
    </row>
    <row r="1652" spans="1:11" x14ac:dyDescent="0.25">
      <c r="A1652" t="s">
        <v>1690</v>
      </c>
      <c r="B1652" s="1">
        <v>45481</v>
      </c>
      <c r="C1652" t="s">
        <v>12</v>
      </c>
      <c r="D1652" t="s">
        <v>13</v>
      </c>
      <c r="E1652">
        <v>1500</v>
      </c>
      <c r="F1652" t="s">
        <v>21</v>
      </c>
      <c r="G1652" t="s">
        <v>28</v>
      </c>
      <c r="H1652" t="s">
        <v>33</v>
      </c>
      <c r="I1652" t="s">
        <v>34</v>
      </c>
      <c r="J1652" t="s">
        <v>22</v>
      </c>
      <c r="K1652">
        <v>0</v>
      </c>
    </row>
    <row r="1653" spans="1:11" x14ac:dyDescent="0.25">
      <c r="A1653" t="s">
        <v>1691</v>
      </c>
      <c r="B1653" s="1">
        <v>45059</v>
      </c>
      <c r="C1653" t="s">
        <v>31</v>
      </c>
      <c r="D1653" t="s">
        <v>27</v>
      </c>
      <c r="E1653">
        <v>10800</v>
      </c>
      <c r="F1653" t="s">
        <v>32</v>
      </c>
      <c r="G1653" t="s">
        <v>15</v>
      </c>
      <c r="H1653" t="s">
        <v>16</v>
      </c>
      <c r="I1653" t="s">
        <v>17</v>
      </c>
      <c r="J1653" t="s">
        <v>25</v>
      </c>
      <c r="K1653">
        <v>0.1</v>
      </c>
    </row>
    <row r="1654" spans="1:11" x14ac:dyDescent="0.25">
      <c r="A1654" t="s">
        <v>1692</v>
      </c>
      <c r="B1654" s="1">
        <v>45384</v>
      </c>
      <c r="C1654" t="s">
        <v>12</v>
      </c>
      <c r="D1654" t="s">
        <v>13</v>
      </c>
      <c r="E1654">
        <v>1500</v>
      </c>
      <c r="F1654" t="s">
        <v>32</v>
      </c>
      <c r="G1654" t="s">
        <v>15</v>
      </c>
      <c r="H1654" t="s">
        <v>33</v>
      </c>
      <c r="I1654" t="s">
        <v>34</v>
      </c>
      <c r="J1654" t="s">
        <v>25</v>
      </c>
      <c r="K1654">
        <v>0</v>
      </c>
    </row>
    <row r="1655" spans="1:11" x14ac:dyDescent="0.25">
      <c r="A1655" t="s">
        <v>1693</v>
      </c>
      <c r="B1655" s="1">
        <v>45129</v>
      </c>
      <c r="C1655" t="s">
        <v>20</v>
      </c>
      <c r="D1655" t="s">
        <v>27</v>
      </c>
      <c r="E1655">
        <v>5400</v>
      </c>
      <c r="F1655" t="s">
        <v>49</v>
      </c>
      <c r="G1655" t="s">
        <v>15</v>
      </c>
      <c r="H1655" t="s">
        <v>33</v>
      </c>
      <c r="I1655" t="s">
        <v>34</v>
      </c>
      <c r="J1655" t="s">
        <v>22</v>
      </c>
      <c r="K1655">
        <v>0.1</v>
      </c>
    </row>
    <row r="1656" spans="1:11" x14ac:dyDescent="0.25">
      <c r="A1656" t="s">
        <v>1694</v>
      </c>
      <c r="B1656" s="1">
        <v>45134</v>
      </c>
      <c r="C1656" t="s">
        <v>31</v>
      </c>
      <c r="D1656" t="s">
        <v>13</v>
      </c>
      <c r="E1656">
        <v>1000</v>
      </c>
      <c r="F1656" t="s">
        <v>21</v>
      </c>
      <c r="G1656" t="s">
        <v>28</v>
      </c>
      <c r="H1656" t="s">
        <v>16</v>
      </c>
      <c r="I1656" t="s">
        <v>17</v>
      </c>
      <c r="J1656" t="s">
        <v>18</v>
      </c>
      <c r="K1656">
        <v>0</v>
      </c>
    </row>
    <row r="1657" spans="1:11" x14ac:dyDescent="0.25">
      <c r="A1657" t="s">
        <v>1695</v>
      </c>
      <c r="B1657" s="1">
        <v>45018</v>
      </c>
      <c r="C1657" t="s">
        <v>12</v>
      </c>
      <c r="D1657" t="s">
        <v>13</v>
      </c>
      <c r="E1657">
        <v>1500</v>
      </c>
      <c r="F1657" t="s">
        <v>49</v>
      </c>
      <c r="G1657" t="s">
        <v>24</v>
      </c>
      <c r="H1657" t="s">
        <v>33</v>
      </c>
      <c r="I1657" t="s">
        <v>34</v>
      </c>
      <c r="J1657" t="s">
        <v>25</v>
      </c>
      <c r="K1657">
        <v>0</v>
      </c>
    </row>
    <row r="1658" spans="1:11" x14ac:dyDescent="0.25">
      <c r="A1658" t="s">
        <v>1696</v>
      </c>
      <c r="B1658" s="1">
        <v>45264</v>
      </c>
      <c r="C1658" t="s">
        <v>12</v>
      </c>
      <c r="D1658" t="s">
        <v>27</v>
      </c>
      <c r="E1658">
        <v>16200</v>
      </c>
      <c r="F1658" t="s">
        <v>14</v>
      </c>
      <c r="G1658" t="s">
        <v>28</v>
      </c>
      <c r="H1658" t="s">
        <v>16</v>
      </c>
      <c r="I1658" t="s">
        <v>17</v>
      </c>
      <c r="J1658" t="s">
        <v>55</v>
      </c>
      <c r="K1658">
        <v>0.1</v>
      </c>
    </row>
    <row r="1659" spans="1:11" x14ac:dyDescent="0.25">
      <c r="A1659" t="s">
        <v>1697</v>
      </c>
      <c r="B1659" s="1">
        <v>45378</v>
      </c>
      <c r="C1659" t="s">
        <v>12</v>
      </c>
      <c r="D1659" t="s">
        <v>27</v>
      </c>
      <c r="E1659">
        <v>16200</v>
      </c>
      <c r="F1659" t="s">
        <v>32</v>
      </c>
      <c r="G1659" t="s">
        <v>28</v>
      </c>
      <c r="H1659" t="s">
        <v>33</v>
      </c>
      <c r="I1659" t="s">
        <v>34</v>
      </c>
      <c r="J1659" t="s">
        <v>66</v>
      </c>
      <c r="K1659">
        <v>0.1</v>
      </c>
    </row>
    <row r="1660" spans="1:11" x14ac:dyDescent="0.25">
      <c r="A1660" t="s">
        <v>1698</v>
      </c>
      <c r="B1660" s="1">
        <v>45172</v>
      </c>
      <c r="C1660" t="s">
        <v>12</v>
      </c>
      <c r="D1660" t="s">
        <v>27</v>
      </c>
      <c r="E1660">
        <v>16200</v>
      </c>
      <c r="F1660" t="s">
        <v>21</v>
      </c>
      <c r="G1660" t="s">
        <v>15</v>
      </c>
      <c r="H1660" t="s">
        <v>16</v>
      </c>
      <c r="I1660" t="s">
        <v>17</v>
      </c>
      <c r="J1660" t="s">
        <v>18</v>
      </c>
      <c r="K1660">
        <v>0.1</v>
      </c>
    </row>
    <row r="1661" spans="1:11" x14ac:dyDescent="0.25">
      <c r="A1661" t="s">
        <v>1699</v>
      </c>
      <c r="B1661" s="1">
        <v>44961</v>
      </c>
      <c r="C1661" t="s">
        <v>31</v>
      </c>
      <c r="D1661" t="s">
        <v>13</v>
      </c>
      <c r="E1661">
        <v>1000</v>
      </c>
      <c r="F1661" t="s">
        <v>32</v>
      </c>
      <c r="G1661" t="s">
        <v>28</v>
      </c>
      <c r="H1661" t="s">
        <v>33</v>
      </c>
      <c r="I1661" t="s">
        <v>34</v>
      </c>
      <c r="J1661" t="s">
        <v>25</v>
      </c>
      <c r="K1661">
        <v>0</v>
      </c>
    </row>
    <row r="1662" spans="1:11" x14ac:dyDescent="0.25">
      <c r="A1662" t="s">
        <v>1700</v>
      </c>
      <c r="B1662" s="1">
        <v>45327</v>
      </c>
      <c r="C1662" t="s">
        <v>12</v>
      </c>
      <c r="D1662" t="s">
        <v>27</v>
      </c>
      <c r="E1662">
        <v>16200</v>
      </c>
      <c r="F1662" t="s">
        <v>49</v>
      </c>
      <c r="G1662" t="s">
        <v>24</v>
      </c>
      <c r="H1662" t="s">
        <v>33</v>
      </c>
      <c r="I1662" t="s">
        <v>34</v>
      </c>
      <c r="J1662" t="s">
        <v>50</v>
      </c>
      <c r="K1662">
        <v>0.1</v>
      </c>
    </row>
    <row r="1663" spans="1:11" x14ac:dyDescent="0.25">
      <c r="A1663" t="s">
        <v>1701</v>
      </c>
      <c r="B1663" s="1">
        <v>45648</v>
      </c>
      <c r="C1663" t="s">
        <v>31</v>
      </c>
      <c r="D1663" t="s">
        <v>13</v>
      </c>
      <c r="E1663">
        <v>1000</v>
      </c>
      <c r="F1663" t="s">
        <v>32</v>
      </c>
      <c r="G1663" t="s">
        <v>24</v>
      </c>
      <c r="H1663" t="s">
        <v>33</v>
      </c>
      <c r="I1663" t="s">
        <v>34</v>
      </c>
      <c r="J1663" t="s">
        <v>39</v>
      </c>
      <c r="K1663">
        <v>0</v>
      </c>
    </row>
    <row r="1664" spans="1:11" x14ac:dyDescent="0.25">
      <c r="A1664" t="s">
        <v>1702</v>
      </c>
      <c r="B1664" s="1">
        <v>45274</v>
      </c>
      <c r="C1664" t="s">
        <v>31</v>
      </c>
      <c r="D1664" t="s">
        <v>13</v>
      </c>
      <c r="E1664">
        <v>1000</v>
      </c>
      <c r="F1664" t="s">
        <v>14</v>
      </c>
      <c r="G1664" t="s">
        <v>24</v>
      </c>
      <c r="H1664" t="s">
        <v>16</v>
      </c>
      <c r="I1664" t="s">
        <v>17</v>
      </c>
      <c r="J1664" t="s">
        <v>37</v>
      </c>
      <c r="K1664">
        <v>0</v>
      </c>
    </row>
    <row r="1665" spans="1:11" x14ac:dyDescent="0.25">
      <c r="A1665" t="s">
        <v>1703</v>
      </c>
      <c r="B1665" s="1">
        <v>45541</v>
      </c>
      <c r="C1665" t="s">
        <v>20</v>
      </c>
      <c r="D1665" t="s">
        <v>13</v>
      </c>
      <c r="E1665">
        <v>500</v>
      </c>
      <c r="F1665" t="s">
        <v>14</v>
      </c>
      <c r="G1665" t="s">
        <v>24</v>
      </c>
      <c r="H1665" t="s">
        <v>16</v>
      </c>
      <c r="I1665" t="s">
        <v>17</v>
      </c>
      <c r="J1665" t="s">
        <v>41</v>
      </c>
      <c r="K1665">
        <v>0</v>
      </c>
    </row>
    <row r="1666" spans="1:11" x14ac:dyDescent="0.25">
      <c r="A1666" t="s">
        <v>1704</v>
      </c>
      <c r="B1666" s="1">
        <v>45071</v>
      </c>
      <c r="C1666" t="s">
        <v>31</v>
      </c>
      <c r="D1666" t="s">
        <v>27</v>
      </c>
      <c r="E1666">
        <v>10800</v>
      </c>
      <c r="F1666" t="s">
        <v>21</v>
      </c>
      <c r="G1666" t="s">
        <v>15</v>
      </c>
      <c r="H1666" t="s">
        <v>33</v>
      </c>
      <c r="I1666" t="s">
        <v>34</v>
      </c>
      <c r="J1666" t="s">
        <v>18</v>
      </c>
      <c r="K1666">
        <v>0.1</v>
      </c>
    </row>
    <row r="1667" spans="1:11" x14ac:dyDescent="0.25">
      <c r="A1667" t="s">
        <v>1705</v>
      </c>
      <c r="B1667" s="1">
        <v>45465</v>
      </c>
      <c r="C1667" t="s">
        <v>31</v>
      </c>
      <c r="D1667" t="s">
        <v>27</v>
      </c>
      <c r="E1667">
        <v>10800</v>
      </c>
      <c r="F1667" t="s">
        <v>49</v>
      </c>
      <c r="G1667" t="s">
        <v>15</v>
      </c>
      <c r="H1667" t="s">
        <v>16</v>
      </c>
      <c r="I1667" t="s">
        <v>17</v>
      </c>
      <c r="J1667" t="s">
        <v>22</v>
      </c>
      <c r="K1667">
        <v>0.1</v>
      </c>
    </row>
    <row r="1668" spans="1:11" x14ac:dyDescent="0.25">
      <c r="A1668" t="s">
        <v>1706</v>
      </c>
      <c r="B1668" s="1">
        <v>45327</v>
      </c>
      <c r="C1668" t="s">
        <v>12</v>
      </c>
      <c r="D1668" t="s">
        <v>27</v>
      </c>
      <c r="E1668">
        <v>16200</v>
      </c>
      <c r="F1668" t="s">
        <v>32</v>
      </c>
      <c r="G1668" t="s">
        <v>28</v>
      </c>
      <c r="H1668" t="s">
        <v>33</v>
      </c>
      <c r="I1668" t="s">
        <v>34</v>
      </c>
      <c r="J1668" t="s">
        <v>39</v>
      </c>
      <c r="K1668">
        <v>0.1</v>
      </c>
    </row>
    <row r="1669" spans="1:11" x14ac:dyDescent="0.25">
      <c r="A1669" t="s">
        <v>1707</v>
      </c>
      <c r="B1669" s="1">
        <v>45065</v>
      </c>
      <c r="C1669" t="s">
        <v>20</v>
      </c>
      <c r="D1669" t="s">
        <v>27</v>
      </c>
      <c r="E1669">
        <v>5400</v>
      </c>
      <c r="F1669" t="s">
        <v>14</v>
      </c>
      <c r="G1669" t="s">
        <v>24</v>
      </c>
      <c r="H1669" t="s">
        <v>16</v>
      </c>
      <c r="I1669" t="s">
        <v>17</v>
      </c>
      <c r="J1669" t="s">
        <v>37</v>
      </c>
      <c r="K1669">
        <v>0.1</v>
      </c>
    </row>
    <row r="1670" spans="1:11" x14ac:dyDescent="0.25">
      <c r="A1670" t="s">
        <v>1708</v>
      </c>
      <c r="B1670" s="1">
        <v>45493</v>
      </c>
      <c r="C1670" t="s">
        <v>20</v>
      </c>
      <c r="D1670" t="s">
        <v>27</v>
      </c>
      <c r="E1670">
        <v>5400</v>
      </c>
      <c r="F1670" t="s">
        <v>14</v>
      </c>
      <c r="G1670" t="s">
        <v>28</v>
      </c>
      <c r="H1670" t="s">
        <v>16</v>
      </c>
      <c r="I1670" t="s">
        <v>17</v>
      </c>
      <c r="J1670" t="s">
        <v>37</v>
      </c>
      <c r="K1670">
        <v>0.1</v>
      </c>
    </row>
    <row r="1671" spans="1:11" x14ac:dyDescent="0.25">
      <c r="A1671" t="s">
        <v>1709</v>
      </c>
      <c r="B1671" s="1">
        <v>45082</v>
      </c>
      <c r="C1671" t="s">
        <v>20</v>
      </c>
      <c r="D1671" t="s">
        <v>13</v>
      </c>
      <c r="E1671">
        <v>500</v>
      </c>
      <c r="F1671" t="s">
        <v>21</v>
      </c>
      <c r="G1671" t="s">
        <v>15</v>
      </c>
      <c r="H1671" t="s">
        <v>33</v>
      </c>
      <c r="I1671" t="s">
        <v>34</v>
      </c>
      <c r="J1671" t="s">
        <v>18</v>
      </c>
      <c r="K1671">
        <v>0</v>
      </c>
    </row>
    <row r="1672" spans="1:11" x14ac:dyDescent="0.25">
      <c r="A1672" t="s">
        <v>1710</v>
      </c>
      <c r="B1672" s="1">
        <v>45255</v>
      </c>
      <c r="C1672" t="s">
        <v>31</v>
      </c>
      <c r="D1672" t="s">
        <v>27</v>
      </c>
      <c r="E1672">
        <v>10800</v>
      </c>
      <c r="F1672" t="s">
        <v>49</v>
      </c>
      <c r="G1672" t="s">
        <v>15</v>
      </c>
      <c r="H1672" t="s">
        <v>16</v>
      </c>
      <c r="I1672" t="s">
        <v>17</v>
      </c>
      <c r="J1672" t="s">
        <v>25</v>
      </c>
      <c r="K1672">
        <v>0.1</v>
      </c>
    </row>
    <row r="1673" spans="1:11" x14ac:dyDescent="0.25">
      <c r="A1673" t="s">
        <v>1711</v>
      </c>
      <c r="B1673" s="1">
        <v>45503</v>
      </c>
      <c r="C1673" t="s">
        <v>12</v>
      </c>
      <c r="D1673" t="s">
        <v>27</v>
      </c>
      <c r="E1673">
        <v>16200</v>
      </c>
      <c r="F1673" t="s">
        <v>49</v>
      </c>
      <c r="G1673" t="s">
        <v>15</v>
      </c>
      <c r="H1673" t="s">
        <v>16</v>
      </c>
      <c r="I1673" t="s">
        <v>17</v>
      </c>
      <c r="J1673" t="s">
        <v>25</v>
      </c>
      <c r="K1673">
        <v>0.1</v>
      </c>
    </row>
    <row r="1674" spans="1:11" x14ac:dyDescent="0.25">
      <c r="A1674" t="s">
        <v>1712</v>
      </c>
      <c r="B1674" s="1">
        <v>45561</v>
      </c>
      <c r="C1674" t="s">
        <v>12</v>
      </c>
      <c r="D1674" t="s">
        <v>13</v>
      </c>
      <c r="E1674">
        <v>1500</v>
      </c>
      <c r="F1674" t="s">
        <v>14</v>
      </c>
      <c r="G1674" t="s">
        <v>24</v>
      </c>
      <c r="H1674" t="s">
        <v>33</v>
      </c>
      <c r="I1674" t="s">
        <v>34</v>
      </c>
      <c r="J1674" t="s">
        <v>22</v>
      </c>
      <c r="K1674">
        <v>0</v>
      </c>
    </row>
    <row r="1675" spans="1:11" x14ac:dyDescent="0.25">
      <c r="A1675" t="s">
        <v>1713</v>
      </c>
      <c r="B1675" s="1">
        <v>45221</v>
      </c>
      <c r="C1675" t="s">
        <v>31</v>
      </c>
      <c r="D1675" t="s">
        <v>27</v>
      </c>
      <c r="E1675">
        <v>10800</v>
      </c>
      <c r="F1675" t="s">
        <v>32</v>
      </c>
      <c r="G1675" t="s">
        <v>28</v>
      </c>
      <c r="H1675" t="s">
        <v>16</v>
      </c>
      <c r="I1675" t="s">
        <v>17</v>
      </c>
      <c r="J1675" t="s">
        <v>39</v>
      </c>
      <c r="K1675">
        <v>0.1</v>
      </c>
    </row>
    <row r="1676" spans="1:11" x14ac:dyDescent="0.25">
      <c r="A1676" t="s">
        <v>1714</v>
      </c>
      <c r="B1676" s="1">
        <v>45513</v>
      </c>
      <c r="C1676" t="s">
        <v>20</v>
      </c>
      <c r="D1676" t="s">
        <v>13</v>
      </c>
      <c r="E1676">
        <v>500</v>
      </c>
      <c r="F1676" t="s">
        <v>21</v>
      </c>
      <c r="G1676" t="s">
        <v>15</v>
      </c>
      <c r="H1676" t="s">
        <v>33</v>
      </c>
      <c r="I1676" t="s">
        <v>34</v>
      </c>
      <c r="J1676" t="s">
        <v>25</v>
      </c>
      <c r="K1676">
        <v>0</v>
      </c>
    </row>
    <row r="1677" spans="1:11" x14ac:dyDescent="0.25">
      <c r="A1677" t="s">
        <v>1715</v>
      </c>
      <c r="B1677" s="1">
        <v>45141</v>
      </c>
      <c r="C1677" t="s">
        <v>31</v>
      </c>
      <c r="D1677" t="s">
        <v>13</v>
      </c>
      <c r="E1677">
        <v>1000</v>
      </c>
      <c r="F1677" t="s">
        <v>21</v>
      </c>
      <c r="G1677" t="s">
        <v>28</v>
      </c>
      <c r="H1677" t="s">
        <v>33</v>
      </c>
      <c r="I1677" t="s">
        <v>34</v>
      </c>
      <c r="J1677" t="s">
        <v>25</v>
      </c>
      <c r="K1677">
        <v>0</v>
      </c>
    </row>
    <row r="1678" spans="1:11" x14ac:dyDescent="0.25">
      <c r="A1678" t="s">
        <v>1716</v>
      </c>
      <c r="B1678" s="1">
        <v>45041</v>
      </c>
      <c r="C1678" t="s">
        <v>12</v>
      </c>
      <c r="D1678" t="s">
        <v>27</v>
      </c>
      <c r="E1678">
        <v>16200</v>
      </c>
      <c r="F1678" t="s">
        <v>32</v>
      </c>
      <c r="G1678" t="s">
        <v>28</v>
      </c>
      <c r="H1678" t="s">
        <v>16</v>
      </c>
      <c r="I1678" t="s">
        <v>17</v>
      </c>
      <c r="J1678" t="s">
        <v>25</v>
      </c>
      <c r="K1678">
        <v>0.1</v>
      </c>
    </row>
    <row r="1679" spans="1:11" x14ac:dyDescent="0.25">
      <c r="A1679" t="s">
        <v>1717</v>
      </c>
      <c r="B1679" s="1">
        <v>45505</v>
      </c>
      <c r="C1679" t="s">
        <v>12</v>
      </c>
      <c r="D1679" t="s">
        <v>27</v>
      </c>
      <c r="E1679">
        <v>16200</v>
      </c>
      <c r="F1679" t="s">
        <v>14</v>
      </c>
      <c r="G1679" t="s">
        <v>28</v>
      </c>
      <c r="H1679" t="s">
        <v>33</v>
      </c>
      <c r="I1679" t="s">
        <v>34</v>
      </c>
      <c r="J1679" t="s">
        <v>37</v>
      </c>
      <c r="K1679">
        <v>0.1</v>
      </c>
    </row>
    <row r="1680" spans="1:11" x14ac:dyDescent="0.25">
      <c r="A1680" t="s">
        <v>1718</v>
      </c>
      <c r="B1680" s="1">
        <v>45176</v>
      </c>
      <c r="C1680" t="s">
        <v>31</v>
      </c>
      <c r="D1680" t="s">
        <v>27</v>
      </c>
      <c r="E1680">
        <v>10800</v>
      </c>
      <c r="F1680" t="s">
        <v>21</v>
      </c>
      <c r="G1680" t="s">
        <v>28</v>
      </c>
      <c r="H1680" t="s">
        <v>33</v>
      </c>
      <c r="I1680" t="s">
        <v>34</v>
      </c>
      <c r="J1680" t="s">
        <v>25</v>
      </c>
      <c r="K1680">
        <v>0.1</v>
      </c>
    </row>
    <row r="1681" spans="1:11" x14ac:dyDescent="0.25">
      <c r="A1681" t="s">
        <v>1719</v>
      </c>
      <c r="B1681" s="1">
        <v>45361</v>
      </c>
      <c r="C1681" t="s">
        <v>31</v>
      </c>
      <c r="D1681" t="s">
        <v>13</v>
      </c>
      <c r="E1681">
        <v>1000</v>
      </c>
      <c r="F1681" t="s">
        <v>32</v>
      </c>
      <c r="G1681" t="s">
        <v>24</v>
      </c>
      <c r="H1681" t="s">
        <v>33</v>
      </c>
      <c r="I1681" t="s">
        <v>34</v>
      </c>
      <c r="J1681" t="s">
        <v>39</v>
      </c>
      <c r="K1681">
        <v>0</v>
      </c>
    </row>
    <row r="1682" spans="1:11" x14ac:dyDescent="0.25">
      <c r="A1682" t="s">
        <v>1720</v>
      </c>
      <c r="B1682" s="1">
        <v>45140</v>
      </c>
      <c r="C1682" t="s">
        <v>20</v>
      </c>
      <c r="D1682" t="s">
        <v>27</v>
      </c>
      <c r="E1682">
        <v>5400</v>
      </c>
      <c r="F1682" t="s">
        <v>32</v>
      </c>
      <c r="G1682" t="s">
        <v>28</v>
      </c>
      <c r="H1682" t="s">
        <v>33</v>
      </c>
      <c r="I1682" t="s">
        <v>34</v>
      </c>
      <c r="J1682" t="s">
        <v>44</v>
      </c>
      <c r="K1682">
        <v>0.1</v>
      </c>
    </row>
    <row r="1683" spans="1:11" x14ac:dyDescent="0.25">
      <c r="A1683" t="s">
        <v>1721</v>
      </c>
      <c r="B1683" s="1">
        <v>44974</v>
      </c>
      <c r="C1683" t="s">
        <v>12</v>
      </c>
      <c r="D1683" t="s">
        <v>27</v>
      </c>
      <c r="E1683">
        <v>16200</v>
      </c>
      <c r="F1683" t="s">
        <v>49</v>
      </c>
      <c r="G1683" t="s">
        <v>15</v>
      </c>
      <c r="H1683" t="s">
        <v>33</v>
      </c>
      <c r="I1683" t="s">
        <v>34</v>
      </c>
      <c r="J1683" t="s">
        <v>22</v>
      </c>
      <c r="K1683">
        <v>0.1</v>
      </c>
    </row>
    <row r="1684" spans="1:11" x14ac:dyDescent="0.25">
      <c r="A1684" t="s">
        <v>1722</v>
      </c>
      <c r="B1684" s="1">
        <v>45211</v>
      </c>
      <c r="C1684" t="s">
        <v>12</v>
      </c>
      <c r="D1684" t="s">
        <v>13</v>
      </c>
      <c r="E1684">
        <v>1500</v>
      </c>
      <c r="F1684" t="s">
        <v>49</v>
      </c>
      <c r="G1684" t="s">
        <v>24</v>
      </c>
      <c r="H1684" t="s">
        <v>16</v>
      </c>
      <c r="I1684" t="s">
        <v>17</v>
      </c>
      <c r="J1684" t="s">
        <v>18</v>
      </c>
      <c r="K1684">
        <v>0</v>
      </c>
    </row>
    <row r="1685" spans="1:11" x14ac:dyDescent="0.25">
      <c r="A1685" t="s">
        <v>1723</v>
      </c>
      <c r="B1685" s="1">
        <v>45346</v>
      </c>
      <c r="C1685" t="s">
        <v>31</v>
      </c>
      <c r="D1685" t="s">
        <v>13</v>
      </c>
      <c r="E1685">
        <v>1000</v>
      </c>
      <c r="F1685" t="s">
        <v>14</v>
      </c>
      <c r="G1685" t="s">
        <v>15</v>
      </c>
      <c r="H1685" t="s">
        <v>33</v>
      </c>
      <c r="I1685" t="s">
        <v>34</v>
      </c>
      <c r="J1685" t="s">
        <v>41</v>
      </c>
      <c r="K1685">
        <v>0</v>
      </c>
    </row>
    <row r="1686" spans="1:11" x14ac:dyDescent="0.25">
      <c r="A1686" t="s">
        <v>1724</v>
      </c>
      <c r="B1686" s="1">
        <v>45473</v>
      </c>
      <c r="C1686" t="s">
        <v>20</v>
      </c>
      <c r="D1686" t="s">
        <v>13</v>
      </c>
      <c r="E1686">
        <v>500</v>
      </c>
      <c r="F1686" t="s">
        <v>21</v>
      </c>
      <c r="G1686" t="s">
        <v>24</v>
      </c>
      <c r="H1686" t="s">
        <v>16</v>
      </c>
      <c r="I1686" t="s">
        <v>17</v>
      </c>
      <c r="J1686" t="s">
        <v>25</v>
      </c>
      <c r="K1686">
        <v>0</v>
      </c>
    </row>
    <row r="1687" spans="1:11" x14ac:dyDescent="0.25">
      <c r="A1687" t="s">
        <v>1725</v>
      </c>
      <c r="B1687" s="1">
        <v>44959</v>
      </c>
      <c r="C1687" t="s">
        <v>31</v>
      </c>
      <c r="D1687" t="s">
        <v>27</v>
      </c>
      <c r="E1687">
        <v>10800</v>
      </c>
      <c r="F1687" t="s">
        <v>21</v>
      </c>
      <c r="G1687" t="s">
        <v>15</v>
      </c>
      <c r="H1687" t="s">
        <v>16</v>
      </c>
      <c r="I1687" t="s">
        <v>17</v>
      </c>
      <c r="J1687" t="s">
        <v>29</v>
      </c>
      <c r="K1687">
        <v>0.1</v>
      </c>
    </row>
    <row r="1688" spans="1:11" x14ac:dyDescent="0.25">
      <c r="A1688" t="s">
        <v>1726</v>
      </c>
      <c r="B1688" s="1">
        <v>45578</v>
      </c>
      <c r="C1688" t="s">
        <v>31</v>
      </c>
      <c r="D1688" t="s">
        <v>27</v>
      </c>
      <c r="E1688">
        <v>10800</v>
      </c>
      <c r="F1688" t="s">
        <v>49</v>
      </c>
      <c r="G1688" t="s">
        <v>24</v>
      </c>
      <c r="H1688" t="s">
        <v>16</v>
      </c>
      <c r="I1688" t="s">
        <v>17</v>
      </c>
      <c r="J1688" t="s">
        <v>35</v>
      </c>
      <c r="K1688">
        <v>0.1</v>
      </c>
    </row>
    <row r="1689" spans="1:11" x14ac:dyDescent="0.25">
      <c r="A1689" t="s">
        <v>1727</v>
      </c>
      <c r="B1689" s="1">
        <v>45004</v>
      </c>
      <c r="C1689" t="s">
        <v>31</v>
      </c>
      <c r="D1689" t="s">
        <v>27</v>
      </c>
      <c r="E1689">
        <v>10800</v>
      </c>
      <c r="F1689" t="s">
        <v>21</v>
      </c>
      <c r="G1689" t="s">
        <v>24</v>
      </c>
      <c r="H1689" t="s">
        <v>16</v>
      </c>
      <c r="I1689" t="s">
        <v>17</v>
      </c>
      <c r="J1689" t="s">
        <v>29</v>
      </c>
      <c r="K1689">
        <v>0.1</v>
      </c>
    </row>
    <row r="1690" spans="1:11" x14ac:dyDescent="0.25">
      <c r="A1690" t="s">
        <v>1728</v>
      </c>
      <c r="B1690" s="1">
        <v>44948</v>
      </c>
      <c r="C1690" t="s">
        <v>20</v>
      </c>
      <c r="D1690" t="s">
        <v>13</v>
      </c>
      <c r="E1690">
        <v>500</v>
      </c>
      <c r="F1690" t="s">
        <v>14</v>
      </c>
      <c r="G1690" t="s">
        <v>15</v>
      </c>
      <c r="H1690" t="s">
        <v>16</v>
      </c>
      <c r="I1690" t="s">
        <v>17</v>
      </c>
      <c r="J1690" t="s">
        <v>22</v>
      </c>
      <c r="K1690">
        <v>0</v>
      </c>
    </row>
    <row r="1691" spans="1:11" x14ac:dyDescent="0.25">
      <c r="A1691" t="s">
        <v>1729</v>
      </c>
      <c r="B1691" s="1">
        <v>45371</v>
      </c>
      <c r="C1691" t="s">
        <v>12</v>
      </c>
      <c r="D1691" t="s">
        <v>13</v>
      </c>
      <c r="E1691">
        <v>1500</v>
      </c>
      <c r="F1691" t="s">
        <v>21</v>
      </c>
      <c r="G1691" t="s">
        <v>15</v>
      </c>
      <c r="H1691" t="s">
        <v>33</v>
      </c>
      <c r="I1691" t="s">
        <v>34</v>
      </c>
      <c r="J1691" t="s">
        <v>29</v>
      </c>
      <c r="K1691">
        <v>0</v>
      </c>
    </row>
    <row r="1692" spans="1:11" x14ac:dyDescent="0.25">
      <c r="A1692" t="s">
        <v>1730</v>
      </c>
      <c r="B1692" s="1">
        <v>45197</v>
      </c>
      <c r="C1692" t="s">
        <v>12</v>
      </c>
      <c r="D1692" t="s">
        <v>27</v>
      </c>
      <c r="E1692">
        <v>16200</v>
      </c>
      <c r="F1692" t="s">
        <v>49</v>
      </c>
      <c r="G1692" t="s">
        <v>24</v>
      </c>
      <c r="H1692" t="s">
        <v>16</v>
      </c>
      <c r="I1692" t="s">
        <v>17</v>
      </c>
      <c r="J1692" t="s">
        <v>50</v>
      </c>
      <c r="K1692">
        <v>0.1</v>
      </c>
    </row>
    <row r="1693" spans="1:11" x14ac:dyDescent="0.25">
      <c r="A1693" t="s">
        <v>1731</v>
      </c>
      <c r="B1693" s="1">
        <v>45306</v>
      </c>
      <c r="C1693" t="s">
        <v>12</v>
      </c>
      <c r="D1693" t="s">
        <v>27</v>
      </c>
      <c r="E1693">
        <v>16200</v>
      </c>
      <c r="F1693" t="s">
        <v>32</v>
      </c>
      <c r="G1693" t="s">
        <v>24</v>
      </c>
      <c r="H1693" t="s">
        <v>33</v>
      </c>
      <c r="I1693" t="s">
        <v>34</v>
      </c>
      <c r="J1693" t="s">
        <v>39</v>
      </c>
      <c r="K1693">
        <v>0.1</v>
      </c>
    </row>
    <row r="1694" spans="1:11" x14ac:dyDescent="0.25">
      <c r="A1694" t="s">
        <v>1732</v>
      </c>
      <c r="B1694" s="1">
        <v>45337</v>
      </c>
      <c r="C1694" t="s">
        <v>12</v>
      </c>
      <c r="D1694" t="s">
        <v>27</v>
      </c>
      <c r="E1694">
        <v>16200</v>
      </c>
      <c r="F1694" t="s">
        <v>49</v>
      </c>
      <c r="G1694" t="s">
        <v>28</v>
      </c>
      <c r="H1694" t="s">
        <v>16</v>
      </c>
      <c r="I1694" t="s">
        <v>17</v>
      </c>
      <c r="J1694" t="s">
        <v>18</v>
      </c>
      <c r="K1694">
        <v>0.1</v>
      </c>
    </row>
    <row r="1695" spans="1:11" x14ac:dyDescent="0.25">
      <c r="A1695" t="s">
        <v>1733</v>
      </c>
      <c r="B1695" s="1">
        <v>45553</v>
      </c>
      <c r="C1695" t="s">
        <v>12</v>
      </c>
      <c r="D1695" t="s">
        <v>13</v>
      </c>
      <c r="E1695">
        <v>1500</v>
      </c>
      <c r="F1695" t="s">
        <v>14</v>
      </c>
      <c r="G1695" t="s">
        <v>24</v>
      </c>
      <c r="H1695" t="s">
        <v>16</v>
      </c>
      <c r="I1695" t="s">
        <v>17</v>
      </c>
      <c r="J1695" t="s">
        <v>55</v>
      </c>
      <c r="K1695">
        <v>0</v>
      </c>
    </row>
    <row r="1696" spans="1:11" x14ac:dyDescent="0.25">
      <c r="A1696" t="s">
        <v>1734</v>
      </c>
      <c r="B1696" s="1">
        <v>45187</v>
      </c>
      <c r="C1696" t="s">
        <v>31</v>
      </c>
      <c r="D1696" t="s">
        <v>13</v>
      </c>
      <c r="E1696">
        <v>1000</v>
      </c>
      <c r="F1696" t="s">
        <v>21</v>
      </c>
      <c r="G1696" t="s">
        <v>24</v>
      </c>
      <c r="H1696" t="s">
        <v>33</v>
      </c>
      <c r="I1696" t="s">
        <v>34</v>
      </c>
      <c r="J1696" t="s">
        <v>18</v>
      </c>
      <c r="K1696">
        <v>0</v>
      </c>
    </row>
    <row r="1697" spans="1:11" x14ac:dyDescent="0.25">
      <c r="A1697" t="s">
        <v>1735</v>
      </c>
      <c r="B1697" s="1">
        <v>44976</v>
      </c>
      <c r="C1697" t="s">
        <v>31</v>
      </c>
      <c r="D1697" t="s">
        <v>13</v>
      </c>
      <c r="E1697">
        <v>1000</v>
      </c>
      <c r="F1697" t="s">
        <v>49</v>
      </c>
      <c r="G1697" t="s">
        <v>28</v>
      </c>
      <c r="H1697" t="s">
        <v>16</v>
      </c>
      <c r="I1697" t="s">
        <v>17</v>
      </c>
      <c r="J1697" t="s">
        <v>18</v>
      </c>
      <c r="K1697">
        <v>0</v>
      </c>
    </row>
    <row r="1698" spans="1:11" x14ac:dyDescent="0.25">
      <c r="A1698" t="s">
        <v>1736</v>
      </c>
      <c r="B1698" s="1">
        <v>45136</v>
      </c>
      <c r="C1698" t="s">
        <v>12</v>
      </c>
      <c r="D1698" t="s">
        <v>13</v>
      </c>
      <c r="E1698">
        <v>1500</v>
      </c>
      <c r="F1698" t="s">
        <v>14</v>
      </c>
      <c r="G1698" t="s">
        <v>24</v>
      </c>
      <c r="H1698" t="s">
        <v>16</v>
      </c>
      <c r="I1698" t="s">
        <v>17</v>
      </c>
      <c r="J1698" t="s">
        <v>37</v>
      </c>
      <c r="K1698">
        <v>0</v>
      </c>
    </row>
    <row r="1699" spans="1:11" x14ac:dyDescent="0.25">
      <c r="A1699" t="s">
        <v>1737</v>
      </c>
      <c r="B1699" s="1">
        <v>45332</v>
      </c>
      <c r="C1699" t="s">
        <v>20</v>
      </c>
      <c r="D1699" t="s">
        <v>13</v>
      </c>
      <c r="E1699">
        <v>500</v>
      </c>
      <c r="F1699" t="s">
        <v>32</v>
      </c>
      <c r="G1699" t="s">
        <v>24</v>
      </c>
      <c r="H1699" t="s">
        <v>33</v>
      </c>
      <c r="I1699" t="s">
        <v>34</v>
      </c>
      <c r="J1699" t="s">
        <v>35</v>
      </c>
      <c r="K1699">
        <v>0</v>
      </c>
    </row>
    <row r="1700" spans="1:11" x14ac:dyDescent="0.25">
      <c r="A1700" t="s">
        <v>1738</v>
      </c>
      <c r="B1700" s="1">
        <v>45557</v>
      </c>
      <c r="C1700" t="s">
        <v>12</v>
      </c>
      <c r="D1700" t="s">
        <v>27</v>
      </c>
      <c r="E1700">
        <v>16200</v>
      </c>
      <c r="F1700" t="s">
        <v>14</v>
      </c>
      <c r="G1700" t="s">
        <v>28</v>
      </c>
      <c r="H1700" t="s">
        <v>16</v>
      </c>
      <c r="I1700" t="s">
        <v>17</v>
      </c>
      <c r="J1700" t="s">
        <v>37</v>
      </c>
      <c r="K1700">
        <v>0.1</v>
      </c>
    </row>
    <row r="1701" spans="1:11" x14ac:dyDescent="0.25">
      <c r="A1701" t="s">
        <v>1739</v>
      </c>
      <c r="B1701" s="1">
        <v>45546</v>
      </c>
      <c r="C1701" t="s">
        <v>20</v>
      </c>
      <c r="D1701" t="s">
        <v>27</v>
      </c>
      <c r="E1701">
        <v>5400</v>
      </c>
      <c r="F1701" t="s">
        <v>14</v>
      </c>
      <c r="G1701" t="s">
        <v>24</v>
      </c>
      <c r="H1701" t="s">
        <v>16</v>
      </c>
      <c r="I1701" t="s">
        <v>17</v>
      </c>
      <c r="J1701" t="s">
        <v>22</v>
      </c>
      <c r="K1701">
        <v>0.1</v>
      </c>
    </row>
    <row r="1702" spans="1:11" x14ac:dyDescent="0.25">
      <c r="A1702" t="s">
        <v>1740</v>
      </c>
      <c r="B1702" s="1">
        <v>45263</v>
      </c>
      <c r="C1702" t="s">
        <v>31</v>
      </c>
      <c r="D1702" t="s">
        <v>27</v>
      </c>
      <c r="E1702">
        <v>10800</v>
      </c>
      <c r="F1702" t="s">
        <v>14</v>
      </c>
      <c r="G1702" t="s">
        <v>28</v>
      </c>
      <c r="H1702" t="s">
        <v>16</v>
      </c>
      <c r="I1702" t="s">
        <v>17</v>
      </c>
      <c r="J1702" t="s">
        <v>22</v>
      </c>
      <c r="K1702">
        <v>0.1</v>
      </c>
    </row>
    <row r="1703" spans="1:11" x14ac:dyDescent="0.25">
      <c r="A1703" t="s">
        <v>1741</v>
      </c>
      <c r="B1703" s="1">
        <v>45387</v>
      </c>
      <c r="C1703" t="s">
        <v>12</v>
      </c>
      <c r="D1703" t="s">
        <v>13</v>
      </c>
      <c r="E1703">
        <v>1500</v>
      </c>
      <c r="F1703" t="s">
        <v>32</v>
      </c>
      <c r="G1703" t="s">
        <v>15</v>
      </c>
      <c r="H1703" t="s">
        <v>16</v>
      </c>
      <c r="I1703" t="s">
        <v>17</v>
      </c>
      <c r="J1703" t="s">
        <v>35</v>
      </c>
      <c r="K1703">
        <v>0</v>
      </c>
    </row>
    <row r="1704" spans="1:11" x14ac:dyDescent="0.25">
      <c r="A1704" t="s">
        <v>1742</v>
      </c>
      <c r="B1704" s="1">
        <v>44983</v>
      </c>
      <c r="C1704" t="s">
        <v>12</v>
      </c>
      <c r="D1704" t="s">
        <v>13</v>
      </c>
      <c r="E1704">
        <v>1500</v>
      </c>
      <c r="F1704" t="s">
        <v>32</v>
      </c>
      <c r="G1704" t="s">
        <v>28</v>
      </c>
      <c r="H1704" t="s">
        <v>16</v>
      </c>
      <c r="I1704" t="s">
        <v>17</v>
      </c>
      <c r="J1704" t="s">
        <v>66</v>
      </c>
      <c r="K1704">
        <v>0</v>
      </c>
    </row>
    <row r="1705" spans="1:11" x14ac:dyDescent="0.25">
      <c r="A1705" t="s">
        <v>1743</v>
      </c>
      <c r="B1705" s="1">
        <v>45618</v>
      </c>
      <c r="C1705" t="s">
        <v>31</v>
      </c>
      <c r="D1705" t="s">
        <v>27</v>
      </c>
      <c r="E1705">
        <v>10800</v>
      </c>
      <c r="F1705" t="s">
        <v>32</v>
      </c>
      <c r="G1705" t="s">
        <v>24</v>
      </c>
      <c r="H1705" t="s">
        <v>16</v>
      </c>
      <c r="I1705" t="s">
        <v>17</v>
      </c>
      <c r="J1705" t="s">
        <v>39</v>
      </c>
      <c r="K1705">
        <v>0.1</v>
      </c>
    </row>
    <row r="1706" spans="1:11" x14ac:dyDescent="0.25">
      <c r="A1706" t="s">
        <v>1744</v>
      </c>
      <c r="B1706" s="1">
        <v>45586</v>
      </c>
      <c r="C1706" t="s">
        <v>20</v>
      </c>
      <c r="D1706" t="s">
        <v>27</v>
      </c>
      <c r="E1706">
        <v>5400</v>
      </c>
      <c r="F1706" t="s">
        <v>49</v>
      </c>
      <c r="G1706" t="s">
        <v>24</v>
      </c>
      <c r="H1706" t="s">
        <v>16</v>
      </c>
      <c r="I1706" t="s">
        <v>17</v>
      </c>
      <c r="J1706" t="s">
        <v>58</v>
      </c>
      <c r="K1706">
        <v>0.1</v>
      </c>
    </row>
    <row r="1707" spans="1:11" x14ac:dyDescent="0.25">
      <c r="A1707" t="s">
        <v>1745</v>
      </c>
      <c r="B1707" s="1">
        <v>45371</v>
      </c>
      <c r="C1707" t="s">
        <v>31</v>
      </c>
      <c r="D1707" t="s">
        <v>27</v>
      </c>
      <c r="E1707">
        <v>10800</v>
      </c>
      <c r="F1707" t="s">
        <v>21</v>
      </c>
      <c r="G1707" t="s">
        <v>24</v>
      </c>
      <c r="H1707" t="s">
        <v>33</v>
      </c>
      <c r="I1707" t="s">
        <v>34</v>
      </c>
      <c r="J1707" t="s">
        <v>25</v>
      </c>
      <c r="K1707">
        <v>0.1</v>
      </c>
    </row>
    <row r="1708" spans="1:11" x14ac:dyDescent="0.25">
      <c r="A1708" t="s">
        <v>1746</v>
      </c>
      <c r="B1708" s="1">
        <v>45626</v>
      </c>
      <c r="C1708" t="s">
        <v>12</v>
      </c>
      <c r="D1708" t="s">
        <v>27</v>
      </c>
      <c r="E1708">
        <v>16200</v>
      </c>
      <c r="F1708" t="s">
        <v>14</v>
      </c>
      <c r="G1708" t="s">
        <v>28</v>
      </c>
      <c r="H1708" t="s">
        <v>16</v>
      </c>
      <c r="I1708" t="s">
        <v>17</v>
      </c>
      <c r="J1708" t="s">
        <v>18</v>
      </c>
      <c r="K1708">
        <v>0.1</v>
      </c>
    </row>
    <row r="1709" spans="1:11" x14ac:dyDescent="0.25">
      <c r="A1709" t="s">
        <v>1747</v>
      </c>
      <c r="B1709" s="1">
        <v>45654</v>
      </c>
      <c r="C1709" t="s">
        <v>20</v>
      </c>
      <c r="D1709" t="s">
        <v>13</v>
      </c>
      <c r="E1709">
        <v>500</v>
      </c>
      <c r="F1709" t="s">
        <v>14</v>
      </c>
      <c r="G1709" t="s">
        <v>24</v>
      </c>
      <c r="H1709" t="s">
        <v>33</v>
      </c>
      <c r="I1709" t="s">
        <v>34</v>
      </c>
      <c r="J1709" t="s">
        <v>55</v>
      </c>
      <c r="K1709">
        <v>0</v>
      </c>
    </row>
    <row r="1710" spans="1:11" x14ac:dyDescent="0.25">
      <c r="A1710" t="s">
        <v>1748</v>
      </c>
      <c r="B1710" s="1">
        <v>45158</v>
      </c>
      <c r="C1710" t="s">
        <v>12</v>
      </c>
      <c r="D1710" t="s">
        <v>27</v>
      </c>
      <c r="E1710">
        <v>16200</v>
      </c>
      <c r="F1710" t="s">
        <v>14</v>
      </c>
      <c r="G1710" t="s">
        <v>28</v>
      </c>
      <c r="H1710" t="s">
        <v>16</v>
      </c>
      <c r="I1710" t="s">
        <v>17</v>
      </c>
      <c r="J1710" t="s">
        <v>41</v>
      </c>
      <c r="K1710">
        <v>0.1</v>
      </c>
    </row>
    <row r="1711" spans="1:11" x14ac:dyDescent="0.25">
      <c r="A1711" t="s">
        <v>1749</v>
      </c>
      <c r="B1711" s="1">
        <v>45537</v>
      </c>
      <c r="C1711" t="s">
        <v>31</v>
      </c>
      <c r="D1711" t="s">
        <v>27</v>
      </c>
      <c r="E1711">
        <v>10800</v>
      </c>
      <c r="F1711" t="s">
        <v>49</v>
      </c>
      <c r="G1711" t="s">
        <v>15</v>
      </c>
      <c r="H1711" t="s">
        <v>16</v>
      </c>
      <c r="I1711" t="s">
        <v>17</v>
      </c>
      <c r="J1711" t="s">
        <v>18</v>
      </c>
      <c r="K1711">
        <v>0.1</v>
      </c>
    </row>
    <row r="1712" spans="1:11" x14ac:dyDescent="0.25">
      <c r="A1712" t="s">
        <v>1750</v>
      </c>
      <c r="B1712" s="1">
        <v>45601</v>
      </c>
      <c r="C1712" t="s">
        <v>31</v>
      </c>
      <c r="D1712" t="s">
        <v>27</v>
      </c>
      <c r="E1712">
        <v>10800</v>
      </c>
      <c r="F1712" t="s">
        <v>14</v>
      </c>
      <c r="G1712" t="s">
        <v>24</v>
      </c>
      <c r="H1712" t="s">
        <v>33</v>
      </c>
      <c r="I1712" t="s">
        <v>34</v>
      </c>
      <c r="J1712" t="s">
        <v>41</v>
      </c>
      <c r="K1712">
        <v>0.1</v>
      </c>
    </row>
    <row r="1713" spans="1:11" x14ac:dyDescent="0.25">
      <c r="A1713" t="s">
        <v>1751</v>
      </c>
      <c r="B1713" s="1">
        <v>45451</v>
      </c>
      <c r="C1713" t="s">
        <v>31</v>
      </c>
      <c r="D1713" t="s">
        <v>27</v>
      </c>
      <c r="E1713">
        <v>10800</v>
      </c>
      <c r="F1713" t="s">
        <v>32</v>
      </c>
      <c r="G1713" t="s">
        <v>28</v>
      </c>
      <c r="H1713" t="s">
        <v>33</v>
      </c>
      <c r="I1713" t="s">
        <v>34</v>
      </c>
      <c r="J1713" t="s">
        <v>39</v>
      </c>
      <c r="K1713">
        <v>0.1</v>
      </c>
    </row>
    <row r="1714" spans="1:11" x14ac:dyDescent="0.25">
      <c r="A1714" t="s">
        <v>1752</v>
      </c>
      <c r="B1714" s="1">
        <v>45499</v>
      </c>
      <c r="C1714" t="s">
        <v>12</v>
      </c>
      <c r="D1714" t="s">
        <v>27</v>
      </c>
      <c r="E1714">
        <v>16200</v>
      </c>
      <c r="F1714" t="s">
        <v>32</v>
      </c>
      <c r="G1714" t="s">
        <v>28</v>
      </c>
      <c r="H1714" t="s">
        <v>16</v>
      </c>
      <c r="I1714" t="s">
        <v>17</v>
      </c>
      <c r="J1714" t="s">
        <v>35</v>
      </c>
      <c r="K1714">
        <v>0.1</v>
      </c>
    </row>
    <row r="1715" spans="1:11" x14ac:dyDescent="0.25">
      <c r="A1715" t="s">
        <v>1753</v>
      </c>
      <c r="B1715" s="1">
        <v>45365</v>
      </c>
      <c r="C1715" t="s">
        <v>20</v>
      </c>
      <c r="D1715" t="s">
        <v>13</v>
      </c>
      <c r="E1715">
        <v>500</v>
      </c>
      <c r="F1715" t="s">
        <v>14</v>
      </c>
      <c r="G1715" t="s">
        <v>24</v>
      </c>
      <c r="H1715" t="s">
        <v>16</v>
      </c>
      <c r="I1715" t="s">
        <v>17</v>
      </c>
      <c r="J1715" t="s">
        <v>37</v>
      </c>
      <c r="K1715">
        <v>0</v>
      </c>
    </row>
    <row r="1716" spans="1:11" x14ac:dyDescent="0.25">
      <c r="A1716" t="s">
        <v>1754</v>
      </c>
      <c r="B1716" s="1">
        <v>45356</v>
      </c>
      <c r="C1716" t="s">
        <v>20</v>
      </c>
      <c r="D1716" t="s">
        <v>13</v>
      </c>
      <c r="E1716">
        <v>500</v>
      </c>
      <c r="F1716" t="s">
        <v>49</v>
      </c>
      <c r="G1716" t="s">
        <v>28</v>
      </c>
      <c r="H1716" t="s">
        <v>33</v>
      </c>
      <c r="I1716" t="s">
        <v>34</v>
      </c>
      <c r="J1716" t="s">
        <v>58</v>
      </c>
      <c r="K1716">
        <v>0</v>
      </c>
    </row>
    <row r="1717" spans="1:11" x14ac:dyDescent="0.25">
      <c r="A1717" t="s">
        <v>1755</v>
      </c>
      <c r="B1717" s="1">
        <v>45141</v>
      </c>
      <c r="C1717" t="s">
        <v>31</v>
      </c>
      <c r="D1717" t="s">
        <v>27</v>
      </c>
      <c r="E1717">
        <v>10800</v>
      </c>
      <c r="F1717" t="s">
        <v>14</v>
      </c>
      <c r="G1717" t="s">
        <v>15</v>
      </c>
      <c r="H1717" t="s">
        <v>16</v>
      </c>
      <c r="I1717" t="s">
        <v>17</v>
      </c>
      <c r="J1717" t="s">
        <v>18</v>
      </c>
      <c r="K1717">
        <v>0.1</v>
      </c>
    </row>
    <row r="1718" spans="1:11" x14ac:dyDescent="0.25">
      <c r="A1718" t="s">
        <v>1756</v>
      </c>
      <c r="B1718" s="1">
        <v>45065</v>
      </c>
      <c r="C1718" t="s">
        <v>12</v>
      </c>
      <c r="D1718" t="s">
        <v>13</v>
      </c>
      <c r="E1718">
        <v>1500</v>
      </c>
      <c r="F1718" t="s">
        <v>14</v>
      </c>
      <c r="G1718" t="s">
        <v>15</v>
      </c>
      <c r="H1718" t="s">
        <v>33</v>
      </c>
      <c r="I1718" t="s">
        <v>34</v>
      </c>
      <c r="J1718" t="s">
        <v>18</v>
      </c>
      <c r="K1718">
        <v>0</v>
      </c>
    </row>
    <row r="1719" spans="1:11" x14ac:dyDescent="0.25">
      <c r="A1719" t="s">
        <v>1757</v>
      </c>
      <c r="B1719" s="1">
        <v>45061</v>
      </c>
      <c r="C1719" t="s">
        <v>20</v>
      </c>
      <c r="D1719" t="s">
        <v>13</v>
      </c>
      <c r="E1719">
        <v>500</v>
      </c>
      <c r="F1719" t="s">
        <v>21</v>
      </c>
      <c r="G1719" t="s">
        <v>24</v>
      </c>
      <c r="H1719" t="s">
        <v>33</v>
      </c>
      <c r="I1719" t="s">
        <v>34</v>
      </c>
      <c r="J1719" t="s">
        <v>22</v>
      </c>
      <c r="K1719">
        <v>0</v>
      </c>
    </row>
    <row r="1720" spans="1:11" x14ac:dyDescent="0.25">
      <c r="A1720" t="s">
        <v>1758</v>
      </c>
      <c r="B1720" s="1">
        <v>45125</v>
      </c>
      <c r="C1720" t="s">
        <v>12</v>
      </c>
      <c r="D1720" t="s">
        <v>13</v>
      </c>
      <c r="E1720">
        <v>1500</v>
      </c>
      <c r="F1720" t="s">
        <v>14</v>
      </c>
      <c r="G1720" t="s">
        <v>28</v>
      </c>
      <c r="H1720" t="s">
        <v>33</v>
      </c>
      <c r="I1720" t="s">
        <v>34</v>
      </c>
      <c r="J1720" t="s">
        <v>18</v>
      </c>
      <c r="K1720">
        <v>0</v>
      </c>
    </row>
    <row r="1721" spans="1:11" x14ac:dyDescent="0.25">
      <c r="A1721" t="s">
        <v>1759</v>
      </c>
      <c r="B1721" s="1">
        <v>45035</v>
      </c>
      <c r="C1721" t="s">
        <v>20</v>
      </c>
      <c r="D1721" t="s">
        <v>27</v>
      </c>
      <c r="E1721">
        <v>5400</v>
      </c>
      <c r="F1721" t="s">
        <v>49</v>
      </c>
      <c r="G1721" t="s">
        <v>15</v>
      </c>
      <c r="H1721" t="s">
        <v>33</v>
      </c>
      <c r="I1721" t="s">
        <v>34</v>
      </c>
      <c r="J1721" t="s">
        <v>50</v>
      </c>
      <c r="K1721">
        <v>0.1</v>
      </c>
    </row>
    <row r="1722" spans="1:11" x14ac:dyDescent="0.25">
      <c r="A1722" t="s">
        <v>1760</v>
      </c>
      <c r="B1722" s="1">
        <v>45275</v>
      </c>
      <c r="C1722" t="s">
        <v>31</v>
      </c>
      <c r="D1722" t="s">
        <v>13</v>
      </c>
      <c r="E1722">
        <v>1000</v>
      </c>
      <c r="F1722" t="s">
        <v>32</v>
      </c>
      <c r="G1722" t="s">
        <v>28</v>
      </c>
      <c r="H1722" t="s">
        <v>16</v>
      </c>
      <c r="I1722" t="s">
        <v>17</v>
      </c>
      <c r="J1722" t="s">
        <v>44</v>
      </c>
      <c r="K1722">
        <v>0</v>
      </c>
    </row>
    <row r="1723" spans="1:11" x14ac:dyDescent="0.25">
      <c r="A1723" t="s">
        <v>1761</v>
      </c>
      <c r="B1723" s="1">
        <v>45476</v>
      </c>
      <c r="C1723" t="s">
        <v>20</v>
      </c>
      <c r="D1723" t="s">
        <v>13</v>
      </c>
      <c r="E1723">
        <v>500</v>
      </c>
      <c r="F1723" t="s">
        <v>32</v>
      </c>
      <c r="G1723" t="s">
        <v>15</v>
      </c>
      <c r="H1723" t="s">
        <v>16</v>
      </c>
      <c r="I1723" t="s">
        <v>17</v>
      </c>
      <c r="J1723" t="s">
        <v>66</v>
      </c>
      <c r="K1723">
        <v>0</v>
      </c>
    </row>
    <row r="1724" spans="1:11" x14ac:dyDescent="0.25">
      <c r="A1724" t="s">
        <v>1762</v>
      </c>
      <c r="B1724" s="1">
        <v>45097</v>
      </c>
      <c r="C1724" t="s">
        <v>12</v>
      </c>
      <c r="D1724" t="s">
        <v>13</v>
      </c>
      <c r="E1724">
        <v>1500</v>
      </c>
      <c r="F1724" t="s">
        <v>49</v>
      </c>
      <c r="G1724" t="s">
        <v>15</v>
      </c>
      <c r="H1724" t="s">
        <v>33</v>
      </c>
      <c r="I1724" t="s">
        <v>34</v>
      </c>
      <c r="J1724" t="s">
        <v>18</v>
      </c>
      <c r="K1724">
        <v>0</v>
      </c>
    </row>
    <row r="1725" spans="1:11" x14ac:dyDescent="0.25">
      <c r="A1725" t="s">
        <v>1763</v>
      </c>
      <c r="B1725" s="1">
        <v>45538</v>
      </c>
      <c r="C1725" t="s">
        <v>31</v>
      </c>
      <c r="D1725" t="s">
        <v>27</v>
      </c>
      <c r="E1725">
        <v>10800</v>
      </c>
      <c r="F1725" t="s">
        <v>49</v>
      </c>
      <c r="G1725" t="s">
        <v>28</v>
      </c>
      <c r="H1725" t="s">
        <v>16</v>
      </c>
      <c r="I1725" t="s">
        <v>17</v>
      </c>
      <c r="J1725" t="s">
        <v>58</v>
      </c>
      <c r="K1725">
        <v>0.1</v>
      </c>
    </row>
    <row r="1726" spans="1:11" x14ac:dyDescent="0.25">
      <c r="A1726" t="s">
        <v>1764</v>
      </c>
      <c r="B1726" s="1">
        <v>45067</v>
      </c>
      <c r="C1726" t="s">
        <v>31</v>
      </c>
      <c r="D1726" t="s">
        <v>27</v>
      </c>
      <c r="E1726">
        <v>10800</v>
      </c>
      <c r="F1726" t="s">
        <v>14</v>
      </c>
      <c r="G1726" t="s">
        <v>15</v>
      </c>
      <c r="H1726" t="s">
        <v>33</v>
      </c>
      <c r="I1726" t="s">
        <v>34</v>
      </c>
      <c r="J1726" t="s">
        <v>37</v>
      </c>
      <c r="K1726">
        <v>0.1</v>
      </c>
    </row>
    <row r="1727" spans="1:11" x14ac:dyDescent="0.25">
      <c r="A1727" t="s">
        <v>1765</v>
      </c>
      <c r="B1727" s="1">
        <v>45002</v>
      </c>
      <c r="C1727" t="s">
        <v>20</v>
      </c>
      <c r="D1727" t="s">
        <v>27</v>
      </c>
      <c r="E1727">
        <v>5400</v>
      </c>
      <c r="F1727" t="s">
        <v>49</v>
      </c>
      <c r="G1727" t="s">
        <v>24</v>
      </c>
      <c r="H1727" t="s">
        <v>16</v>
      </c>
      <c r="I1727" t="s">
        <v>17</v>
      </c>
      <c r="J1727" t="s">
        <v>22</v>
      </c>
      <c r="K1727">
        <v>0.1</v>
      </c>
    </row>
    <row r="1728" spans="1:11" x14ac:dyDescent="0.25">
      <c r="A1728" t="s">
        <v>1766</v>
      </c>
      <c r="B1728" s="1">
        <v>45652</v>
      </c>
      <c r="C1728" t="s">
        <v>31</v>
      </c>
      <c r="D1728" t="s">
        <v>13</v>
      </c>
      <c r="E1728">
        <v>1000</v>
      </c>
      <c r="F1728" t="s">
        <v>49</v>
      </c>
      <c r="G1728" t="s">
        <v>15</v>
      </c>
      <c r="H1728" t="s">
        <v>33</v>
      </c>
      <c r="I1728" t="s">
        <v>34</v>
      </c>
      <c r="J1728" t="s">
        <v>25</v>
      </c>
      <c r="K1728">
        <v>0</v>
      </c>
    </row>
    <row r="1729" spans="1:11" x14ac:dyDescent="0.25">
      <c r="A1729" t="s">
        <v>1767</v>
      </c>
      <c r="B1729" s="1">
        <v>45206</v>
      </c>
      <c r="C1729" t="s">
        <v>20</v>
      </c>
      <c r="D1729" t="s">
        <v>27</v>
      </c>
      <c r="E1729">
        <v>5400</v>
      </c>
      <c r="F1729" t="s">
        <v>49</v>
      </c>
      <c r="G1729" t="s">
        <v>15</v>
      </c>
      <c r="H1729" t="s">
        <v>16</v>
      </c>
      <c r="I1729" t="s">
        <v>17</v>
      </c>
      <c r="J1729" t="s">
        <v>25</v>
      </c>
      <c r="K1729">
        <v>0.1</v>
      </c>
    </row>
    <row r="1730" spans="1:11" x14ac:dyDescent="0.25">
      <c r="A1730" t="s">
        <v>1768</v>
      </c>
      <c r="B1730" s="1">
        <v>45023</v>
      </c>
      <c r="C1730" t="s">
        <v>12</v>
      </c>
      <c r="D1730" t="s">
        <v>27</v>
      </c>
      <c r="E1730">
        <v>16200</v>
      </c>
      <c r="F1730" t="s">
        <v>14</v>
      </c>
      <c r="G1730" t="s">
        <v>28</v>
      </c>
      <c r="H1730" t="s">
        <v>16</v>
      </c>
      <c r="I1730" t="s">
        <v>17</v>
      </c>
      <c r="J1730" t="s">
        <v>37</v>
      </c>
      <c r="K1730">
        <v>0.1</v>
      </c>
    </row>
    <row r="1731" spans="1:11" x14ac:dyDescent="0.25">
      <c r="A1731" t="s">
        <v>1769</v>
      </c>
      <c r="B1731" s="1">
        <v>45074</v>
      </c>
      <c r="C1731" t="s">
        <v>12</v>
      </c>
      <c r="D1731" t="s">
        <v>27</v>
      </c>
      <c r="E1731">
        <v>16200</v>
      </c>
      <c r="F1731" t="s">
        <v>49</v>
      </c>
      <c r="G1731" t="s">
        <v>15</v>
      </c>
      <c r="H1731" t="s">
        <v>16</v>
      </c>
      <c r="I1731" t="s">
        <v>17</v>
      </c>
      <c r="J1731" t="s">
        <v>35</v>
      </c>
      <c r="K1731">
        <v>0.1</v>
      </c>
    </row>
    <row r="1732" spans="1:11" x14ac:dyDescent="0.25">
      <c r="A1732" t="s">
        <v>1770</v>
      </c>
      <c r="B1732" s="1">
        <v>44929</v>
      </c>
      <c r="C1732" t="s">
        <v>20</v>
      </c>
      <c r="D1732" t="s">
        <v>13</v>
      </c>
      <c r="E1732">
        <v>500</v>
      </c>
      <c r="F1732" t="s">
        <v>32</v>
      </c>
      <c r="G1732" t="s">
        <v>15</v>
      </c>
      <c r="H1732" t="s">
        <v>16</v>
      </c>
      <c r="I1732" t="s">
        <v>17</v>
      </c>
      <c r="J1732" t="s">
        <v>39</v>
      </c>
      <c r="K1732">
        <v>0</v>
      </c>
    </row>
    <row r="1733" spans="1:11" x14ac:dyDescent="0.25">
      <c r="A1733" t="s">
        <v>1771</v>
      </c>
      <c r="B1733" s="1">
        <v>45258</v>
      </c>
      <c r="C1733" t="s">
        <v>31</v>
      </c>
      <c r="D1733" t="s">
        <v>13</v>
      </c>
      <c r="E1733">
        <v>1000</v>
      </c>
      <c r="F1733" t="s">
        <v>14</v>
      </c>
      <c r="G1733" t="s">
        <v>28</v>
      </c>
      <c r="H1733" t="s">
        <v>33</v>
      </c>
      <c r="I1733" t="s">
        <v>34</v>
      </c>
      <c r="J1733" t="s">
        <v>37</v>
      </c>
      <c r="K1733">
        <v>0</v>
      </c>
    </row>
    <row r="1734" spans="1:11" x14ac:dyDescent="0.25">
      <c r="A1734" t="s">
        <v>1772</v>
      </c>
      <c r="B1734" s="1">
        <v>45333</v>
      </c>
      <c r="C1734" t="s">
        <v>12</v>
      </c>
      <c r="D1734" t="s">
        <v>27</v>
      </c>
      <c r="E1734">
        <v>16200</v>
      </c>
      <c r="F1734" t="s">
        <v>49</v>
      </c>
      <c r="G1734" t="s">
        <v>15</v>
      </c>
      <c r="H1734" t="s">
        <v>33</v>
      </c>
      <c r="I1734" t="s">
        <v>34</v>
      </c>
      <c r="J1734" t="s">
        <v>22</v>
      </c>
      <c r="K1734">
        <v>0.1</v>
      </c>
    </row>
    <row r="1735" spans="1:11" x14ac:dyDescent="0.25">
      <c r="A1735" t="s">
        <v>1773</v>
      </c>
      <c r="B1735" s="1">
        <v>45144</v>
      </c>
      <c r="C1735" t="s">
        <v>31</v>
      </c>
      <c r="D1735" t="s">
        <v>27</v>
      </c>
      <c r="E1735">
        <v>10800</v>
      </c>
      <c r="F1735" t="s">
        <v>32</v>
      </c>
      <c r="G1735" t="s">
        <v>15</v>
      </c>
      <c r="H1735" t="s">
        <v>33</v>
      </c>
      <c r="I1735" t="s">
        <v>34</v>
      </c>
      <c r="J1735" t="s">
        <v>66</v>
      </c>
      <c r="K1735">
        <v>0.1</v>
      </c>
    </row>
    <row r="1736" spans="1:11" x14ac:dyDescent="0.25">
      <c r="A1736" t="s">
        <v>1774</v>
      </c>
      <c r="B1736" s="1">
        <v>44940</v>
      </c>
      <c r="C1736" t="s">
        <v>20</v>
      </c>
      <c r="D1736" t="s">
        <v>13</v>
      </c>
      <c r="E1736">
        <v>500</v>
      </c>
      <c r="F1736" t="s">
        <v>32</v>
      </c>
      <c r="G1736" t="s">
        <v>28</v>
      </c>
      <c r="H1736" t="s">
        <v>33</v>
      </c>
      <c r="I1736" t="s">
        <v>34</v>
      </c>
      <c r="J1736" t="s">
        <v>44</v>
      </c>
      <c r="K1736">
        <v>0</v>
      </c>
    </row>
    <row r="1737" spans="1:11" x14ac:dyDescent="0.25">
      <c r="A1737" t="s">
        <v>1775</v>
      </c>
      <c r="B1737" s="1">
        <v>45309</v>
      </c>
      <c r="C1737" t="s">
        <v>12</v>
      </c>
      <c r="D1737" t="s">
        <v>27</v>
      </c>
      <c r="E1737">
        <v>16200</v>
      </c>
      <c r="F1737" t="s">
        <v>21</v>
      </c>
      <c r="G1737" t="s">
        <v>28</v>
      </c>
      <c r="H1737" t="s">
        <v>16</v>
      </c>
      <c r="I1737" t="s">
        <v>17</v>
      </c>
      <c r="J1737" t="s">
        <v>29</v>
      </c>
      <c r="K1737">
        <v>0.1</v>
      </c>
    </row>
    <row r="1738" spans="1:11" x14ac:dyDescent="0.25">
      <c r="A1738" t="s">
        <v>1776</v>
      </c>
      <c r="B1738" s="1">
        <v>45197</v>
      </c>
      <c r="C1738" t="s">
        <v>31</v>
      </c>
      <c r="D1738" t="s">
        <v>13</v>
      </c>
      <c r="E1738">
        <v>1000</v>
      </c>
      <c r="F1738" t="s">
        <v>32</v>
      </c>
      <c r="G1738" t="s">
        <v>15</v>
      </c>
      <c r="H1738" t="s">
        <v>33</v>
      </c>
      <c r="I1738" t="s">
        <v>34</v>
      </c>
      <c r="J1738" t="s">
        <v>39</v>
      </c>
      <c r="K1738">
        <v>0</v>
      </c>
    </row>
    <row r="1739" spans="1:11" x14ac:dyDescent="0.25">
      <c r="A1739" t="s">
        <v>1777</v>
      </c>
      <c r="B1739" s="1">
        <v>44944</v>
      </c>
      <c r="C1739" t="s">
        <v>31</v>
      </c>
      <c r="D1739" t="s">
        <v>27</v>
      </c>
      <c r="E1739">
        <v>10800</v>
      </c>
      <c r="F1739" t="s">
        <v>14</v>
      </c>
      <c r="G1739" t="s">
        <v>28</v>
      </c>
      <c r="H1739" t="s">
        <v>33</v>
      </c>
      <c r="I1739" t="s">
        <v>34</v>
      </c>
      <c r="J1739" t="s">
        <v>55</v>
      </c>
      <c r="K1739">
        <v>0.1</v>
      </c>
    </row>
    <row r="1740" spans="1:11" x14ac:dyDescent="0.25">
      <c r="A1740" t="s">
        <v>1778</v>
      </c>
      <c r="B1740" s="1">
        <v>45212</v>
      </c>
      <c r="C1740" t="s">
        <v>31</v>
      </c>
      <c r="D1740" t="s">
        <v>13</v>
      </c>
      <c r="E1740">
        <v>1000</v>
      </c>
      <c r="F1740" t="s">
        <v>32</v>
      </c>
      <c r="G1740" t="s">
        <v>15</v>
      </c>
      <c r="H1740" t="s">
        <v>16</v>
      </c>
      <c r="I1740" t="s">
        <v>17</v>
      </c>
      <c r="J1740" t="s">
        <v>39</v>
      </c>
      <c r="K1740">
        <v>0</v>
      </c>
    </row>
    <row r="1741" spans="1:11" x14ac:dyDescent="0.25">
      <c r="A1741" t="s">
        <v>1779</v>
      </c>
      <c r="B1741" s="1">
        <v>45292</v>
      </c>
      <c r="C1741" t="s">
        <v>31</v>
      </c>
      <c r="D1741" t="s">
        <v>27</v>
      </c>
      <c r="E1741">
        <v>10800</v>
      </c>
      <c r="F1741" t="s">
        <v>32</v>
      </c>
      <c r="G1741" t="s">
        <v>28</v>
      </c>
      <c r="H1741" t="s">
        <v>33</v>
      </c>
      <c r="I1741" t="s">
        <v>34</v>
      </c>
      <c r="J1741" t="s">
        <v>44</v>
      </c>
      <c r="K1741">
        <v>0.1</v>
      </c>
    </row>
    <row r="1742" spans="1:11" x14ac:dyDescent="0.25">
      <c r="A1742" t="s">
        <v>1780</v>
      </c>
      <c r="B1742" s="1">
        <v>45443</v>
      </c>
      <c r="C1742" t="s">
        <v>12</v>
      </c>
      <c r="D1742" t="s">
        <v>13</v>
      </c>
      <c r="E1742">
        <v>1500</v>
      </c>
      <c r="F1742" t="s">
        <v>32</v>
      </c>
      <c r="G1742" t="s">
        <v>24</v>
      </c>
      <c r="H1742" t="s">
        <v>16</v>
      </c>
      <c r="I1742" t="s">
        <v>17</v>
      </c>
      <c r="J1742" t="s">
        <v>35</v>
      </c>
      <c r="K1742">
        <v>0</v>
      </c>
    </row>
    <row r="1743" spans="1:11" x14ac:dyDescent="0.25">
      <c r="A1743" t="s">
        <v>1781</v>
      </c>
      <c r="B1743" s="1">
        <v>45622</v>
      </c>
      <c r="C1743" t="s">
        <v>31</v>
      </c>
      <c r="D1743" t="s">
        <v>13</v>
      </c>
      <c r="E1743">
        <v>1000</v>
      </c>
      <c r="F1743" t="s">
        <v>14</v>
      </c>
      <c r="G1743" t="s">
        <v>24</v>
      </c>
      <c r="H1743" t="s">
        <v>33</v>
      </c>
      <c r="I1743" t="s">
        <v>34</v>
      </c>
      <c r="J1743" t="s">
        <v>37</v>
      </c>
      <c r="K1743">
        <v>0</v>
      </c>
    </row>
    <row r="1744" spans="1:11" x14ac:dyDescent="0.25">
      <c r="A1744" t="s">
        <v>1782</v>
      </c>
      <c r="B1744" s="1">
        <v>44945</v>
      </c>
      <c r="C1744" t="s">
        <v>31</v>
      </c>
      <c r="D1744" t="s">
        <v>13</v>
      </c>
      <c r="E1744">
        <v>1000</v>
      </c>
      <c r="F1744" t="s">
        <v>21</v>
      </c>
      <c r="G1744" t="s">
        <v>24</v>
      </c>
      <c r="H1744" t="s">
        <v>16</v>
      </c>
      <c r="I1744" t="s">
        <v>17</v>
      </c>
      <c r="J1744" t="s">
        <v>18</v>
      </c>
      <c r="K1744">
        <v>0</v>
      </c>
    </row>
    <row r="1745" spans="1:11" x14ac:dyDescent="0.25">
      <c r="A1745" t="s">
        <v>1783</v>
      </c>
      <c r="B1745" s="1">
        <v>45106</v>
      </c>
      <c r="C1745" t="s">
        <v>20</v>
      </c>
      <c r="D1745" t="s">
        <v>13</v>
      </c>
      <c r="E1745">
        <v>500</v>
      </c>
      <c r="F1745" t="s">
        <v>14</v>
      </c>
      <c r="G1745" t="s">
        <v>28</v>
      </c>
      <c r="H1745" t="s">
        <v>33</v>
      </c>
      <c r="I1745" t="s">
        <v>34</v>
      </c>
      <c r="J1745" t="s">
        <v>37</v>
      </c>
      <c r="K1745">
        <v>0</v>
      </c>
    </row>
    <row r="1746" spans="1:11" x14ac:dyDescent="0.25">
      <c r="A1746" t="s">
        <v>1784</v>
      </c>
      <c r="B1746" s="1">
        <v>44951</v>
      </c>
      <c r="C1746" t="s">
        <v>20</v>
      </c>
      <c r="D1746" t="s">
        <v>13</v>
      </c>
      <c r="E1746">
        <v>500</v>
      </c>
      <c r="F1746" t="s">
        <v>21</v>
      </c>
      <c r="G1746" t="s">
        <v>24</v>
      </c>
      <c r="H1746" t="s">
        <v>33</v>
      </c>
      <c r="I1746" t="s">
        <v>34</v>
      </c>
      <c r="J1746" t="s">
        <v>18</v>
      </c>
      <c r="K1746">
        <v>0</v>
      </c>
    </row>
    <row r="1747" spans="1:11" x14ac:dyDescent="0.25">
      <c r="A1747" t="s">
        <v>1785</v>
      </c>
      <c r="B1747" s="1">
        <v>45089</v>
      </c>
      <c r="C1747" t="s">
        <v>12</v>
      </c>
      <c r="D1747" t="s">
        <v>13</v>
      </c>
      <c r="E1747">
        <v>1500</v>
      </c>
      <c r="F1747" t="s">
        <v>32</v>
      </c>
      <c r="G1747" t="s">
        <v>24</v>
      </c>
      <c r="H1747" t="s">
        <v>16</v>
      </c>
      <c r="I1747" t="s">
        <v>17</v>
      </c>
      <c r="J1747" t="s">
        <v>25</v>
      </c>
      <c r="K1747">
        <v>0</v>
      </c>
    </row>
    <row r="1748" spans="1:11" x14ac:dyDescent="0.25">
      <c r="A1748" t="s">
        <v>1786</v>
      </c>
      <c r="B1748" s="1">
        <v>44956</v>
      </c>
      <c r="C1748" t="s">
        <v>20</v>
      </c>
      <c r="D1748" t="s">
        <v>13</v>
      </c>
      <c r="E1748">
        <v>500</v>
      </c>
      <c r="F1748" t="s">
        <v>14</v>
      </c>
      <c r="G1748" t="s">
        <v>24</v>
      </c>
      <c r="H1748" t="s">
        <v>33</v>
      </c>
      <c r="I1748" t="s">
        <v>34</v>
      </c>
      <c r="J1748" t="s">
        <v>41</v>
      </c>
      <c r="K1748">
        <v>0</v>
      </c>
    </row>
    <row r="1749" spans="1:11" x14ac:dyDescent="0.25">
      <c r="A1749" t="s">
        <v>1787</v>
      </c>
      <c r="B1749" s="1">
        <v>45639</v>
      </c>
      <c r="C1749" t="s">
        <v>31</v>
      </c>
      <c r="D1749" t="s">
        <v>13</v>
      </c>
      <c r="E1749">
        <v>1000</v>
      </c>
      <c r="F1749" t="s">
        <v>21</v>
      </c>
      <c r="G1749" t="s">
        <v>15</v>
      </c>
      <c r="H1749" t="s">
        <v>33</v>
      </c>
      <c r="I1749" t="s">
        <v>34</v>
      </c>
      <c r="J1749" t="s">
        <v>29</v>
      </c>
      <c r="K1749">
        <v>0</v>
      </c>
    </row>
    <row r="1750" spans="1:11" x14ac:dyDescent="0.25">
      <c r="A1750" t="s">
        <v>1788</v>
      </c>
      <c r="B1750" s="1">
        <v>45621</v>
      </c>
      <c r="C1750" t="s">
        <v>20</v>
      </c>
      <c r="D1750" t="s">
        <v>13</v>
      </c>
      <c r="E1750">
        <v>500</v>
      </c>
      <c r="F1750" t="s">
        <v>49</v>
      </c>
      <c r="G1750" t="s">
        <v>24</v>
      </c>
      <c r="H1750" t="s">
        <v>33</v>
      </c>
      <c r="I1750" t="s">
        <v>34</v>
      </c>
      <c r="J1750" t="s">
        <v>58</v>
      </c>
      <c r="K1750">
        <v>0</v>
      </c>
    </row>
    <row r="1751" spans="1:11" x14ac:dyDescent="0.25">
      <c r="A1751" t="s">
        <v>1789</v>
      </c>
      <c r="B1751" s="1">
        <v>45072</v>
      </c>
      <c r="C1751" t="s">
        <v>31</v>
      </c>
      <c r="D1751" t="s">
        <v>13</v>
      </c>
      <c r="E1751">
        <v>1000</v>
      </c>
      <c r="F1751" t="s">
        <v>14</v>
      </c>
      <c r="G1751" t="s">
        <v>24</v>
      </c>
      <c r="H1751" t="s">
        <v>33</v>
      </c>
      <c r="I1751" t="s">
        <v>34</v>
      </c>
      <c r="J1751" t="s">
        <v>37</v>
      </c>
      <c r="K1751">
        <v>0</v>
      </c>
    </row>
    <row r="1752" spans="1:11" x14ac:dyDescent="0.25">
      <c r="A1752" t="s">
        <v>1790</v>
      </c>
      <c r="B1752" s="1">
        <v>45229</v>
      </c>
      <c r="C1752" t="s">
        <v>20</v>
      </c>
      <c r="D1752" t="s">
        <v>13</v>
      </c>
      <c r="E1752">
        <v>500</v>
      </c>
      <c r="F1752" t="s">
        <v>21</v>
      </c>
      <c r="G1752" t="s">
        <v>15</v>
      </c>
      <c r="H1752" t="s">
        <v>33</v>
      </c>
      <c r="I1752" t="s">
        <v>34</v>
      </c>
      <c r="J1752" t="s">
        <v>22</v>
      </c>
      <c r="K1752">
        <v>0</v>
      </c>
    </row>
    <row r="1753" spans="1:11" x14ac:dyDescent="0.25">
      <c r="A1753" t="s">
        <v>1791</v>
      </c>
      <c r="B1753" s="1">
        <v>45617</v>
      </c>
      <c r="C1753" t="s">
        <v>31</v>
      </c>
      <c r="D1753" t="s">
        <v>13</v>
      </c>
      <c r="E1753">
        <v>1000</v>
      </c>
      <c r="F1753" t="s">
        <v>14</v>
      </c>
      <c r="G1753" t="s">
        <v>15</v>
      </c>
      <c r="H1753" t="s">
        <v>16</v>
      </c>
      <c r="I1753" t="s">
        <v>17</v>
      </c>
      <c r="J1753" t="s">
        <v>22</v>
      </c>
      <c r="K1753">
        <v>0</v>
      </c>
    </row>
    <row r="1754" spans="1:11" x14ac:dyDescent="0.25">
      <c r="A1754" t="s">
        <v>1792</v>
      </c>
      <c r="B1754" s="1">
        <v>45428</v>
      </c>
      <c r="C1754" t="s">
        <v>31</v>
      </c>
      <c r="D1754" t="s">
        <v>13</v>
      </c>
      <c r="E1754">
        <v>1000</v>
      </c>
      <c r="F1754" t="s">
        <v>21</v>
      </c>
      <c r="G1754" t="s">
        <v>15</v>
      </c>
      <c r="H1754" t="s">
        <v>33</v>
      </c>
      <c r="I1754" t="s">
        <v>34</v>
      </c>
      <c r="J1754" t="s">
        <v>22</v>
      </c>
      <c r="K1754">
        <v>0</v>
      </c>
    </row>
    <row r="1755" spans="1:11" x14ac:dyDescent="0.25">
      <c r="A1755" t="s">
        <v>1793</v>
      </c>
      <c r="B1755" s="1">
        <v>45512</v>
      </c>
      <c r="C1755" t="s">
        <v>20</v>
      </c>
      <c r="D1755" t="s">
        <v>27</v>
      </c>
      <c r="E1755">
        <v>5400</v>
      </c>
      <c r="F1755" t="s">
        <v>49</v>
      </c>
      <c r="G1755" t="s">
        <v>15</v>
      </c>
      <c r="H1755" t="s">
        <v>16</v>
      </c>
      <c r="I1755" t="s">
        <v>17</v>
      </c>
      <c r="J1755" t="s">
        <v>50</v>
      </c>
      <c r="K1755">
        <v>0.1</v>
      </c>
    </row>
    <row r="1756" spans="1:11" x14ac:dyDescent="0.25">
      <c r="A1756" t="s">
        <v>1794</v>
      </c>
      <c r="B1756" s="1">
        <v>45003</v>
      </c>
      <c r="C1756" t="s">
        <v>31</v>
      </c>
      <c r="D1756" t="s">
        <v>27</v>
      </c>
      <c r="E1756">
        <v>10800</v>
      </c>
      <c r="F1756" t="s">
        <v>49</v>
      </c>
      <c r="G1756" t="s">
        <v>15</v>
      </c>
      <c r="H1756" t="s">
        <v>16</v>
      </c>
      <c r="I1756" t="s">
        <v>17</v>
      </c>
      <c r="J1756" t="s">
        <v>50</v>
      </c>
      <c r="K1756">
        <v>0.1</v>
      </c>
    </row>
    <row r="1757" spans="1:11" x14ac:dyDescent="0.25">
      <c r="A1757" t="s">
        <v>1795</v>
      </c>
      <c r="B1757" s="1">
        <v>45446</v>
      </c>
      <c r="C1757" t="s">
        <v>31</v>
      </c>
      <c r="D1757" t="s">
        <v>27</v>
      </c>
      <c r="E1757">
        <v>10800</v>
      </c>
      <c r="F1757" t="s">
        <v>49</v>
      </c>
      <c r="G1757" t="s">
        <v>28</v>
      </c>
      <c r="H1757" t="s">
        <v>16</v>
      </c>
      <c r="I1757" t="s">
        <v>17</v>
      </c>
      <c r="J1757" t="s">
        <v>25</v>
      </c>
      <c r="K1757">
        <v>0.1</v>
      </c>
    </row>
    <row r="1758" spans="1:11" x14ac:dyDescent="0.25">
      <c r="A1758" t="s">
        <v>1796</v>
      </c>
      <c r="B1758" s="1">
        <v>45468</v>
      </c>
      <c r="C1758" t="s">
        <v>12</v>
      </c>
      <c r="D1758" t="s">
        <v>13</v>
      </c>
      <c r="E1758">
        <v>1500</v>
      </c>
      <c r="F1758" t="s">
        <v>49</v>
      </c>
      <c r="G1758" t="s">
        <v>15</v>
      </c>
      <c r="H1758" t="s">
        <v>33</v>
      </c>
      <c r="I1758" t="s">
        <v>34</v>
      </c>
      <c r="J1758" t="s">
        <v>58</v>
      </c>
      <c r="K1758">
        <v>0</v>
      </c>
    </row>
    <row r="1759" spans="1:11" x14ac:dyDescent="0.25">
      <c r="A1759" t="s">
        <v>1797</v>
      </c>
      <c r="B1759" s="1">
        <v>45656</v>
      </c>
      <c r="C1759" t="s">
        <v>12</v>
      </c>
      <c r="D1759" t="s">
        <v>27</v>
      </c>
      <c r="E1759">
        <v>16200</v>
      </c>
      <c r="F1759" t="s">
        <v>21</v>
      </c>
      <c r="G1759" t="s">
        <v>24</v>
      </c>
      <c r="H1759" t="s">
        <v>33</v>
      </c>
      <c r="I1759" t="s">
        <v>34</v>
      </c>
      <c r="J1759" t="s">
        <v>22</v>
      </c>
      <c r="K1759">
        <v>0.1</v>
      </c>
    </row>
    <row r="1760" spans="1:11" x14ac:dyDescent="0.25">
      <c r="A1760" t="s">
        <v>1798</v>
      </c>
      <c r="B1760" s="1">
        <v>45499</v>
      </c>
      <c r="C1760" t="s">
        <v>20</v>
      </c>
      <c r="D1760" t="s">
        <v>13</v>
      </c>
      <c r="E1760">
        <v>500</v>
      </c>
      <c r="F1760" t="s">
        <v>49</v>
      </c>
      <c r="G1760" t="s">
        <v>28</v>
      </c>
      <c r="H1760" t="s">
        <v>33</v>
      </c>
      <c r="I1760" t="s">
        <v>34</v>
      </c>
      <c r="J1760" t="s">
        <v>50</v>
      </c>
      <c r="K1760">
        <v>0</v>
      </c>
    </row>
    <row r="1761" spans="1:11" x14ac:dyDescent="0.25">
      <c r="A1761" t="s">
        <v>1799</v>
      </c>
      <c r="B1761" s="1">
        <v>45001</v>
      </c>
      <c r="C1761" t="s">
        <v>31</v>
      </c>
      <c r="D1761" t="s">
        <v>13</v>
      </c>
      <c r="E1761">
        <v>1000</v>
      </c>
      <c r="F1761" t="s">
        <v>14</v>
      </c>
      <c r="G1761" t="s">
        <v>24</v>
      </c>
      <c r="H1761" t="s">
        <v>16</v>
      </c>
      <c r="I1761" t="s">
        <v>17</v>
      </c>
      <c r="J1761" t="s">
        <v>37</v>
      </c>
      <c r="K1761">
        <v>0</v>
      </c>
    </row>
    <row r="1762" spans="1:11" x14ac:dyDescent="0.25">
      <c r="A1762" t="s">
        <v>1800</v>
      </c>
      <c r="B1762" s="1">
        <v>44988</v>
      </c>
      <c r="C1762" t="s">
        <v>12</v>
      </c>
      <c r="D1762" t="s">
        <v>13</v>
      </c>
      <c r="E1762">
        <v>1500</v>
      </c>
      <c r="F1762" t="s">
        <v>32</v>
      </c>
      <c r="G1762" t="s">
        <v>24</v>
      </c>
      <c r="H1762" t="s">
        <v>16</v>
      </c>
      <c r="I1762" t="s">
        <v>17</v>
      </c>
      <c r="J1762" t="s">
        <v>35</v>
      </c>
      <c r="K1762">
        <v>0</v>
      </c>
    </row>
    <row r="1763" spans="1:11" x14ac:dyDescent="0.25">
      <c r="A1763" t="s">
        <v>1801</v>
      </c>
      <c r="B1763" s="1">
        <v>45168</v>
      </c>
      <c r="C1763" t="s">
        <v>31</v>
      </c>
      <c r="D1763" t="s">
        <v>27</v>
      </c>
      <c r="E1763">
        <v>10800</v>
      </c>
      <c r="F1763" t="s">
        <v>49</v>
      </c>
      <c r="G1763" t="s">
        <v>15</v>
      </c>
      <c r="H1763" t="s">
        <v>33</v>
      </c>
      <c r="I1763" t="s">
        <v>34</v>
      </c>
      <c r="J1763" t="s">
        <v>25</v>
      </c>
      <c r="K1763">
        <v>0.1</v>
      </c>
    </row>
    <row r="1764" spans="1:11" x14ac:dyDescent="0.25">
      <c r="A1764" t="s">
        <v>1802</v>
      </c>
      <c r="B1764" s="1">
        <v>45360</v>
      </c>
      <c r="C1764" t="s">
        <v>31</v>
      </c>
      <c r="D1764" t="s">
        <v>27</v>
      </c>
      <c r="E1764">
        <v>10800</v>
      </c>
      <c r="F1764" t="s">
        <v>21</v>
      </c>
      <c r="G1764" t="s">
        <v>15</v>
      </c>
      <c r="H1764" t="s">
        <v>16</v>
      </c>
      <c r="I1764" t="s">
        <v>17</v>
      </c>
      <c r="J1764" t="s">
        <v>29</v>
      </c>
      <c r="K1764">
        <v>0.1</v>
      </c>
    </row>
    <row r="1765" spans="1:11" x14ac:dyDescent="0.25">
      <c r="A1765" t="s">
        <v>1803</v>
      </c>
      <c r="B1765" s="1">
        <v>45315</v>
      </c>
      <c r="C1765" t="s">
        <v>31</v>
      </c>
      <c r="D1765" t="s">
        <v>27</v>
      </c>
      <c r="E1765">
        <v>10800</v>
      </c>
      <c r="F1765" t="s">
        <v>49</v>
      </c>
      <c r="G1765" t="s">
        <v>28</v>
      </c>
      <c r="H1765" t="s">
        <v>33</v>
      </c>
      <c r="I1765" t="s">
        <v>34</v>
      </c>
      <c r="J1765" t="s">
        <v>35</v>
      </c>
      <c r="K1765">
        <v>0.1</v>
      </c>
    </row>
    <row r="1766" spans="1:11" x14ac:dyDescent="0.25">
      <c r="A1766" t="s">
        <v>1804</v>
      </c>
      <c r="B1766" s="1">
        <v>45521</v>
      </c>
      <c r="C1766" t="s">
        <v>20</v>
      </c>
      <c r="D1766" t="s">
        <v>13</v>
      </c>
      <c r="E1766">
        <v>500</v>
      </c>
      <c r="F1766" t="s">
        <v>21</v>
      </c>
      <c r="G1766" t="s">
        <v>28</v>
      </c>
      <c r="H1766" t="s">
        <v>33</v>
      </c>
      <c r="I1766" t="s">
        <v>34</v>
      </c>
      <c r="J1766" t="s">
        <v>22</v>
      </c>
      <c r="K1766">
        <v>0</v>
      </c>
    </row>
    <row r="1767" spans="1:11" x14ac:dyDescent="0.25">
      <c r="A1767" t="s">
        <v>1805</v>
      </c>
      <c r="B1767" s="1">
        <v>45639</v>
      </c>
      <c r="C1767" t="s">
        <v>31</v>
      </c>
      <c r="D1767" t="s">
        <v>13</v>
      </c>
      <c r="E1767">
        <v>1000</v>
      </c>
      <c r="F1767" t="s">
        <v>49</v>
      </c>
      <c r="G1767" t="s">
        <v>15</v>
      </c>
      <c r="H1767" t="s">
        <v>33</v>
      </c>
      <c r="I1767" t="s">
        <v>34</v>
      </c>
      <c r="J1767" t="s">
        <v>18</v>
      </c>
      <c r="K1767">
        <v>0</v>
      </c>
    </row>
    <row r="1768" spans="1:11" x14ac:dyDescent="0.25">
      <c r="A1768" t="s">
        <v>1806</v>
      </c>
      <c r="B1768" s="1">
        <v>45634</v>
      </c>
      <c r="C1768" t="s">
        <v>31</v>
      </c>
      <c r="D1768" t="s">
        <v>13</v>
      </c>
      <c r="E1768">
        <v>1000</v>
      </c>
      <c r="F1768" t="s">
        <v>32</v>
      </c>
      <c r="G1768" t="s">
        <v>15</v>
      </c>
      <c r="H1768" t="s">
        <v>16</v>
      </c>
      <c r="I1768" t="s">
        <v>17</v>
      </c>
      <c r="J1768" t="s">
        <v>25</v>
      </c>
      <c r="K1768">
        <v>0</v>
      </c>
    </row>
    <row r="1769" spans="1:11" x14ac:dyDescent="0.25">
      <c r="A1769" t="s">
        <v>1807</v>
      </c>
      <c r="B1769" s="1">
        <v>45643</v>
      </c>
      <c r="C1769" t="s">
        <v>12</v>
      </c>
      <c r="D1769" t="s">
        <v>27</v>
      </c>
      <c r="E1769">
        <v>16200</v>
      </c>
      <c r="F1769" t="s">
        <v>49</v>
      </c>
      <c r="G1769" t="s">
        <v>15</v>
      </c>
      <c r="H1769" t="s">
        <v>33</v>
      </c>
      <c r="I1769" t="s">
        <v>34</v>
      </c>
      <c r="J1769" t="s">
        <v>18</v>
      </c>
      <c r="K1769">
        <v>0.1</v>
      </c>
    </row>
    <row r="1770" spans="1:11" x14ac:dyDescent="0.25">
      <c r="A1770" t="s">
        <v>1808</v>
      </c>
      <c r="B1770" s="1">
        <v>45649</v>
      </c>
      <c r="C1770" t="s">
        <v>31</v>
      </c>
      <c r="D1770" t="s">
        <v>27</v>
      </c>
      <c r="E1770">
        <v>10800</v>
      </c>
      <c r="F1770" t="s">
        <v>21</v>
      </c>
      <c r="G1770" t="s">
        <v>15</v>
      </c>
      <c r="H1770" t="s">
        <v>33</v>
      </c>
      <c r="I1770" t="s">
        <v>34</v>
      </c>
      <c r="J1770" t="s">
        <v>18</v>
      </c>
      <c r="K1770">
        <v>0.1</v>
      </c>
    </row>
    <row r="1771" spans="1:11" x14ac:dyDescent="0.25">
      <c r="A1771" t="s">
        <v>1809</v>
      </c>
      <c r="B1771" s="1">
        <v>45325</v>
      </c>
      <c r="C1771" t="s">
        <v>31</v>
      </c>
      <c r="D1771" t="s">
        <v>27</v>
      </c>
      <c r="E1771">
        <v>10800</v>
      </c>
      <c r="F1771" t="s">
        <v>21</v>
      </c>
      <c r="G1771" t="s">
        <v>24</v>
      </c>
      <c r="H1771" t="s">
        <v>33</v>
      </c>
      <c r="I1771" t="s">
        <v>34</v>
      </c>
      <c r="J1771" t="s">
        <v>29</v>
      </c>
      <c r="K1771">
        <v>0.1</v>
      </c>
    </row>
    <row r="1772" spans="1:11" x14ac:dyDescent="0.25">
      <c r="A1772" t="s">
        <v>1810</v>
      </c>
      <c r="B1772" s="1">
        <v>45245</v>
      </c>
      <c r="C1772" t="s">
        <v>12</v>
      </c>
      <c r="D1772" t="s">
        <v>13</v>
      </c>
      <c r="E1772">
        <v>1500</v>
      </c>
      <c r="F1772" t="s">
        <v>32</v>
      </c>
      <c r="G1772" t="s">
        <v>15</v>
      </c>
      <c r="H1772" t="s">
        <v>33</v>
      </c>
      <c r="I1772" t="s">
        <v>34</v>
      </c>
      <c r="J1772" t="s">
        <v>39</v>
      </c>
      <c r="K1772">
        <v>0</v>
      </c>
    </row>
    <row r="1773" spans="1:11" x14ac:dyDescent="0.25">
      <c r="A1773" t="s">
        <v>1811</v>
      </c>
      <c r="B1773" s="1">
        <v>45597</v>
      </c>
      <c r="C1773" t="s">
        <v>31</v>
      </c>
      <c r="D1773" t="s">
        <v>27</v>
      </c>
      <c r="E1773">
        <v>10800</v>
      </c>
      <c r="F1773" t="s">
        <v>32</v>
      </c>
      <c r="G1773" t="s">
        <v>24</v>
      </c>
      <c r="H1773" t="s">
        <v>33</v>
      </c>
      <c r="I1773" t="s">
        <v>34</v>
      </c>
      <c r="J1773" t="s">
        <v>25</v>
      </c>
      <c r="K1773">
        <v>0.1</v>
      </c>
    </row>
    <row r="1774" spans="1:11" x14ac:dyDescent="0.25">
      <c r="A1774" t="s">
        <v>1812</v>
      </c>
      <c r="B1774" s="1">
        <v>45489</v>
      </c>
      <c r="C1774" t="s">
        <v>20</v>
      </c>
      <c r="D1774" t="s">
        <v>27</v>
      </c>
      <c r="E1774">
        <v>5400</v>
      </c>
      <c r="F1774" t="s">
        <v>14</v>
      </c>
      <c r="G1774" t="s">
        <v>15</v>
      </c>
      <c r="H1774" t="s">
        <v>33</v>
      </c>
      <c r="I1774" t="s">
        <v>34</v>
      </c>
      <c r="J1774" t="s">
        <v>37</v>
      </c>
      <c r="K1774">
        <v>0.1</v>
      </c>
    </row>
    <row r="1775" spans="1:11" x14ac:dyDescent="0.25">
      <c r="A1775" t="s">
        <v>1813</v>
      </c>
      <c r="B1775" s="1">
        <v>45349</v>
      </c>
      <c r="C1775" t="s">
        <v>20</v>
      </c>
      <c r="D1775" t="s">
        <v>13</v>
      </c>
      <c r="E1775">
        <v>500</v>
      </c>
      <c r="F1775" t="s">
        <v>14</v>
      </c>
      <c r="G1775" t="s">
        <v>28</v>
      </c>
      <c r="H1775" t="s">
        <v>16</v>
      </c>
      <c r="I1775" t="s">
        <v>17</v>
      </c>
      <c r="J1775" t="s">
        <v>22</v>
      </c>
      <c r="K1775">
        <v>0</v>
      </c>
    </row>
    <row r="1776" spans="1:11" x14ac:dyDescent="0.25">
      <c r="A1776" t="s">
        <v>1814</v>
      </c>
      <c r="B1776" s="1">
        <v>44930</v>
      </c>
      <c r="C1776" t="s">
        <v>31</v>
      </c>
      <c r="D1776" t="s">
        <v>27</v>
      </c>
      <c r="E1776">
        <v>10800</v>
      </c>
      <c r="F1776" t="s">
        <v>14</v>
      </c>
      <c r="G1776" t="s">
        <v>24</v>
      </c>
      <c r="H1776" t="s">
        <v>16</v>
      </c>
      <c r="I1776" t="s">
        <v>17</v>
      </c>
      <c r="J1776" t="s">
        <v>37</v>
      </c>
      <c r="K1776">
        <v>0.1</v>
      </c>
    </row>
    <row r="1777" spans="1:11" x14ac:dyDescent="0.25">
      <c r="A1777" t="s">
        <v>1815</v>
      </c>
      <c r="B1777" s="1">
        <v>45183</v>
      </c>
      <c r="C1777" t="s">
        <v>31</v>
      </c>
      <c r="D1777" t="s">
        <v>27</v>
      </c>
      <c r="E1777">
        <v>10800</v>
      </c>
      <c r="F1777" t="s">
        <v>21</v>
      </c>
      <c r="G1777" t="s">
        <v>28</v>
      </c>
      <c r="H1777" t="s">
        <v>16</v>
      </c>
      <c r="I1777" t="s">
        <v>17</v>
      </c>
      <c r="J1777" t="s">
        <v>29</v>
      </c>
      <c r="K1777">
        <v>0.1</v>
      </c>
    </row>
    <row r="1778" spans="1:11" x14ac:dyDescent="0.25">
      <c r="A1778" t="s">
        <v>1816</v>
      </c>
      <c r="B1778" s="1">
        <v>45219</v>
      </c>
      <c r="C1778" t="s">
        <v>20</v>
      </c>
      <c r="D1778" t="s">
        <v>27</v>
      </c>
      <c r="E1778">
        <v>5400</v>
      </c>
      <c r="F1778" t="s">
        <v>32</v>
      </c>
      <c r="G1778" t="s">
        <v>15</v>
      </c>
      <c r="H1778" t="s">
        <v>33</v>
      </c>
      <c r="I1778" t="s">
        <v>34</v>
      </c>
      <c r="J1778" t="s">
        <v>39</v>
      </c>
      <c r="K1778">
        <v>0.1</v>
      </c>
    </row>
    <row r="1779" spans="1:11" x14ac:dyDescent="0.25">
      <c r="A1779" t="s">
        <v>1817</v>
      </c>
      <c r="B1779" s="1">
        <v>45301</v>
      </c>
      <c r="C1779" t="s">
        <v>31</v>
      </c>
      <c r="D1779" t="s">
        <v>27</v>
      </c>
      <c r="E1779">
        <v>10800</v>
      </c>
      <c r="F1779" t="s">
        <v>21</v>
      </c>
      <c r="G1779" t="s">
        <v>15</v>
      </c>
      <c r="H1779" t="s">
        <v>16</v>
      </c>
      <c r="I1779" t="s">
        <v>17</v>
      </c>
      <c r="J1779" t="s">
        <v>18</v>
      </c>
      <c r="K1779">
        <v>0.1</v>
      </c>
    </row>
    <row r="1780" spans="1:11" x14ac:dyDescent="0.25">
      <c r="A1780" t="s">
        <v>1818</v>
      </c>
      <c r="B1780" s="1">
        <v>44980</v>
      </c>
      <c r="C1780" t="s">
        <v>12</v>
      </c>
      <c r="D1780" t="s">
        <v>27</v>
      </c>
      <c r="E1780">
        <v>16200</v>
      </c>
      <c r="F1780" t="s">
        <v>32</v>
      </c>
      <c r="G1780" t="s">
        <v>15</v>
      </c>
      <c r="H1780" t="s">
        <v>33</v>
      </c>
      <c r="I1780" t="s">
        <v>34</v>
      </c>
      <c r="J1780" t="s">
        <v>44</v>
      </c>
      <c r="K1780">
        <v>0.1</v>
      </c>
    </row>
    <row r="1781" spans="1:11" x14ac:dyDescent="0.25">
      <c r="A1781" t="s">
        <v>1819</v>
      </c>
      <c r="B1781" s="1">
        <v>45116</v>
      </c>
      <c r="C1781" t="s">
        <v>20</v>
      </c>
      <c r="D1781" t="s">
        <v>27</v>
      </c>
      <c r="E1781">
        <v>5400</v>
      </c>
      <c r="F1781" t="s">
        <v>14</v>
      </c>
      <c r="G1781" t="s">
        <v>15</v>
      </c>
      <c r="H1781" t="s">
        <v>16</v>
      </c>
      <c r="I1781" t="s">
        <v>17</v>
      </c>
      <c r="J1781" t="s">
        <v>18</v>
      </c>
      <c r="K1781">
        <v>0.1</v>
      </c>
    </row>
    <row r="1782" spans="1:11" x14ac:dyDescent="0.25">
      <c r="A1782" t="s">
        <v>1820</v>
      </c>
      <c r="B1782" s="1">
        <v>45178</v>
      </c>
      <c r="C1782" t="s">
        <v>12</v>
      </c>
      <c r="D1782" t="s">
        <v>27</v>
      </c>
      <c r="E1782">
        <v>16200</v>
      </c>
      <c r="F1782" t="s">
        <v>49</v>
      </c>
      <c r="G1782" t="s">
        <v>28</v>
      </c>
      <c r="H1782" t="s">
        <v>16</v>
      </c>
      <c r="I1782" t="s">
        <v>17</v>
      </c>
      <c r="J1782" t="s">
        <v>18</v>
      </c>
      <c r="K1782">
        <v>0.1</v>
      </c>
    </row>
    <row r="1783" spans="1:11" x14ac:dyDescent="0.25">
      <c r="A1783" t="s">
        <v>1821</v>
      </c>
      <c r="B1783" s="1">
        <v>45145</v>
      </c>
      <c r="C1783" t="s">
        <v>31</v>
      </c>
      <c r="D1783" t="s">
        <v>27</v>
      </c>
      <c r="E1783">
        <v>10800</v>
      </c>
      <c r="F1783" t="s">
        <v>49</v>
      </c>
      <c r="G1783" t="s">
        <v>24</v>
      </c>
      <c r="H1783" t="s">
        <v>33</v>
      </c>
      <c r="I1783" t="s">
        <v>34</v>
      </c>
      <c r="J1783" t="s">
        <v>18</v>
      </c>
      <c r="K1783">
        <v>0.1</v>
      </c>
    </row>
    <row r="1784" spans="1:11" x14ac:dyDescent="0.25">
      <c r="A1784" t="s">
        <v>1822</v>
      </c>
      <c r="B1784" s="1">
        <v>45293</v>
      </c>
      <c r="C1784" t="s">
        <v>31</v>
      </c>
      <c r="D1784" t="s">
        <v>13</v>
      </c>
      <c r="E1784">
        <v>1000</v>
      </c>
      <c r="F1784" t="s">
        <v>49</v>
      </c>
      <c r="G1784" t="s">
        <v>15</v>
      </c>
      <c r="H1784" t="s">
        <v>16</v>
      </c>
      <c r="I1784" t="s">
        <v>17</v>
      </c>
      <c r="J1784" t="s">
        <v>58</v>
      </c>
      <c r="K1784">
        <v>0</v>
      </c>
    </row>
    <row r="1785" spans="1:11" x14ac:dyDescent="0.25">
      <c r="A1785" t="s">
        <v>1823</v>
      </c>
      <c r="B1785" s="1">
        <v>45262</v>
      </c>
      <c r="C1785" t="s">
        <v>31</v>
      </c>
      <c r="D1785" t="s">
        <v>13</v>
      </c>
      <c r="E1785">
        <v>1000</v>
      </c>
      <c r="F1785" t="s">
        <v>14</v>
      </c>
      <c r="G1785" t="s">
        <v>15</v>
      </c>
      <c r="H1785" t="s">
        <v>16</v>
      </c>
      <c r="I1785" t="s">
        <v>17</v>
      </c>
      <c r="J1785" t="s">
        <v>37</v>
      </c>
      <c r="K1785">
        <v>0</v>
      </c>
    </row>
    <row r="1786" spans="1:11" x14ac:dyDescent="0.25">
      <c r="A1786" t="s">
        <v>1824</v>
      </c>
      <c r="B1786" s="1">
        <v>45450</v>
      </c>
      <c r="C1786" t="s">
        <v>31</v>
      </c>
      <c r="D1786" t="s">
        <v>13</v>
      </c>
      <c r="E1786">
        <v>1000</v>
      </c>
      <c r="F1786" t="s">
        <v>14</v>
      </c>
      <c r="G1786" t="s">
        <v>28</v>
      </c>
      <c r="H1786" t="s">
        <v>16</v>
      </c>
      <c r="I1786" t="s">
        <v>17</v>
      </c>
      <c r="J1786" t="s">
        <v>37</v>
      </c>
      <c r="K1786">
        <v>0</v>
      </c>
    </row>
    <row r="1787" spans="1:11" x14ac:dyDescent="0.25">
      <c r="A1787" t="s">
        <v>1825</v>
      </c>
      <c r="B1787" s="1">
        <v>45292</v>
      </c>
      <c r="C1787" t="s">
        <v>31</v>
      </c>
      <c r="D1787" t="s">
        <v>27</v>
      </c>
      <c r="E1787">
        <v>10800</v>
      </c>
      <c r="F1787" t="s">
        <v>32</v>
      </c>
      <c r="G1787" t="s">
        <v>24</v>
      </c>
      <c r="H1787" t="s">
        <v>16</v>
      </c>
      <c r="I1787" t="s">
        <v>17</v>
      </c>
      <c r="J1787" t="s">
        <v>39</v>
      </c>
      <c r="K1787">
        <v>0.1</v>
      </c>
    </row>
    <row r="1788" spans="1:11" x14ac:dyDescent="0.25">
      <c r="A1788" t="s">
        <v>1826</v>
      </c>
      <c r="B1788" s="1">
        <v>45366</v>
      </c>
      <c r="C1788" t="s">
        <v>31</v>
      </c>
      <c r="D1788" t="s">
        <v>13</v>
      </c>
      <c r="E1788">
        <v>1000</v>
      </c>
      <c r="F1788" t="s">
        <v>14</v>
      </c>
      <c r="G1788" t="s">
        <v>15</v>
      </c>
      <c r="H1788" t="s">
        <v>16</v>
      </c>
      <c r="I1788" t="s">
        <v>17</v>
      </c>
      <c r="J1788" t="s">
        <v>41</v>
      </c>
      <c r="K1788">
        <v>0</v>
      </c>
    </row>
    <row r="1789" spans="1:11" x14ac:dyDescent="0.25">
      <c r="A1789" t="s">
        <v>1827</v>
      </c>
      <c r="B1789" s="1">
        <v>45309</v>
      </c>
      <c r="C1789" t="s">
        <v>20</v>
      </c>
      <c r="D1789" t="s">
        <v>13</v>
      </c>
      <c r="E1789">
        <v>500</v>
      </c>
      <c r="F1789" t="s">
        <v>21</v>
      </c>
      <c r="G1789" t="s">
        <v>15</v>
      </c>
      <c r="H1789" t="s">
        <v>33</v>
      </c>
      <c r="I1789" t="s">
        <v>34</v>
      </c>
      <c r="J1789" t="s">
        <v>25</v>
      </c>
      <c r="K1789">
        <v>0</v>
      </c>
    </row>
    <row r="1790" spans="1:11" x14ac:dyDescent="0.25">
      <c r="A1790" t="s">
        <v>1828</v>
      </c>
      <c r="B1790" s="1">
        <v>44948</v>
      </c>
      <c r="C1790" t="s">
        <v>20</v>
      </c>
      <c r="D1790" t="s">
        <v>27</v>
      </c>
      <c r="E1790">
        <v>5400</v>
      </c>
      <c r="F1790" t="s">
        <v>21</v>
      </c>
      <c r="G1790" t="s">
        <v>24</v>
      </c>
      <c r="H1790" t="s">
        <v>33</v>
      </c>
      <c r="I1790" t="s">
        <v>34</v>
      </c>
      <c r="J1790" t="s">
        <v>25</v>
      </c>
      <c r="K1790">
        <v>0.1</v>
      </c>
    </row>
    <row r="1791" spans="1:11" x14ac:dyDescent="0.25">
      <c r="A1791" t="s">
        <v>1829</v>
      </c>
      <c r="B1791" s="1">
        <v>44959</v>
      </c>
      <c r="C1791" t="s">
        <v>20</v>
      </c>
      <c r="D1791" t="s">
        <v>27</v>
      </c>
      <c r="E1791">
        <v>5400</v>
      </c>
      <c r="F1791" t="s">
        <v>14</v>
      </c>
      <c r="G1791" t="s">
        <v>24</v>
      </c>
      <c r="H1791" t="s">
        <v>33</v>
      </c>
      <c r="I1791" t="s">
        <v>34</v>
      </c>
      <c r="J1791" t="s">
        <v>55</v>
      </c>
      <c r="K1791">
        <v>0.1</v>
      </c>
    </row>
    <row r="1792" spans="1:11" x14ac:dyDescent="0.25">
      <c r="A1792" t="s">
        <v>1830</v>
      </c>
      <c r="B1792" s="1">
        <v>45489</v>
      </c>
      <c r="C1792" t="s">
        <v>12</v>
      </c>
      <c r="D1792" t="s">
        <v>13</v>
      </c>
      <c r="E1792">
        <v>1500</v>
      </c>
      <c r="F1792" t="s">
        <v>49</v>
      </c>
      <c r="G1792" t="s">
        <v>24</v>
      </c>
      <c r="H1792" t="s">
        <v>33</v>
      </c>
      <c r="I1792" t="s">
        <v>34</v>
      </c>
      <c r="J1792" t="s">
        <v>50</v>
      </c>
      <c r="K1792">
        <v>0</v>
      </c>
    </row>
    <row r="1793" spans="1:11" x14ac:dyDescent="0.25">
      <c r="A1793" t="s">
        <v>1831</v>
      </c>
      <c r="B1793" s="1">
        <v>45354</v>
      </c>
      <c r="C1793" t="s">
        <v>12</v>
      </c>
      <c r="D1793" t="s">
        <v>13</v>
      </c>
      <c r="E1793">
        <v>1500</v>
      </c>
      <c r="F1793" t="s">
        <v>32</v>
      </c>
      <c r="G1793" t="s">
        <v>24</v>
      </c>
      <c r="H1793" t="s">
        <v>33</v>
      </c>
      <c r="I1793" t="s">
        <v>34</v>
      </c>
      <c r="J1793" t="s">
        <v>25</v>
      </c>
      <c r="K1793">
        <v>0</v>
      </c>
    </row>
    <row r="1794" spans="1:11" x14ac:dyDescent="0.25">
      <c r="A1794" t="s">
        <v>1832</v>
      </c>
      <c r="B1794" s="1">
        <v>45107</v>
      </c>
      <c r="C1794" t="s">
        <v>12</v>
      </c>
      <c r="D1794" t="s">
        <v>27</v>
      </c>
      <c r="E1794">
        <v>16200</v>
      </c>
      <c r="F1794" t="s">
        <v>21</v>
      </c>
      <c r="G1794" t="s">
        <v>28</v>
      </c>
      <c r="H1794" t="s">
        <v>33</v>
      </c>
      <c r="I1794" t="s">
        <v>34</v>
      </c>
      <c r="J1794" t="s">
        <v>22</v>
      </c>
      <c r="K1794">
        <v>0.1</v>
      </c>
    </row>
    <row r="1795" spans="1:11" x14ac:dyDescent="0.25">
      <c r="A1795" t="s">
        <v>1833</v>
      </c>
      <c r="B1795" s="1">
        <v>45475</v>
      </c>
      <c r="C1795" t="s">
        <v>31</v>
      </c>
      <c r="D1795" t="s">
        <v>13</v>
      </c>
      <c r="E1795">
        <v>1000</v>
      </c>
      <c r="F1795" t="s">
        <v>14</v>
      </c>
      <c r="G1795" t="s">
        <v>28</v>
      </c>
      <c r="H1795" t="s">
        <v>33</v>
      </c>
      <c r="I1795" t="s">
        <v>34</v>
      </c>
      <c r="J1795" t="s">
        <v>37</v>
      </c>
      <c r="K1795">
        <v>0</v>
      </c>
    </row>
    <row r="1796" spans="1:11" x14ac:dyDescent="0.25">
      <c r="A1796" t="s">
        <v>1834</v>
      </c>
      <c r="B1796" s="1">
        <v>45229</v>
      </c>
      <c r="C1796" t="s">
        <v>12</v>
      </c>
      <c r="D1796" t="s">
        <v>13</v>
      </c>
      <c r="E1796">
        <v>1500</v>
      </c>
      <c r="F1796" t="s">
        <v>21</v>
      </c>
      <c r="G1796" t="s">
        <v>24</v>
      </c>
      <c r="H1796" t="s">
        <v>16</v>
      </c>
      <c r="I1796" t="s">
        <v>17</v>
      </c>
      <c r="J1796" t="s">
        <v>25</v>
      </c>
      <c r="K1796">
        <v>0</v>
      </c>
    </row>
    <row r="1797" spans="1:11" x14ac:dyDescent="0.25">
      <c r="A1797" t="s">
        <v>1835</v>
      </c>
      <c r="B1797" s="1">
        <v>45381</v>
      </c>
      <c r="C1797" t="s">
        <v>31</v>
      </c>
      <c r="D1797" t="s">
        <v>27</v>
      </c>
      <c r="E1797">
        <v>10800</v>
      </c>
      <c r="F1797" t="s">
        <v>32</v>
      </c>
      <c r="G1797" t="s">
        <v>24</v>
      </c>
      <c r="H1797" t="s">
        <v>33</v>
      </c>
      <c r="I1797" t="s">
        <v>34</v>
      </c>
      <c r="J1797" t="s">
        <v>25</v>
      </c>
      <c r="K1797">
        <v>0.1</v>
      </c>
    </row>
    <row r="1798" spans="1:11" x14ac:dyDescent="0.25">
      <c r="A1798" t="s">
        <v>1836</v>
      </c>
      <c r="B1798" s="1">
        <v>45421</v>
      </c>
      <c r="C1798" t="s">
        <v>12</v>
      </c>
      <c r="D1798" t="s">
        <v>13</v>
      </c>
      <c r="E1798">
        <v>1500</v>
      </c>
      <c r="F1798" t="s">
        <v>49</v>
      </c>
      <c r="G1798" t="s">
        <v>15</v>
      </c>
      <c r="H1798" t="s">
        <v>16</v>
      </c>
      <c r="I1798" t="s">
        <v>17</v>
      </c>
      <c r="J1798" t="s">
        <v>35</v>
      </c>
      <c r="K1798">
        <v>0</v>
      </c>
    </row>
    <row r="1799" spans="1:11" x14ac:dyDescent="0.25">
      <c r="A1799" t="s">
        <v>1837</v>
      </c>
      <c r="B1799" s="1">
        <v>45596</v>
      </c>
      <c r="C1799" t="s">
        <v>20</v>
      </c>
      <c r="D1799" t="s">
        <v>27</v>
      </c>
      <c r="E1799">
        <v>5400</v>
      </c>
      <c r="F1799" t="s">
        <v>32</v>
      </c>
      <c r="G1799" t="s">
        <v>24</v>
      </c>
      <c r="H1799" t="s">
        <v>16</v>
      </c>
      <c r="I1799" t="s">
        <v>17</v>
      </c>
      <c r="J1799" t="s">
        <v>39</v>
      </c>
      <c r="K1799">
        <v>0.1</v>
      </c>
    </row>
    <row r="1800" spans="1:11" x14ac:dyDescent="0.25">
      <c r="A1800" t="s">
        <v>1838</v>
      </c>
      <c r="B1800" s="1">
        <v>45179</v>
      </c>
      <c r="C1800" t="s">
        <v>31</v>
      </c>
      <c r="D1800" t="s">
        <v>27</v>
      </c>
      <c r="E1800">
        <v>10800</v>
      </c>
      <c r="F1800" t="s">
        <v>21</v>
      </c>
      <c r="G1800" t="s">
        <v>28</v>
      </c>
      <c r="H1800" t="s">
        <v>33</v>
      </c>
      <c r="I1800" t="s">
        <v>34</v>
      </c>
      <c r="J1800" t="s">
        <v>29</v>
      </c>
      <c r="K1800">
        <v>0.1</v>
      </c>
    </row>
    <row r="1801" spans="1:11" x14ac:dyDescent="0.25">
      <c r="A1801" t="s">
        <v>1839</v>
      </c>
      <c r="B1801" s="1">
        <v>45401</v>
      </c>
      <c r="C1801" t="s">
        <v>20</v>
      </c>
      <c r="D1801" t="s">
        <v>27</v>
      </c>
      <c r="E1801">
        <v>5400</v>
      </c>
      <c r="F1801" t="s">
        <v>14</v>
      </c>
      <c r="G1801" t="s">
        <v>28</v>
      </c>
      <c r="H1801" t="s">
        <v>33</v>
      </c>
      <c r="I1801" t="s">
        <v>34</v>
      </c>
      <c r="J1801" t="s">
        <v>22</v>
      </c>
      <c r="K1801">
        <v>0.1</v>
      </c>
    </row>
    <row r="1802" spans="1:11" x14ac:dyDescent="0.25">
      <c r="A1802" t="s">
        <v>1840</v>
      </c>
      <c r="B1802" s="1">
        <v>45092</v>
      </c>
      <c r="C1802" t="s">
        <v>12</v>
      </c>
      <c r="D1802" t="s">
        <v>13</v>
      </c>
      <c r="E1802">
        <v>1500</v>
      </c>
      <c r="F1802" t="s">
        <v>14</v>
      </c>
      <c r="G1802" t="s">
        <v>15</v>
      </c>
      <c r="H1802" t="s">
        <v>16</v>
      </c>
      <c r="I1802" t="s">
        <v>17</v>
      </c>
      <c r="J1802" t="s">
        <v>55</v>
      </c>
      <c r="K1802">
        <v>0</v>
      </c>
    </row>
    <row r="1803" spans="1:11" x14ac:dyDescent="0.25">
      <c r="A1803" t="s">
        <v>1841</v>
      </c>
      <c r="B1803" s="1">
        <v>45653</v>
      </c>
      <c r="C1803" t="s">
        <v>12</v>
      </c>
      <c r="D1803" t="s">
        <v>13</v>
      </c>
      <c r="E1803">
        <v>1500</v>
      </c>
      <c r="F1803" t="s">
        <v>21</v>
      </c>
      <c r="G1803" t="s">
        <v>24</v>
      </c>
      <c r="H1803" t="s">
        <v>33</v>
      </c>
      <c r="I1803" t="s">
        <v>34</v>
      </c>
      <c r="J1803" t="s">
        <v>25</v>
      </c>
      <c r="K1803">
        <v>0</v>
      </c>
    </row>
    <row r="1804" spans="1:11" x14ac:dyDescent="0.25">
      <c r="A1804" t="s">
        <v>1842</v>
      </c>
      <c r="B1804" s="1">
        <v>45316</v>
      </c>
      <c r="C1804" t="s">
        <v>31</v>
      </c>
      <c r="D1804" t="s">
        <v>13</v>
      </c>
      <c r="E1804">
        <v>1000</v>
      </c>
      <c r="F1804" t="s">
        <v>21</v>
      </c>
      <c r="G1804" t="s">
        <v>28</v>
      </c>
      <c r="H1804" t="s">
        <v>33</v>
      </c>
      <c r="I1804" t="s">
        <v>34</v>
      </c>
      <c r="J1804" t="s">
        <v>29</v>
      </c>
      <c r="K1804">
        <v>0</v>
      </c>
    </row>
    <row r="1805" spans="1:11" x14ac:dyDescent="0.25">
      <c r="A1805" t="s">
        <v>1843</v>
      </c>
      <c r="B1805" s="1">
        <v>45492</v>
      </c>
      <c r="C1805" t="s">
        <v>20</v>
      </c>
      <c r="D1805" t="s">
        <v>13</v>
      </c>
      <c r="E1805">
        <v>500</v>
      </c>
      <c r="F1805" t="s">
        <v>32</v>
      </c>
      <c r="G1805" t="s">
        <v>15</v>
      </c>
      <c r="H1805" t="s">
        <v>16</v>
      </c>
      <c r="I1805" t="s">
        <v>17</v>
      </c>
      <c r="J1805" t="s">
        <v>25</v>
      </c>
      <c r="K1805">
        <v>0</v>
      </c>
    </row>
    <row r="1806" spans="1:11" x14ac:dyDescent="0.25">
      <c r="A1806" t="s">
        <v>1844</v>
      </c>
      <c r="B1806" s="1">
        <v>45303</v>
      </c>
      <c r="C1806" t="s">
        <v>31</v>
      </c>
      <c r="D1806" t="s">
        <v>13</v>
      </c>
      <c r="E1806">
        <v>1000</v>
      </c>
      <c r="F1806" t="s">
        <v>21</v>
      </c>
      <c r="G1806" t="s">
        <v>28</v>
      </c>
      <c r="H1806" t="s">
        <v>16</v>
      </c>
      <c r="I1806" t="s">
        <v>17</v>
      </c>
      <c r="J1806" t="s">
        <v>18</v>
      </c>
      <c r="K1806">
        <v>0</v>
      </c>
    </row>
    <row r="1807" spans="1:11" x14ac:dyDescent="0.25">
      <c r="A1807" t="s">
        <v>1845</v>
      </c>
      <c r="B1807" s="1">
        <v>45143</v>
      </c>
      <c r="C1807" t="s">
        <v>31</v>
      </c>
      <c r="D1807" t="s">
        <v>13</v>
      </c>
      <c r="E1807">
        <v>1000</v>
      </c>
      <c r="F1807" t="s">
        <v>49</v>
      </c>
      <c r="G1807" t="s">
        <v>24</v>
      </c>
      <c r="H1807" t="s">
        <v>33</v>
      </c>
      <c r="I1807" t="s">
        <v>34</v>
      </c>
      <c r="J1807" t="s">
        <v>50</v>
      </c>
      <c r="K1807">
        <v>0</v>
      </c>
    </row>
    <row r="1808" spans="1:11" x14ac:dyDescent="0.25">
      <c r="A1808" t="s">
        <v>1846</v>
      </c>
      <c r="B1808" s="1">
        <v>45142</v>
      </c>
      <c r="C1808" t="s">
        <v>20</v>
      </c>
      <c r="D1808" t="s">
        <v>13</v>
      </c>
      <c r="E1808">
        <v>500</v>
      </c>
      <c r="F1808" t="s">
        <v>21</v>
      </c>
      <c r="G1808" t="s">
        <v>15</v>
      </c>
      <c r="H1808" t="s">
        <v>16</v>
      </c>
      <c r="I1808" t="s">
        <v>17</v>
      </c>
      <c r="J1808" t="s">
        <v>18</v>
      </c>
      <c r="K1808">
        <v>0</v>
      </c>
    </row>
    <row r="1809" spans="1:11" x14ac:dyDescent="0.25">
      <c r="A1809" t="s">
        <v>1847</v>
      </c>
      <c r="B1809" s="1">
        <v>45377</v>
      </c>
      <c r="C1809" t="s">
        <v>12</v>
      </c>
      <c r="D1809" t="s">
        <v>27</v>
      </c>
      <c r="E1809">
        <v>16200</v>
      </c>
      <c r="F1809" t="s">
        <v>32</v>
      </c>
      <c r="G1809" t="s">
        <v>24</v>
      </c>
      <c r="H1809" t="s">
        <v>16</v>
      </c>
      <c r="I1809" t="s">
        <v>17</v>
      </c>
      <c r="J1809" t="s">
        <v>44</v>
      </c>
      <c r="K1809">
        <v>0.1</v>
      </c>
    </row>
    <row r="1810" spans="1:11" x14ac:dyDescent="0.25">
      <c r="A1810" t="s">
        <v>1848</v>
      </c>
      <c r="B1810" s="1">
        <v>45418</v>
      </c>
      <c r="C1810" t="s">
        <v>12</v>
      </c>
      <c r="D1810" t="s">
        <v>27</v>
      </c>
      <c r="E1810">
        <v>16200</v>
      </c>
      <c r="F1810" t="s">
        <v>21</v>
      </c>
      <c r="G1810" t="s">
        <v>28</v>
      </c>
      <c r="H1810" t="s">
        <v>16</v>
      </c>
      <c r="I1810" t="s">
        <v>17</v>
      </c>
      <c r="J1810" t="s">
        <v>18</v>
      </c>
      <c r="K1810">
        <v>0.1</v>
      </c>
    </row>
    <row r="1811" spans="1:11" x14ac:dyDescent="0.25">
      <c r="A1811" t="s">
        <v>1849</v>
      </c>
      <c r="B1811" s="1">
        <v>45053</v>
      </c>
      <c r="C1811" t="s">
        <v>12</v>
      </c>
      <c r="D1811" t="s">
        <v>27</v>
      </c>
      <c r="E1811">
        <v>16200</v>
      </c>
      <c r="F1811" t="s">
        <v>21</v>
      </c>
      <c r="G1811" t="s">
        <v>15</v>
      </c>
      <c r="H1811" t="s">
        <v>33</v>
      </c>
      <c r="I1811" t="s">
        <v>34</v>
      </c>
      <c r="J1811" t="s">
        <v>29</v>
      </c>
      <c r="K1811">
        <v>0.1</v>
      </c>
    </row>
    <row r="1812" spans="1:11" x14ac:dyDescent="0.25">
      <c r="A1812" t="s">
        <v>1850</v>
      </c>
      <c r="B1812" s="1">
        <v>45451</v>
      </c>
      <c r="C1812" t="s">
        <v>12</v>
      </c>
      <c r="D1812" t="s">
        <v>27</v>
      </c>
      <c r="E1812">
        <v>16200</v>
      </c>
      <c r="F1812" t="s">
        <v>49</v>
      </c>
      <c r="G1812" t="s">
        <v>24</v>
      </c>
      <c r="H1812" t="s">
        <v>16</v>
      </c>
      <c r="I1812" t="s">
        <v>17</v>
      </c>
      <c r="J1812" t="s">
        <v>22</v>
      </c>
      <c r="K1812">
        <v>0.1</v>
      </c>
    </row>
    <row r="1813" spans="1:11" x14ac:dyDescent="0.25">
      <c r="A1813" t="s">
        <v>1851</v>
      </c>
      <c r="B1813" s="1">
        <v>45086</v>
      </c>
      <c r="C1813" t="s">
        <v>12</v>
      </c>
      <c r="D1813" t="s">
        <v>13</v>
      </c>
      <c r="E1813">
        <v>1500</v>
      </c>
      <c r="F1813" t="s">
        <v>32</v>
      </c>
      <c r="G1813" t="s">
        <v>24</v>
      </c>
      <c r="H1813" t="s">
        <v>33</v>
      </c>
      <c r="I1813" t="s">
        <v>34</v>
      </c>
      <c r="J1813" t="s">
        <v>66</v>
      </c>
      <c r="K1813">
        <v>0</v>
      </c>
    </row>
    <row r="1814" spans="1:11" x14ac:dyDescent="0.25">
      <c r="A1814" t="s">
        <v>1852</v>
      </c>
      <c r="B1814" s="1">
        <v>45278</v>
      </c>
      <c r="C1814" t="s">
        <v>12</v>
      </c>
      <c r="D1814" t="s">
        <v>27</v>
      </c>
      <c r="E1814">
        <v>16200</v>
      </c>
      <c r="F1814" t="s">
        <v>21</v>
      </c>
      <c r="G1814" t="s">
        <v>28</v>
      </c>
      <c r="H1814" t="s">
        <v>33</v>
      </c>
      <c r="I1814" t="s">
        <v>34</v>
      </c>
      <c r="J1814" t="s">
        <v>29</v>
      </c>
      <c r="K1814">
        <v>0.1</v>
      </c>
    </row>
    <row r="1815" spans="1:11" x14ac:dyDescent="0.25">
      <c r="A1815" t="s">
        <v>1853</v>
      </c>
      <c r="B1815" s="1">
        <v>45638</v>
      </c>
      <c r="C1815" t="s">
        <v>31</v>
      </c>
      <c r="D1815" t="s">
        <v>13</v>
      </c>
      <c r="E1815">
        <v>1000</v>
      </c>
      <c r="F1815" t="s">
        <v>14</v>
      </c>
      <c r="G1815" t="s">
        <v>24</v>
      </c>
      <c r="H1815" t="s">
        <v>33</v>
      </c>
      <c r="I1815" t="s">
        <v>34</v>
      </c>
      <c r="J1815" t="s">
        <v>22</v>
      </c>
      <c r="K1815">
        <v>0</v>
      </c>
    </row>
    <row r="1816" spans="1:11" x14ac:dyDescent="0.25">
      <c r="A1816" t="s">
        <v>1854</v>
      </c>
      <c r="B1816" s="1">
        <v>45384</v>
      </c>
      <c r="C1816" t="s">
        <v>20</v>
      </c>
      <c r="D1816" t="s">
        <v>13</v>
      </c>
      <c r="E1816">
        <v>500</v>
      </c>
      <c r="F1816" t="s">
        <v>21</v>
      </c>
      <c r="G1816" t="s">
        <v>28</v>
      </c>
      <c r="H1816" t="s">
        <v>16</v>
      </c>
      <c r="I1816" t="s">
        <v>17</v>
      </c>
      <c r="J1816" t="s">
        <v>18</v>
      </c>
      <c r="K1816">
        <v>0</v>
      </c>
    </row>
    <row r="1817" spans="1:11" x14ac:dyDescent="0.25">
      <c r="A1817" t="s">
        <v>1855</v>
      </c>
      <c r="B1817" s="1">
        <v>45232</v>
      </c>
      <c r="C1817" t="s">
        <v>20</v>
      </c>
      <c r="D1817" t="s">
        <v>27</v>
      </c>
      <c r="E1817">
        <v>5400</v>
      </c>
      <c r="F1817" t="s">
        <v>32</v>
      </c>
      <c r="G1817" t="s">
        <v>24</v>
      </c>
      <c r="H1817" t="s">
        <v>33</v>
      </c>
      <c r="I1817" t="s">
        <v>34</v>
      </c>
      <c r="J1817" t="s">
        <v>39</v>
      </c>
      <c r="K1817">
        <v>0.1</v>
      </c>
    </row>
    <row r="1818" spans="1:11" x14ac:dyDescent="0.25">
      <c r="A1818" t="s">
        <v>1856</v>
      </c>
      <c r="B1818" s="1">
        <v>45416</v>
      </c>
      <c r="C1818" t="s">
        <v>20</v>
      </c>
      <c r="D1818" t="s">
        <v>27</v>
      </c>
      <c r="E1818">
        <v>5400</v>
      </c>
      <c r="F1818" t="s">
        <v>49</v>
      </c>
      <c r="G1818" t="s">
        <v>24</v>
      </c>
      <c r="H1818" t="s">
        <v>33</v>
      </c>
      <c r="I1818" t="s">
        <v>34</v>
      </c>
      <c r="J1818" t="s">
        <v>35</v>
      </c>
      <c r="K1818">
        <v>0.1</v>
      </c>
    </row>
    <row r="1819" spans="1:11" x14ac:dyDescent="0.25">
      <c r="A1819" t="s">
        <v>1857</v>
      </c>
      <c r="B1819" s="1">
        <v>45590</v>
      </c>
      <c r="C1819" t="s">
        <v>12</v>
      </c>
      <c r="D1819" t="s">
        <v>13</v>
      </c>
      <c r="E1819">
        <v>1500</v>
      </c>
      <c r="F1819" t="s">
        <v>32</v>
      </c>
      <c r="G1819" t="s">
        <v>15</v>
      </c>
      <c r="H1819" t="s">
        <v>33</v>
      </c>
      <c r="I1819" t="s">
        <v>34</v>
      </c>
      <c r="J1819" t="s">
        <v>35</v>
      </c>
      <c r="K1819">
        <v>0</v>
      </c>
    </row>
    <row r="1820" spans="1:11" x14ac:dyDescent="0.25">
      <c r="A1820" t="s">
        <v>1858</v>
      </c>
      <c r="B1820" s="1">
        <v>45192</v>
      </c>
      <c r="C1820" t="s">
        <v>31</v>
      </c>
      <c r="D1820" t="s">
        <v>13</v>
      </c>
      <c r="E1820">
        <v>1000</v>
      </c>
      <c r="F1820" t="s">
        <v>21</v>
      </c>
      <c r="G1820" t="s">
        <v>24</v>
      </c>
      <c r="H1820" t="s">
        <v>33</v>
      </c>
      <c r="I1820" t="s">
        <v>34</v>
      </c>
      <c r="J1820" t="s">
        <v>18</v>
      </c>
      <c r="K1820">
        <v>0</v>
      </c>
    </row>
    <row r="1821" spans="1:11" x14ac:dyDescent="0.25">
      <c r="A1821" t="s">
        <v>1859</v>
      </c>
      <c r="B1821" s="1">
        <v>45471</v>
      </c>
      <c r="C1821" t="s">
        <v>31</v>
      </c>
      <c r="D1821" t="s">
        <v>27</v>
      </c>
      <c r="E1821">
        <v>10800</v>
      </c>
      <c r="F1821" t="s">
        <v>21</v>
      </c>
      <c r="G1821" t="s">
        <v>24</v>
      </c>
      <c r="H1821" t="s">
        <v>33</v>
      </c>
      <c r="I1821" t="s">
        <v>34</v>
      </c>
      <c r="J1821" t="s">
        <v>29</v>
      </c>
      <c r="K1821">
        <v>0.1</v>
      </c>
    </row>
    <row r="1822" spans="1:11" x14ac:dyDescent="0.25">
      <c r="A1822" t="s">
        <v>1860</v>
      </c>
      <c r="B1822" s="1">
        <v>45499</v>
      </c>
      <c r="C1822" t="s">
        <v>12</v>
      </c>
      <c r="D1822" t="s">
        <v>27</v>
      </c>
      <c r="E1822">
        <v>16200</v>
      </c>
      <c r="F1822" t="s">
        <v>21</v>
      </c>
      <c r="G1822" t="s">
        <v>24</v>
      </c>
      <c r="H1822" t="s">
        <v>16</v>
      </c>
      <c r="I1822" t="s">
        <v>17</v>
      </c>
      <c r="J1822" t="s">
        <v>18</v>
      </c>
      <c r="K1822">
        <v>0.1</v>
      </c>
    </row>
    <row r="1823" spans="1:11" x14ac:dyDescent="0.25">
      <c r="A1823" t="s">
        <v>1861</v>
      </c>
      <c r="B1823" s="1">
        <v>45066</v>
      </c>
      <c r="C1823" t="s">
        <v>12</v>
      </c>
      <c r="D1823" t="s">
        <v>13</v>
      </c>
      <c r="E1823">
        <v>1500</v>
      </c>
      <c r="F1823" t="s">
        <v>32</v>
      </c>
      <c r="G1823" t="s">
        <v>24</v>
      </c>
      <c r="H1823" t="s">
        <v>33</v>
      </c>
      <c r="I1823" t="s">
        <v>34</v>
      </c>
      <c r="J1823" t="s">
        <v>25</v>
      </c>
      <c r="K1823">
        <v>0</v>
      </c>
    </row>
    <row r="1824" spans="1:11" x14ac:dyDescent="0.25">
      <c r="A1824" t="s">
        <v>1862</v>
      </c>
      <c r="B1824" s="1">
        <v>45083</v>
      </c>
      <c r="C1824" t="s">
        <v>12</v>
      </c>
      <c r="D1824" t="s">
        <v>13</v>
      </c>
      <c r="E1824">
        <v>1500</v>
      </c>
      <c r="F1824" t="s">
        <v>49</v>
      </c>
      <c r="G1824" t="s">
        <v>15</v>
      </c>
      <c r="H1824" t="s">
        <v>16</v>
      </c>
      <c r="I1824" t="s">
        <v>17</v>
      </c>
      <c r="J1824" t="s">
        <v>50</v>
      </c>
      <c r="K1824">
        <v>0</v>
      </c>
    </row>
    <row r="1825" spans="1:11" x14ac:dyDescent="0.25">
      <c r="A1825" t="s">
        <v>1863</v>
      </c>
      <c r="B1825" s="1">
        <v>45217</v>
      </c>
      <c r="C1825" t="s">
        <v>20</v>
      </c>
      <c r="D1825" t="s">
        <v>13</v>
      </c>
      <c r="E1825">
        <v>500</v>
      </c>
      <c r="F1825" t="s">
        <v>32</v>
      </c>
      <c r="G1825" t="s">
        <v>28</v>
      </c>
      <c r="H1825" t="s">
        <v>33</v>
      </c>
      <c r="I1825" t="s">
        <v>34</v>
      </c>
      <c r="J1825" t="s">
        <v>39</v>
      </c>
      <c r="K1825">
        <v>0</v>
      </c>
    </row>
    <row r="1826" spans="1:11" x14ac:dyDescent="0.25">
      <c r="A1826" t="s">
        <v>1864</v>
      </c>
      <c r="B1826" s="1">
        <v>45271</v>
      </c>
      <c r="C1826" t="s">
        <v>20</v>
      </c>
      <c r="D1826" t="s">
        <v>27</v>
      </c>
      <c r="E1826">
        <v>5400</v>
      </c>
      <c r="F1826" t="s">
        <v>14</v>
      </c>
      <c r="G1826" t="s">
        <v>24</v>
      </c>
      <c r="H1826" t="s">
        <v>33</v>
      </c>
      <c r="I1826" t="s">
        <v>34</v>
      </c>
      <c r="J1826" t="s">
        <v>41</v>
      </c>
      <c r="K1826">
        <v>0.1</v>
      </c>
    </row>
    <row r="1827" spans="1:11" x14ac:dyDescent="0.25">
      <c r="A1827" t="s">
        <v>1865</v>
      </c>
      <c r="B1827" s="1">
        <v>45271</v>
      </c>
      <c r="C1827" t="s">
        <v>31</v>
      </c>
      <c r="D1827" t="s">
        <v>27</v>
      </c>
      <c r="E1827">
        <v>10800</v>
      </c>
      <c r="F1827" t="s">
        <v>21</v>
      </c>
      <c r="G1827" t="s">
        <v>28</v>
      </c>
      <c r="H1827" t="s">
        <v>33</v>
      </c>
      <c r="I1827" t="s">
        <v>34</v>
      </c>
      <c r="J1827" t="s">
        <v>18</v>
      </c>
      <c r="K1827">
        <v>0.1</v>
      </c>
    </row>
    <row r="1828" spans="1:11" x14ac:dyDescent="0.25">
      <c r="A1828" t="s">
        <v>1866</v>
      </c>
      <c r="B1828" s="1">
        <v>44961</v>
      </c>
      <c r="C1828" t="s">
        <v>12</v>
      </c>
      <c r="D1828" t="s">
        <v>27</v>
      </c>
      <c r="E1828">
        <v>16200</v>
      </c>
      <c r="F1828" t="s">
        <v>21</v>
      </c>
      <c r="G1828" t="s">
        <v>28</v>
      </c>
      <c r="H1828" t="s">
        <v>16</v>
      </c>
      <c r="I1828" t="s">
        <v>17</v>
      </c>
      <c r="J1828" t="s">
        <v>25</v>
      </c>
      <c r="K1828">
        <v>0.1</v>
      </c>
    </row>
    <row r="1829" spans="1:11" x14ac:dyDescent="0.25">
      <c r="A1829" t="s">
        <v>1867</v>
      </c>
      <c r="B1829" s="1">
        <v>45194</v>
      </c>
      <c r="C1829" t="s">
        <v>31</v>
      </c>
      <c r="D1829" t="s">
        <v>13</v>
      </c>
      <c r="E1829">
        <v>1000</v>
      </c>
      <c r="F1829" t="s">
        <v>14</v>
      </c>
      <c r="G1829" t="s">
        <v>28</v>
      </c>
      <c r="H1829" t="s">
        <v>33</v>
      </c>
      <c r="I1829" t="s">
        <v>34</v>
      </c>
      <c r="J1829" t="s">
        <v>41</v>
      </c>
      <c r="K1829">
        <v>0</v>
      </c>
    </row>
    <row r="1830" spans="1:11" x14ac:dyDescent="0.25">
      <c r="A1830" t="s">
        <v>1868</v>
      </c>
      <c r="B1830" s="1">
        <v>45213</v>
      </c>
      <c r="C1830" t="s">
        <v>31</v>
      </c>
      <c r="D1830" t="s">
        <v>13</v>
      </c>
      <c r="E1830">
        <v>1000</v>
      </c>
      <c r="F1830" t="s">
        <v>32</v>
      </c>
      <c r="G1830" t="s">
        <v>24</v>
      </c>
      <c r="H1830" t="s">
        <v>16</v>
      </c>
      <c r="I1830" t="s">
        <v>17</v>
      </c>
      <c r="J1830" t="s">
        <v>66</v>
      </c>
      <c r="K1830">
        <v>0</v>
      </c>
    </row>
    <row r="1831" spans="1:11" x14ac:dyDescent="0.25">
      <c r="A1831" t="s">
        <v>1869</v>
      </c>
      <c r="B1831" s="1">
        <v>45306</v>
      </c>
      <c r="C1831" t="s">
        <v>31</v>
      </c>
      <c r="D1831" t="s">
        <v>13</v>
      </c>
      <c r="E1831">
        <v>1000</v>
      </c>
      <c r="F1831" t="s">
        <v>14</v>
      </c>
      <c r="G1831" t="s">
        <v>15</v>
      </c>
      <c r="H1831" t="s">
        <v>33</v>
      </c>
      <c r="I1831" t="s">
        <v>34</v>
      </c>
      <c r="J1831" t="s">
        <v>37</v>
      </c>
      <c r="K1831">
        <v>0</v>
      </c>
    </row>
    <row r="1832" spans="1:11" x14ac:dyDescent="0.25">
      <c r="A1832" t="s">
        <v>1870</v>
      </c>
      <c r="B1832" s="1">
        <v>45103</v>
      </c>
      <c r="C1832" t="s">
        <v>12</v>
      </c>
      <c r="D1832" t="s">
        <v>27</v>
      </c>
      <c r="E1832">
        <v>16200</v>
      </c>
      <c r="F1832" t="s">
        <v>49</v>
      </c>
      <c r="G1832" t="s">
        <v>28</v>
      </c>
      <c r="H1832" t="s">
        <v>16</v>
      </c>
      <c r="I1832" t="s">
        <v>17</v>
      </c>
      <c r="J1832" t="s">
        <v>35</v>
      </c>
      <c r="K1832">
        <v>0.1</v>
      </c>
    </row>
    <row r="1833" spans="1:11" x14ac:dyDescent="0.25">
      <c r="A1833" t="s">
        <v>1871</v>
      </c>
      <c r="B1833" s="1">
        <v>45513</v>
      </c>
      <c r="C1833" t="s">
        <v>20</v>
      </c>
      <c r="D1833" t="s">
        <v>13</v>
      </c>
      <c r="E1833">
        <v>500</v>
      </c>
      <c r="F1833" t="s">
        <v>32</v>
      </c>
      <c r="G1833" t="s">
        <v>24</v>
      </c>
      <c r="H1833" t="s">
        <v>16</v>
      </c>
      <c r="I1833" t="s">
        <v>17</v>
      </c>
      <c r="J1833" t="s">
        <v>44</v>
      </c>
      <c r="K1833">
        <v>0</v>
      </c>
    </row>
    <row r="1834" spans="1:11" x14ac:dyDescent="0.25">
      <c r="A1834" t="s">
        <v>1872</v>
      </c>
      <c r="B1834" s="1">
        <v>45597</v>
      </c>
      <c r="C1834" t="s">
        <v>20</v>
      </c>
      <c r="D1834" t="s">
        <v>27</v>
      </c>
      <c r="E1834">
        <v>5400</v>
      </c>
      <c r="F1834" t="s">
        <v>21</v>
      </c>
      <c r="G1834" t="s">
        <v>28</v>
      </c>
      <c r="H1834" t="s">
        <v>33</v>
      </c>
      <c r="I1834" t="s">
        <v>34</v>
      </c>
      <c r="J1834" t="s">
        <v>22</v>
      </c>
      <c r="K1834">
        <v>0.1</v>
      </c>
    </row>
    <row r="1835" spans="1:11" x14ac:dyDescent="0.25">
      <c r="A1835" t="s">
        <v>1873</v>
      </c>
      <c r="B1835" s="1">
        <v>45172</v>
      </c>
      <c r="C1835" t="s">
        <v>20</v>
      </c>
      <c r="D1835" t="s">
        <v>13</v>
      </c>
      <c r="E1835">
        <v>500</v>
      </c>
      <c r="F1835" t="s">
        <v>14</v>
      </c>
      <c r="G1835" t="s">
        <v>15</v>
      </c>
      <c r="H1835" t="s">
        <v>33</v>
      </c>
      <c r="I1835" t="s">
        <v>34</v>
      </c>
      <c r="J1835" t="s">
        <v>37</v>
      </c>
      <c r="K1835">
        <v>0</v>
      </c>
    </row>
    <row r="1836" spans="1:11" x14ac:dyDescent="0.25">
      <c r="A1836" t="s">
        <v>1874</v>
      </c>
      <c r="B1836" s="1">
        <v>45511</v>
      </c>
      <c r="C1836" t="s">
        <v>12</v>
      </c>
      <c r="D1836" t="s">
        <v>27</v>
      </c>
      <c r="E1836">
        <v>16200</v>
      </c>
      <c r="F1836" t="s">
        <v>32</v>
      </c>
      <c r="G1836" t="s">
        <v>15</v>
      </c>
      <c r="H1836" t="s">
        <v>16</v>
      </c>
      <c r="I1836" t="s">
        <v>17</v>
      </c>
      <c r="J1836" t="s">
        <v>25</v>
      </c>
      <c r="K1836">
        <v>0.1</v>
      </c>
    </row>
    <row r="1837" spans="1:11" x14ac:dyDescent="0.25">
      <c r="A1837" t="s">
        <v>1875</v>
      </c>
      <c r="B1837" s="1">
        <v>45385</v>
      </c>
      <c r="C1837" t="s">
        <v>31</v>
      </c>
      <c r="D1837" t="s">
        <v>13</v>
      </c>
      <c r="E1837">
        <v>1000</v>
      </c>
      <c r="F1837" t="s">
        <v>32</v>
      </c>
      <c r="G1837" t="s">
        <v>28</v>
      </c>
      <c r="H1837" t="s">
        <v>16</v>
      </c>
      <c r="I1837" t="s">
        <v>17</v>
      </c>
      <c r="J1837" t="s">
        <v>44</v>
      </c>
      <c r="K1837">
        <v>0</v>
      </c>
    </row>
    <row r="1838" spans="1:11" x14ac:dyDescent="0.25">
      <c r="A1838" t="s">
        <v>1876</v>
      </c>
      <c r="B1838" s="1">
        <v>45541</v>
      </c>
      <c r="C1838" t="s">
        <v>20</v>
      </c>
      <c r="D1838" t="s">
        <v>13</v>
      </c>
      <c r="E1838">
        <v>500</v>
      </c>
      <c r="F1838" t="s">
        <v>14</v>
      </c>
      <c r="G1838" t="s">
        <v>24</v>
      </c>
      <c r="H1838" t="s">
        <v>16</v>
      </c>
      <c r="I1838" t="s">
        <v>17</v>
      </c>
      <c r="J1838" t="s">
        <v>55</v>
      </c>
      <c r="K1838">
        <v>0</v>
      </c>
    </row>
    <row r="1839" spans="1:11" x14ac:dyDescent="0.25">
      <c r="A1839" t="s">
        <v>1877</v>
      </c>
      <c r="B1839" s="1">
        <v>44981</v>
      </c>
      <c r="C1839" t="s">
        <v>20</v>
      </c>
      <c r="D1839" t="s">
        <v>27</v>
      </c>
      <c r="E1839">
        <v>5400</v>
      </c>
      <c r="F1839" t="s">
        <v>32</v>
      </c>
      <c r="G1839" t="s">
        <v>24</v>
      </c>
      <c r="H1839" t="s">
        <v>16</v>
      </c>
      <c r="I1839" t="s">
        <v>17</v>
      </c>
      <c r="J1839" t="s">
        <v>39</v>
      </c>
      <c r="K1839">
        <v>0.1</v>
      </c>
    </row>
    <row r="1840" spans="1:11" x14ac:dyDescent="0.25">
      <c r="A1840" t="s">
        <v>1878</v>
      </c>
      <c r="B1840" s="1">
        <v>45606</v>
      </c>
      <c r="C1840" t="s">
        <v>31</v>
      </c>
      <c r="D1840" t="s">
        <v>13</v>
      </c>
      <c r="E1840">
        <v>1000</v>
      </c>
      <c r="F1840" t="s">
        <v>49</v>
      </c>
      <c r="G1840" t="s">
        <v>28</v>
      </c>
      <c r="H1840" t="s">
        <v>16</v>
      </c>
      <c r="I1840" t="s">
        <v>17</v>
      </c>
      <c r="J1840" t="s">
        <v>18</v>
      </c>
      <c r="K1840">
        <v>0</v>
      </c>
    </row>
    <row r="1841" spans="1:11" x14ac:dyDescent="0.25">
      <c r="A1841" t="s">
        <v>1879</v>
      </c>
      <c r="B1841" s="1">
        <v>45295</v>
      </c>
      <c r="C1841" t="s">
        <v>12</v>
      </c>
      <c r="D1841" t="s">
        <v>27</v>
      </c>
      <c r="E1841">
        <v>16200</v>
      </c>
      <c r="F1841" t="s">
        <v>14</v>
      </c>
      <c r="G1841" t="s">
        <v>15</v>
      </c>
      <c r="H1841" t="s">
        <v>33</v>
      </c>
      <c r="I1841" t="s">
        <v>34</v>
      </c>
      <c r="J1841" t="s">
        <v>55</v>
      </c>
      <c r="K1841">
        <v>0.1</v>
      </c>
    </row>
    <row r="1842" spans="1:11" x14ac:dyDescent="0.25">
      <c r="A1842" t="s">
        <v>1880</v>
      </c>
      <c r="B1842" s="1">
        <v>45302</v>
      </c>
      <c r="C1842" t="s">
        <v>12</v>
      </c>
      <c r="D1842" t="s">
        <v>13</v>
      </c>
      <c r="E1842">
        <v>1500</v>
      </c>
      <c r="F1842" t="s">
        <v>32</v>
      </c>
      <c r="G1842" t="s">
        <v>24</v>
      </c>
      <c r="H1842" t="s">
        <v>33</v>
      </c>
      <c r="I1842" t="s">
        <v>34</v>
      </c>
      <c r="J1842" t="s">
        <v>44</v>
      </c>
      <c r="K1842">
        <v>0</v>
      </c>
    </row>
    <row r="1843" spans="1:11" x14ac:dyDescent="0.25">
      <c r="A1843" t="s">
        <v>1881</v>
      </c>
      <c r="B1843" s="1">
        <v>45269</v>
      </c>
      <c r="C1843" t="s">
        <v>20</v>
      </c>
      <c r="D1843" t="s">
        <v>27</v>
      </c>
      <c r="E1843">
        <v>5400</v>
      </c>
      <c r="F1843" t="s">
        <v>49</v>
      </c>
      <c r="G1843" t="s">
        <v>15</v>
      </c>
      <c r="H1843" t="s">
        <v>33</v>
      </c>
      <c r="I1843" t="s">
        <v>34</v>
      </c>
      <c r="J1843" t="s">
        <v>50</v>
      </c>
      <c r="K1843">
        <v>0.1</v>
      </c>
    </row>
    <row r="1844" spans="1:11" x14ac:dyDescent="0.25">
      <c r="A1844" t="s">
        <v>1882</v>
      </c>
      <c r="B1844" s="1">
        <v>44944</v>
      </c>
      <c r="C1844" t="s">
        <v>31</v>
      </c>
      <c r="D1844" t="s">
        <v>13</v>
      </c>
      <c r="E1844">
        <v>1000</v>
      </c>
      <c r="F1844" t="s">
        <v>21</v>
      </c>
      <c r="G1844" t="s">
        <v>28</v>
      </c>
      <c r="H1844" t="s">
        <v>16</v>
      </c>
      <c r="I1844" t="s">
        <v>17</v>
      </c>
      <c r="J1844" t="s">
        <v>25</v>
      </c>
      <c r="K1844">
        <v>0</v>
      </c>
    </row>
    <row r="1845" spans="1:11" x14ac:dyDescent="0.25">
      <c r="A1845" t="s">
        <v>1883</v>
      </c>
      <c r="B1845" s="1">
        <v>45259</v>
      </c>
      <c r="C1845" t="s">
        <v>31</v>
      </c>
      <c r="D1845" t="s">
        <v>27</v>
      </c>
      <c r="E1845">
        <v>10800</v>
      </c>
      <c r="F1845" t="s">
        <v>14</v>
      </c>
      <c r="G1845" t="s">
        <v>24</v>
      </c>
      <c r="H1845" t="s">
        <v>16</v>
      </c>
      <c r="I1845" t="s">
        <v>17</v>
      </c>
      <c r="J1845" t="s">
        <v>41</v>
      </c>
      <c r="K1845">
        <v>0.1</v>
      </c>
    </row>
    <row r="1846" spans="1:11" x14ac:dyDescent="0.25">
      <c r="A1846" t="s">
        <v>1884</v>
      </c>
      <c r="B1846" s="1">
        <v>45072</v>
      </c>
      <c r="C1846" t="s">
        <v>31</v>
      </c>
      <c r="D1846" t="s">
        <v>13</v>
      </c>
      <c r="E1846">
        <v>1000</v>
      </c>
      <c r="F1846" t="s">
        <v>21</v>
      </c>
      <c r="G1846" t="s">
        <v>24</v>
      </c>
      <c r="H1846" t="s">
        <v>33</v>
      </c>
      <c r="I1846" t="s">
        <v>34</v>
      </c>
      <c r="J1846" t="s">
        <v>25</v>
      </c>
      <c r="K1846">
        <v>0</v>
      </c>
    </row>
    <row r="1847" spans="1:11" x14ac:dyDescent="0.25">
      <c r="A1847" t="s">
        <v>1885</v>
      </c>
      <c r="B1847" s="1">
        <v>45043</v>
      </c>
      <c r="C1847" t="s">
        <v>31</v>
      </c>
      <c r="D1847" t="s">
        <v>27</v>
      </c>
      <c r="E1847">
        <v>10800</v>
      </c>
      <c r="F1847" t="s">
        <v>14</v>
      </c>
      <c r="G1847" t="s">
        <v>28</v>
      </c>
      <c r="H1847" t="s">
        <v>16</v>
      </c>
      <c r="I1847" t="s">
        <v>17</v>
      </c>
      <c r="J1847" t="s">
        <v>55</v>
      </c>
      <c r="K1847">
        <v>0.1</v>
      </c>
    </row>
    <row r="1848" spans="1:11" x14ac:dyDescent="0.25">
      <c r="A1848" t="s">
        <v>1886</v>
      </c>
      <c r="B1848" s="1">
        <v>45654</v>
      </c>
      <c r="C1848" t="s">
        <v>31</v>
      </c>
      <c r="D1848" t="s">
        <v>27</v>
      </c>
      <c r="E1848">
        <v>10800</v>
      </c>
      <c r="F1848" t="s">
        <v>49</v>
      </c>
      <c r="G1848" t="s">
        <v>15</v>
      </c>
      <c r="H1848" t="s">
        <v>16</v>
      </c>
      <c r="I1848" t="s">
        <v>17</v>
      </c>
      <c r="J1848" t="s">
        <v>58</v>
      </c>
      <c r="K1848">
        <v>0.1</v>
      </c>
    </row>
    <row r="1849" spans="1:11" x14ac:dyDescent="0.25">
      <c r="A1849" t="s">
        <v>1887</v>
      </c>
      <c r="B1849" s="1">
        <v>45244</v>
      </c>
      <c r="C1849" t="s">
        <v>12</v>
      </c>
      <c r="D1849" t="s">
        <v>27</v>
      </c>
      <c r="E1849">
        <v>16200</v>
      </c>
      <c r="F1849" t="s">
        <v>49</v>
      </c>
      <c r="G1849" t="s">
        <v>28</v>
      </c>
      <c r="H1849" t="s">
        <v>33</v>
      </c>
      <c r="I1849" t="s">
        <v>34</v>
      </c>
      <c r="J1849" t="s">
        <v>50</v>
      </c>
      <c r="K1849">
        <v>0.1</v>
      </c>
    </row>
    <row r="1850" spans="1:11" x14ac:dyDescent="0.25">
      <c r="A1850" t="s">
        <v>1888</v>
      </c>
      <c r="B1850" s="1">
        <v>45649</v>
      </c>
      <c r="C1850" t="s">
        <v>20</v>
      </c>
      <c r="D1850" t="s">
        <v>27</v>
      </c>
      <c r="E1850">
        <v>5400</v>
      </c>
      <c r="F1850" t="s">
        <v>21</v>
      </c>
      <c r="G1850" t="s">
        <v>28</v>
      </c>
      <c r="H1850" t="s">
        <v>16</v>
      </c>
      <c r="I1850" t="s">
        <v>17</v>
      </c>
      <c r="J1850" t="s">
        <v>22</v>
      </c>
      <c r="K1850">
        <v>0.1</v>
      </c>
    </row>
    <row r="1851" spans="1:11" x14ac:dyDescent="0.25">
      <c r="A1851" t="s">
        <v>1889</v>
      </c>
      <c r="B1851" s="1">
        <v>45236</v>
      </c>
      <c r="C1851" t="s">
        <v>31</v>
      </c>
      <c r="D1851" t="s">
        <v>13</v>
      </c>
      <c r="E1851">
        <v>1000</v>
      </c>
      <c r="F1851" t="s">
        <v>21</v>
      </c>
      <c r="G1851" t="s">
        <v>24</v>
      </c>
      <c r="H1851" t="s">
        <v>16</v>
      </c>
      <c r="I1851" t="s">
        <v>17</v>
      </c>
      <c r="J1851" t="s">
        <v>22</v>
      </c>
      <c r="K1851">
        <v>0</v>
      </c>
    </row>
    <row r="1852" spans="1:11" x14ac:dyDescent="0.25">
      <c r="A1852" t="s">
        <v>1890</v>
      </c>
      <c r="B1852" s="1">
        <v>45377</v>
      </c>
      <c r="C1852" t="s">
        <v>12</v>
      </c>
      <c r="D1852" t="s">
        <v>13</v>
      </c>
      <c r="E1852">
        <v>1500</v>
      </c>
      <c r="F1852" t="s">
        <v>14</v>
      </c>
      <c r="G1852" t="s">
        <v>28</v>
      </c>
      <c r="H1852" t="s">
        <v>16</v>
      </c>
      <c r="I1852" t="s">
        <v>17</v>
      </c>
      <c r="J1852" t="s">
        <v>55</v>
      </c>
      <c r="K1852">
        <v>0</v>
      </c>
    </row>
    <row r="1853" spans="1:11" x14ac:dyDescent="0.25">
      <c r="A1853" t="s">
        <v>1891</v>
      </c>
      <c r="B1853" s="1">
        <v>45125</v>
      </c>
      <c r="C1853" t="s">
        <v>31</v>
      </c>
      <c r="D1853" t="s">
        <v>13</v>
      </c>
      <c r="E1853">
        <v>1000</v>
      </c>
      <c r="F1853" t="s">
        <v>21</v>
      </c>
      <c r="G1853" t="s">
        <v>28</v>
      </c>
      <c r="H1853" t="s">
        <v>16</v>
      </c>
      <c r="I1853" t="s">
        <v>17</v>
      </c>
      <c r="J1853" t="s">
        <v>18</v>
      </c>
      <c r="K1853">
        <v>0</v>
      </c>
    </row>
    <row r="1854" spans="1:11" x14ac:dyDescent="0.25">
      <c r="A1854" t="s">
        <v>1892</v>
      </c>
      <c r="B1854" s="1">
        <v>45123</v>
      </c>
      <c r="C1854" t="s">
        <v>12</v>
      </c>
      <c r="D1854" t="s">
        <v>13</v>
      </c>
      <c r="E1854">
        <v>1500</v>
      </c>
      <c r="F1854" t="s">
        <v>49</v>
      </c>
      <c r="G1854" t="s">
        <v>24</v>
      </c>
      <c r="H1854" t="s">
        <v>33</v>
      </c>
      <c r="I1854" t="s">
        <v>34</v>
      </c>
      <c r="J1854" t="s">
        <v>50</v>
      </c>
      <c r="K1854">
        <v>0</v>
      </c>
    </row>
    <row r="1855" spans="1:11" x14ac:dyDescent="0.25">
      <c r="A1855" t="s">
        <v>1893</v>
      </c>
      <c r="B1855" s="1">
        <v>45148</v>
      </c>
      <c r="C1855" t="s">
        <v>20</v>
      </c>
      <c r="D1855" t="s">
        <v>27</v>
      </c>
      <c r="E1855">
        <v>5400</v>
      </c>
      <c r="F1855" t="s">
        <v>14</v>
      </c>
      <c r="G1855" t="s">
        <v>24</v>
      </c>
      <c r="H1855" t="s">
        <v>33</v>
      </c>
      <c r="I1855" t="s">
        <v>34</v>
      </c>
      <c r="J1855" t="s">
        <v>55</v>
      </c>
      <c r="K1855">
        <v>0.1</v>
      </c>
    </row>
    <row r="1856" spans="1:11" x14ac:dyDescent="0.25">
      <c r="A1856" t="s">
        <v>1894</v>
      </c>
      <c r="B1856" s="1">
        <v>45108</v>
      </c>
      <c r="C1856" t="s">
        <v>12</v>
      </c>
      <c r="D1856" t="s">
        <v>27</v>
      </c>
      <c r="E1856">
        <v>16200</v>
      </c>
      <c r="F1856" t="s">
        <v>49</v>
      </c>
      <c r="G1856" t="s">
        <v>15</v>
      </c>
      <c r="H1856" t="s">
        <v>33</v>
      </c>
      <c r="I1856" t="s">
        <v>34</v>
      </c>
      <c r="J1856" t="s">
        <v>58</v>
      </c>
      <c r="K1856">
        <v>0.1</v>
      </c>
    </row>
    <row r="1857" spans="1:11" x14ac:dyDescent="0.25">
      <c r="A1857" t="s">
        <v>1895</v>
      </c>
      <c r="B1857" s="1">
        <v>45020</v>
      </c>
      <c r="C1857" t="s">
        <v>12</v>
      </c>
      <c r="D1857" t="s">
        <v>27</v>
      </c>
      <c r="E1857">
        <v>16200</v>
      </c>
      <c r="F1857" t="s">
        <v>32</v>
      </c>
      <c r="G1857" t="s">
        <v>15</v>
      </c>
      <c r="H1857" t="s">
        <v>33</v>
      </c>
      <c r="I1857" t="s">
        <v>34</v>
      </c>
      <c r="J1857" t="s">
        <v>39</v>
      </c>
      <c r="K1857">
        <v>0.1</v>
      </c>
    </row>
    <row r="1858" spans="1:11" x14ac:dyDescent="0.25">
      <c r="A1858" t="s">
        <v>1896</v>
      </c>
      <c r="B1858" s="1">
        <v>44960</v>
      </c>
      <c r="C1858" t="s">
        <v>20</v>
      </c>
      <c r="D1858" t="s">
        <v>13</v>
      </c>
      <c r="E1858">
        <v>500</v>
      </c>
      <c r="F1858" t="s">
        <v>21</v>
      </c>
      <c r="G1858" t="s">
        <v>24</v>
      </c>
      <c r="H1858" t="s">
        <v>33</v>
      </c>
      <c r="I1858" t="s">
        <v>34</v>
      </c>
      <c r="J1858" t="s">
        <v>18</v>
      </c>
      <c r="K1858">
        <v>0</v>
      </c>
    </row>
    <row r="1859" spans="1:11" x14ac:dyDescent="0.25">
      <c r="A1859" t="s">
        <v>1897</v>
      </c>
      <c r="B1859" s="1">
        <v>45348</v>
      </c>
      <c r="C1859" t="s">
        <v>12</v>
      </c>
      <c r="D1859" t="s">
        <v>13</v>
      </c>
      <c r="E1859">
        <v>1500</v>
      </c>
      <c r="F1859" t="s">
        <v>14</v>
      </c>
      <c r="G1859" t="s">
        <v>24</v>
      </c>
      <c r="H1859" t="s">
        <v>16</v>
      </c>
      <c r="I1859" t="s">
        <v>17</v>
      </c>
      <c r="J1859" t="s">
        <v>55</v>
      </c>
      <c r="K1859">
        <v>0</v>
      </c>
    </row>
    <row r="1860" spans="1:11" x14ac:dyDescent="0.25">
      <c r="A1860" t="s">
        <v>1898</v>
      </c>
      <c r="B1860" s="1">
        <v>45056</v>
      </c>
      <c r="C1860" t="s">
        <v>20</v>
      </c>
      <c r="D1860" t="s">
        <v>13</v>
      </c>
      <c r="E1860">
        <v>500</v>
      </c>
      <c r="F1860" t="s">
        <v>32</v>
      </c>
      <c r="G1860" t="s">
        <v>15</v>
      </c>
      <c r="H1860" t="s">
        <v>16</v>
      </c>
      <c r="I1860" t="s">
        <v>17</v>
      </c>
      <c r="J1860" t="s">
        <v>25</v>
      </c>
      <c r="K1860">
        <v>0</v>
      </c>
    </row>
    <row r="1861" spans="1:11" x14ac:dyDescent="0.25">
      <c r="A1861" t="s">
        <v>1899</v>
      </c>
      <c r="B1861" s="1">
        <v>45595</v>
      </c>
      <c r="C1861" t="s">
        <v>20</v>
      </c>
      <c r="D1861" t="s">
        <v>13</v>
      </c>
      <c r="E1861">
        <v>500</v>
      </c>
      <c r="F1861" t="s">
        <v>32</v>
      </c>
      <c r="G1861" t="s">
        <v>28</v>
      </c>
      <c r="H1861" t="s">
        <v>33</v>
      </c>
      <c r="I1861" t="s">
        <v>34</v>
      </c>
      <c r="J1861" t="s">
        <v>25</v>
      </c>
      <c r="K1861">
        <v>0</v>
      </c>
    </row>
    <row r="1862" spans="1:11" x14ac:dyDescent="0.25">
      <c r="A1862" t="s">
        <v>1900</v>
      </c>
      <c r="B1862" s="1">
        <v>44937</v>
      </c>
      <c r="C1862" t="s">
        <v>20</v>
      </c>
      <c r="D1862" t="s">
        <v>27</v>
      </c>
      <c r="E1862">
        <v>5400</v>
      </c>
      <c r="F1862" t="s">
        <v>49</v>
      </c>
      <c r="G1862" t="s">
        <v>24</v>
      </c>
      <c r="H1862" t="s">
        <v>16</v>
      </c>
      <c r="I1862" t="s">
        <v>17</v>
      </c>
      <c r="J1862" t="s">
        <v>50</v>
      </c>
      <c r="K1862">
        <v>0.1</v>
      </c>
    </row>
    <row r="1863" spans="1:11" x14ac:dyDescent="0.25">
      <c r="A1863" t="s">
        <v>1901</v>
      </c>
      <c r="B1863" s="1">
        <v>45033</v>
      </c>
      <c r="C1863" t="s">
        <v>20</v>
      </c>
      <c r="D1863" t="s">
        <v>27</v>
      </c>
      <c r="E1863">
        <v>5400</v>
      </c>
      <c r="F1863" t="s">
        <v>32</v>
      </c>
      <c r="G1863" t="s">
        <v>28</v>
      </c>
      <c r="H1863" t="s">
        <v>16</v>
      </c>
      <c r="I1863" t="s">
        <v>17</v>
      </c>
      <c r="J1863" t="s">
        <v>25</v>
      </c>
      <c r="K1863">
        <v>0.1</v>
      </c>
    </row>
    <row r="1864" spans="1:11" x14ac:dyDescent="0.25">
      <c r="A1864" t="s">
        <v>1902</v>
      </c>
      <c r="B1864" s="1">
        <v>45270</v>
      </c>
      <c r="C1864" t="s">
        <v>12</v>
      </c>
      <c r="D1864" t="s">
        <v>13</v>
      </c>
      <c r="E1864">
        <v>1500</v>
      </c>
      <c r="F1864" t="s">
        <v>21</v>
      </c>
      <c r="G1864" t="s">
        <v>24</v>
      </c>
      <c r="H1864" t="s">
        <v>16</v>
      </c>
      <c r="I1864" t="s">
        <v>17</v>
      </c>
      <c r="J1864" t="s">
        <v>25</v>
      </c>
      <c r="K1864">
        <v>0</v>
      </c>
    </row>
    <row r="1865" spans="1:11" x14ac:dyDescent="0.25">
      <c r="A1865" t="s">
        <v>1903</v>
      </c>
      <c r="B1865" s="1">
        <v>45646</v>
      </c>
      <c r="C1865" t="s">
        <v>12</v>
      </c>
      <c r="D1865" t="s">
        <v>13</v>
      </c>
      <c r="E1865">
        <v>1500</v>
      </c>
      <c r="F1865" t="s">
        <v>14</v>
      </c>
      <c r="G1865" t="s">
        <v>28</v>
      </c>
      <c r="H1865" t="s">
        <v>33</v>
      </c>
      <c r="I1865" t="s">
        <v>34</v>
      </c>
      <c r="J1865" t="s">
        <v>37</v>
      </c>
      <c r="K1865">
        <v>0</v>
      </c>
    </row>
    <row r="1866" spans="1:11" x14ac:dyDescent="0.25">
      <c r="A1866" t="s">
        <v>1904</v>
      </c>
      <c r="B1866" s="1">
        <v>45333</v>
      </c>
      <c r="C1866" t="s">
        <v>31</v>
      </c>
      <c r="D1866" t="s">
        <v>13</v>
      </c>
      <c r="E1866">
        <v>1000</v>
      </c>
      <c r="F1866" t="s">
        <v>32</v>
      </c>
      <c r="G1866" t="s">
        <v>28</v>
      </c>
      <c r="H1866" t="s">
        <v>16</v>
      </c>
      <c r="I1866" t="s">
        <v>17</v>
      </c>
      <c r="J1866" t="s">
        <v>66</v>
      </c>
      <c r="K1866">
        <v>0</v>
      </c>
    </row>
    <row r="1867" spans="1:11" x14ac:dyDescent="0.25">
      <c r="A1867" t="s">
        <v>1905</v>
      </c>
      <c r="B1867" s="1">
        <v>45358</v>
      </c>
      <c r="C1867" t="s">
        <v>20</v>
      </c>
      <c r="D1867" t="s">
        <v>13</v>
      </c>
      <c r="E1867">
        <v>500</v>
      </c>
      <c r="F1867" t="s">
        <v>49</v>
      </c>
      <c r="G1867" t="s">
        <v>15</v>
      </c>
      <c r="H1867" t="s">
        <v>33</v>
      </c>
      <c r="I1867" t="s">
        <v>34</v>
      </c>
      <c r="J1867" t="s">
        <v>25</v>
      </c>
      <c r="K1867">
        <v>0</v>
      </c>
    </row>
    <row r="1868" spans="1:11" x14ac:dyDescent="0.25">
      <c r="A1868" t="s">
        <v>1906</v>
      </c>
      <c r="B1868" s="1">
        <v>45325</v>
      </c>
      <c r="C1868" t="s">
        <v>20</v>
      </c>
      <c r="D1868" t="s">
        <v>27</v>
      </c>
      <c r="E1868">
        <v>5400</v>
      </c>
      <c r="F1868" t="s">
        <v>14</v>
      </c>
      <c r="G1868" t="s">
        <v>28</v>
      </c>
      <c r="H1868" t="s">
        <v>16</v>
      </c>
      <c r="I1868" t="s">
        <v>17</v>
      </c>
      <c r="J1868" t="s">
        <v>41</v>
      </c>
      <c r="K1868">
        <v>0.1</v>
      </c>
    </row>
    <row r="1869" spans="1:11" x14ac:dyDescent="0.25">
      <c r="A1869" t="s">
        <v>1907</v>
      </c>
      <c r="B1869" s="1">
        <v>45172</v>
      </c>
      <c r="C1869" t="s">
        <v>20</v>
      </c>
      <c r="D1869" t="s">
        <v>27</v>
      </c>
      <c r="E1869">
        <v>5400</v>
      </c>
      <c r="F1869" t="s">
        <v>14</v>
      </c>
      <c r="G1869" t="s">
        <v>28</v>
      </c>
      <c r="H1869" t="s">
        <v>33</v>
      </c>
      <c r="I1869" t="s">
        <v>34</v>
      </c>
      <c r="J1869" t="s">
        <v>22</v>
      </c>
      <c r="K1869">
        <v>0.1</v>
      </c>
    </row>
    <row r="1870" spans="1:11" x14ac:dyDescent="0.25">
      <c r="A1870" t="s">
        <v>1908</v>
      </c>
      <c r="B1870" s="1">
        <v>45009</v>
      </c>
      <c r="C1870" t="s">
        <v>20</v>
      </c>
      <c r="D1870" t="s">
        <v>13</v>
      </c>
      <c r="E1870">
        <v>500</v>
      </c>
      <c r="F1870" t="s">
        <v>32</v>
      </c>
      <c r="G1870" t="s">
        <v>28</v>
      </c>
      <c r="H1870" t="s">
        <v>33</v>
      </c>
      <c r="I1870" t="s">
        <v>34</v>
      </c>
      <c r="J1870" t="s">
        <v>66</v>
      </c>
      <c r="K1870">
        <v>0</v>
      </c>
    </row>
    <row r="1871" spans="1:11" x14ac:dyDescent="0.25">
      <c r="A1871" t="s">
        <v>1909</v>
      </c>
      <c r="B1871" s="1">
        <v>45461</v>
      </c>
      <c r="C1871" t="s">
        <v>20</v>
      </c>
      <c r="D1871" t="s">
        <v>27</v>
      </c>
      <c r="E1871">
        <v>5400</v>
      </c>
      <c r="F1871" t="s">
        <v>49</v>
      </c>
      <c r="G1871" t="s">
        <v>28</v>
      </c>
      <c r="H1871" t="s">
        <v>16</v>
      </c>
      <c r="I1871" t="s">
        <v>17</v>
      </c>
      <c r="J1871" t="s">
        <v>22</v>
      </c>
      <c r="K1871">
        <v>0.1</v>
      </c>
    </row>
    <row r="1872" spans="1:11" x14ac:dyDescent="0.25">
      <c r="A1872" t="s">
        <v>1910</v>
      </c>
      <c r="B1872" s="1">
        <v>45503</v>
      </c>
      <c r="C1872" t="s">
        <v>12</v>
      </c>
      <c r="D1872" t="s">
        <v>27</v>
      </c>
      <c r="E1872">
        <v>16200</v>
      </c>
      <c r="F1872" t="s">
        <v>49</v>
      </c>
      <c r="G1872" t="s">
        <v>28</v>
      </c>
      <c r="H1872" t="s">
        <v>16</v>
      </c>
      <c r="I1872" t="s">
        <v>17</v>
      </c>
      <c r="J1872" t="s">
        <v>18</v>
      </c>
      <c r="K1872">
        <v>0.1</v>
      </c>
    </row>
    <row r="1873" spans="1:11" x14ac:dyDescent="0.25">
      <c r="A1873" t="s">
        <v>1911</v>
      </c>
      <c r="B1873" s="1">
        <v>45247</v>
      </c>
      <c r="C1873" t="s">
        <v>12</v>
      </c>
      <c r="D1873" t="s">
        <v>13</v>
      </c>
      <c r="E1873">
        <v>1500</v>
      </c>
      <c r="F1873" t="s">
        <v>32</v>
      </c>
      <c r="G1873" t="s">
        <v>24</v>
      </c>
      <c r="H1873" t="s">
        <v>33</v>
      </c>
      <c r="I1873" t="s">
        <v>34</v>
      </c>
      <c r="J1873" t="s">
        <v>66</v>
      </c>
      <c r="K1873">
        <v>0</v>
      </c>
    </row>
    <row r="1874" spans="1:11" x14ac:dyDescent="0.25">
      <c r="A1874" t="s">
        <v>1912</v>
      </c>
      <c r="B1874" s="1">
        <v>45567</v>
      </c>
      <c r="C1874" t="s">
        <v>31</v>
      </c>
      <c r="D1874" t="s">
        <v>13</v>
      </c>
      <c r="E1874">
        <v>1000</v>
      </c>
      <c r="F1874" t="s">
        <v>32</v>
      </c>
      <c r="G1874" t="s">
        <v>28</v>
      </c>
      <c r="H1874" t="s">
        <v>33</v>
      </c>
      <c r="I1874" t="s">
        <v>34</v>
      </c>
      <c r="J1874" t="s">
        <v>25</v>
      </c>
      <c r="K1874">
        <v>0</v>
      </c>
    </row>
    <row r="1875" spans="1:11" x14ac:dyDescent="0.25">
      <c r="A1875" t="s">
        <v>1913</v>
      </c>
      <c r="B1875" s="1">
        <v>45346</v>
      </c>
      <c r="C1875" t="s">
        <v>12</v>
      </c>
      <c r="D1875" t="s">
        <v>27</v>
      </c>
      <c r="E1875">
        <v>16200</v>
      </c>
      <c r="F1875" t="s">
        <v>32</v>
      </c>
      <c r="G1875" t="s">
        <v>28</v>
      </c>
      <c r="H1875" t="s">
        <v>16</v>
      </c>
      <c r="I1875" t="s">
        <v>17</v>
      </c>
      <c r="J1875" t="s">
        <v>25</v>
      </c>
      <c r="K1875">
        <v>0.1</v>
      </c>
    </row>
    <row r="1876" spans="1:11" x14ac:dyDescent="0.25">
      <c r="A1876" t="s">
        <v>1914</v>
      </c>
      <c r="B1876" s="1">
        <v>45243</v>
      </c>
      <c r="C1876" t="s">
        <v>20</v>
      </c>
      <c r="D1876" t="s">
        <v>27</v>
      </c>
      <c r="E1876">
        <v>5400</v>
      </c>
      <c r="F1876" t="s">
        <v>32</v>
      </c>
      <c r="G1876" t="s">
        <v>28</v>
      </c>
      <c r="H1876" t="s">
        <v>33</v>
      </c>
      <c r="I1876" t="s">
        <v>34</v>
      </c>
      <c r="J1876" t="s">
        <v>66</v>
      </c>
      <c r="K1876">
        <v>0.1</v>
      </c>
    </row>
    <row r="1877" spans="1:11" x14ac:dyDescent="0.25">
      <c r="A1877" t="s">
        <v>1915</v>
      </c>
      <c r="B1877" s="1">
        <v>45405</v>
      </c>
      <c r="C1877" t="s">
        <v>12</v>
      </c>
      <c r="D1877" t="s">
        <v>13</v>
      </c>
      <c r="E1877">
        <v>1500</v>
      </c>
      <c r="F1877" t="s">
        <v>14</v>
      </c>
      <c r="G1877" t="s">
        <v>15</v>
      </c>
      <c r="H1877" t="s">
        <v>16</v>
      </c>
      <c r="I1877" t="s">
        <v>17</v>
      </c>
      <c r="J1877" t="s">
        <v>37</v>
      </c>
      <c r="K1877">
        <v>0</v>
      </c>
    </row>
    <row r="1878" spans="1:11" x14ac:dyDescent="0.25">
      <c r="A1878" t="s">
        <v>1916</v>
      </c>
      <c r="B1878" s="1">
        <v>45559</v>
      </c>
      <c r="C1878" t="s">
        <v>31</v>
      </c>
      <c r="D1878" t="s">
        <v>27</v>
      </c>
      <c r="E1878">
        <v>10800</v>
      </c>
      <c r="F1878" t="s">
        <v>21</v>
      </c>
      <c r="G1878" t="s">
        <v>15</v>
      </c>
      <c r="H1878" t="s">
        <v>33</v>
      </c>
      <c r="I1878" t="s">
        <v>34</v>
      </c>
      <c r="J1878" t="s">
        <v>29</v>
      </c>
      <c r="K1878">
        <v>0.1</v>
      </c>
    </row>
    <row r="1879" spans="1:11" x14ac:dyDescent="0.25">
      <c r="A1879" t="s">
        <v>1917</v>
      </c>
      <c r="B1879" s="1">
        <v>44991</v>
      </c>
      <c r="C1879" t="s">
        <v>12</v>
      </c>
      <c r="D1879" t="s">
        <v>13</v>
      </c>
      <c r="E1879">
        <v>1500</v>
      </c>
      <c r="F1879" t="s">
        <v>14</v>
      </c>
      <c r="G1879" t="s">
        <v>15</v>
      </c>
      <c r="H1879" t="s">
        <v>16</v>
      </c>
      <c r="I1879" t="s">
        <v>17</v>
      </c>
      <c r="J1879" t="s">
        <v>37</v>
      </c>
      <c r="K1879">
        <v>0</v>
      </c>
    </row>
    <row r="1880" spans="1:11" x14ac:dyDescent="0.25">
      <c r="A1880" t="s">
        <v>1918</v>
      </c>
      <c r="B1880" s="1">
        <v>45143</v>
      </c>
      <c r="C1880" t="s">
        <v>12</v>
      </c>
      <c r="D1880" t="s">
        <v>27</v>
      </c>
      <c r="E1880">
        <v>16200</v>
      </c>
      <c r="F1880" t="s">
        <v>14</v>
      </c>
      <c r="G1880" t="s">
        <v>15</v>
      </c>
      <c r="H1880" t="s">
        <v>16</v>
      </c>
      <c r="I1880" t="s">
        <v>17</v>
      </c>
      <c r="J1880" t="s">
        <v>55</v>
      </c>
      <c r="K1880">
        <v>0.1</v>
      </c>
    </row>
    <row r="1881" spans="1:11" x14ac:dyDescent="0.25">
      <c r="A1881" t="s">
        <v>1919</v>
      </c>
      <c r="B1881" s="1">
        <v>45010</v>
      </c>
      <c r="C1881" t="s">
        <v>20</v>
      </c>
      <c r="D1881" t="s">
        <v>13</v>
      </c>
      <c r="E1881">
        <v>500</v>
      </c>
      <c r="F1881" t="s">
        <v>21</v>
      </c>
      <c r="G1881" t="s">
        <v>24</v>
      </c>
      <c r="H1881" t="s">
        <v>33</v>
      </c>
      <c r="I1881" t="s">
        <v>34</v>
      </c>
      <c r="J1881" t="s">
        <v>25</v>
      </c>
      <c r="K1881">
        <v>0</v>
      </c>
    </row>
    <row r="1882" spans="1:11" x14ac:dyDescent="0.25">
      <c r="A1882" t="s">
        <v>1920</v>
      </c>
      <c r="B1882" s="1">
        <v>45165</v>
      </c>
      <c r="C1882" t="s">
        <v>20</v>
      </c>
      <c r="D1882" t="s">
        <v>27</v>
      </c>
      <c r="E1882">
        <v>5400</v>
      </c>
      <c r="F1882" t="s">
        <v>14</v>
      </c>
      <c r="G1882" t="s">
        <v>15</v>
      </c>
      <c r="H1882" t="s">
        <v>33</v>
      </c>
      <c r="I1882" t="s">
        <v>34</v>
      </c>
      <c r="J1882" t="s">
        <v>22</v>
      </c>
      <c r="K1882">
        <v>0.1</v>
      </c>
    </row>
    <row r="1883" spans="1:11" x14ac:dyDescent="0.25">
      <c r="A1883" t="s">
        <v>1921</v>
      </c>
      <c r="B1883" s="1">
        <v>45228</v>
      </c>
      <c r="C1883" t="s">
        <v>31</v>
      </c>
      <c r="D1883" t="s">
        <v>27</v>
      </c>
      <c r="E1883">
        <v>10800</v>
      </c>
      <c r="F1883" t="s">
        <v>14</v>
      </c>
      <c r="G1883" t="s">
        <v>28</v>
      </c>
      <c r="H1883" t="s">
        <v>33</v>
      </c>
      <c r="I1883" t="s">
        <v>34</v>
      </c>
      <c r="J1883" t="s">
        <v>22</v>
      </c>
      <c r="K1883">
        <v>0.1</v>
      </c>
    </row>
    <row r="1884" spans="1:11" x14ac:dyDescent="0.25">
      <c r="A1884" t="s">
        <v>1922</v>
      </c>
      <c r="B1884" s="1">
        <v>45039</v>
      </c>
      <c r="C1884" t="s">
        <v>12</v>
      </c>
      <c r="D1884" t="s">
        <v>27</v>
      </c>
      <c r="E1884">
        <v>16200</v>
      </c>
      <c r="F1884" t="s">
        <v>32</v>
      </c>
      <c r="G1884" t="s">
        <v>24</v>
      </c>
      <c r="H1884" t="s">
        <v>33</v>
      </c>
      <c r="I1884" t="s">
        <v>34</v>
      </c>
      <c r="J1884" t="s">
        <v>44</v>
      </c>
      <c r="K1884">
        <v>0.1</v>
      </c>
    </row>
    <row r="1885" spans="1:11" x14ac:dyDescent="0.25">
      <c r="A1885" t="s">
        <v>1923</v>
      </c>
      <c r="B1885" s="1">
        <v>45387</v>
      </c>
      <c r="C1885" t="s">
        <v>31</v>
      </c>
      <c r="D1885" t="s">
        <v>27</v>
      </c>
      <c r="E1885">
        <v>10800</v>
      </c>
      <c r="F1885" t="s">
        <v>32</v>
      </c>
      <c r="G1885" t="s">
        <v>15</v>
      </c>
      <c r="H1885" t="s">
        <v>16</v>
      </c>
      <c r="I1885" t="s">
        <v>17</v>
      </c>
      <c r="J1885" t="s">
        <v>25</v>
      </c>
      <c r="K1885">
        <v>0.1</v>
      </c>
    </row>
    <row r="1886" spans="1:11" x14ac:dyDescent="0.25">
      <c r="A1886" t="s">
        <v>1924</v>
      </c>
      <c r="B1886" s="1">
        <v>45299</v>
      </c>
      <c r="C1886" t="s">
        <v>12</v>
      </c>
      <c r="D1886" t="s">
        <v>13</v>
      </c>
      <c r="E1886">
        <v>1500</v>
      </c>
      <c r="F1886" t="s">
        <v>21</v>
      </c>
      <c r="G1886" t="s">
        <v>28</v>
      </c>
      <c r="H1886" t="s">
        <v>16</v>
      </c>
      <c r="I1886" t="s">
        <v>17</v>
      </c>
      <c r="J1886" t="s">
        <v>29</v>
      </c>
      <c r="K1886">
        <v>0</v>
      </c>
    </row>
    <row r="1887" spans="1:11" x14ac:dyDescent="0.25">
      <c r="A1887" t="s">
        <v>1925</v>
      </c>
      <c r="B1887" s="1">
        <v>45434</v>
      </c>
      <c r="C1887" t="s">
        <v>20</v>
      </c>
      <c r="D1887" t="s">
        <v>13</v>
      </c>
      <c r="E1887">
        <v>500</v>
      </c>
      <c r="F1887" t="s">
        <v>32</v>
      </c>
      <c r="G1887" t="s">
        <v>28</v>
      </c>
      <c r="H1887" t="s">
        <v>33</v>
      </c>
      <c r="I1887" t="s">
        <v>34</v>
      </c>
      <c r="J1887" t="s">
        <v>66</v>
      </c>
      <c r="K1887">
        <v>0</v>
      </c>
    </row>
    <row r="1888" spans="1:11" x14ac:dyDescent="0.25">
      <c r="A1888" t="s">
        <v>1926</v>
      </c>
      <c r="B1888" s="1">
        <v>45231</v>
      </c>
      <c r="C1888" t="s">
        <v>12</v>
      </c>
      <c r="D1888" t="s">
        <v>13</v>
      </c>
      <c r="E1888">
        <v>1500</v>
      </c>
      <c r="F1888" t="s">
        <v>21</v>
      </c>
      <c r="G1888" t="s">
        <v>15</v>
      </c>
      <c r="H1888" t="s">
        <v>33</v>
      </c>
      <c r="I1888" t="s">
        <v>34</v>
      </c>
      <c r="J1888" t="s">
        <v>18</v>
      </c>
      <c r="K1888">
        <v>0</v>
      </c>
    </row>
    <row r="1889" spans="1:11" x14ac:dyDescent="0.25">
      <c r="A1889" t="s">
        <v>1927</v>
      </c>
      <c r="B1889" s="1">
        <v>45560</v>
      </c>
      <c r="C1889" t="s">
        <v>20</v>
      </c>
      <c r="D1889" t="s">
        <v>27</v>
      </c>
      <c r="E1889">
        <v>5400</v>
      </c>
      <c r="F1889" t="s">
        <v>21</v>
      </c>
      <c r="G1889" t="s">
        <v>24</v>
      </c>
      <c r="H1889" t="s">
        <v>33</v>
      </c>
      <c r="I1889" t="s">
        <v>34</v>
      </c>
      <c r="J1889" t="s">
        <v>29</v>
      </c>
      <c r="K1889">
        <v>0.1</v>
      </c>
    </row>
    <row r="1890" spans="1:11" x14ac:dyDescent="0.25">
      <c r="A1890" t="s">
        <v>1928</v>
      </c>
      <c r="B1890" s="1">
        <v>45004</v>
      </c>
      <c r="C1890" t="s">
        <v>12</v>
      </c>
      <c r="D1890" t="s">
        <v>27</v>
      </c>
      <c r="E1890">
        <v>16200</v>
      </c>
      <c r="F1890" t="s">
        <v>14</v>
      </c>
      <c r="G1890" t="s">
        <v>15</v>
      </c>
      <c r="H1890" t="s">
        <v>33</v>
      </c>
      <c r="I1890" t="s">
        <v>34</v>
      </c>
      <c r="J1890" t="s">
        <v>55</v>
      </c>
      <c r="K1890">
        <v>0.1</v>
      </c>
    </row>
    <row r="1891" spans="1:11" x14ac:dyDescent="0.25">
      <c r="A1891" t="s">
        <v>1929</v>
      </c>
      <c r="B1891" s="1">
        <v>45168</v>
      </c>
      <c r="C1891" t="s">
        <v>20</v>
      </c>
      <c r="D1891" t="s">
        <v>13</v>
      </c>
      <c r="E1891">
        <v>500</v>
      </c>
      <c r="F1891" t="s">
        <v>14</v>
      </c>
      <c r="G1891" t="s">
        <v>28</v>
      </c>
      <c r="H1891" t="s">
        <v>33</v>
      </c>
      <c r="I1891" t="s">
        <v>34</v>
      </c>
      <c r="J1891" t="s">
        <v>55</v>
      </c>
      <c r="K1891">
        <v>0</v>
      </c>
    </row>
    <row r="1892" spans="1:11" x14ac:dyDescent="0.25">
      <c r="A1892" t="s">
        <v>1930</v>
      </c>
      <c r="B1892" s="1">
        <v>45069</v>
      </c>
      <c r="C1892" t="s">
        <v>20</v>
      </c>
      <c r="D1892" t="s">
        <v>27</v>
      </c>
      <c r="E1892">
        <v>5400</v>
      </c>
      <c r="F1892" t="s">
        <v>49</v>
      </c>
      <c r="G1892" t="s">
        <v>24</v>
      </c>
      <c r="H1892" t="s">
        <v>33</v>
      </c>
      <c r="I1892" t="s">
        <v>34</v>
      </c>
      <c r="J1892" t="s">
        <v>58</v>
      </c>
      <c r="K1892">
        <v>0.1</v>
      </c>
    </row>
    <row r="1893" spans="1:11" x14ac:dyDescent="0.25">
      <c r="A1893" t="s">
        <v>1931</v>
      </c>
      <c r="B1893" s="1">
        <v>45344</v>
      </c>
      <c r="C1893" t="s">
        <v>20</v>
      </c>
      <c r="D1893" t="s">
        <v>27</v>
      </c>
      <c r="E1893">
        <v>5400</v>
      </c>
      <c r="F1893" t="s">
        <v>14</v>
      </c>
      <c r="G1893" t="s">
        <v>28</v>
      </c>
      <c r="H1893" t="s">
        <v>33</v>
      </c>
      <c r="I1893" t="s">
        <v>34</v>
      </c>
      <c r="J1893" t="s">
        <v>55</v>
      </c>
      <c r="K1893">
        <v>0.1</v>
      </c>
    </row>
    <row r="1894" spans="1:11" x14ac:dyDescent="0.25">
      <c r="A1894" t="s">
        <v>1932</v>
      </c>
      <c r="B1894" s="1">
        <v>45630</v>
      </c>
      <c r="C1894" t="s">
        <v>12</v>
      </c>
      <c r="D1894" t="s">
        <v>27</v>
      </c>
      <c r="E1894">
        <v>16200</v>
      </c>
      <c r="F1894" t="s">
        <v>32</v>
      </c>
      <c r="G1894" t="s">
        <v>24</v>
      </c>
      <c r="H1894" t="s">
        <v>16</v>
      </c>
      <c r="I1894" t="s">
        <v>17</v>
      </c>
      <c r="J1894" t="s">
        <v>66</v>
      </c>
      <c r="K1894">
        <v>0.1</v>
      </c>
    </row>
    <row r="1895" spans="1:11" x14ac:dyDescent="0.25">
      <c r="A1895" t="s">
        <v>1933</v>
      </c>
      <c r="B1895" s="1">
        <v>45121</v>
      </c>
      <c r="C1895" t="s">
        <v>31</v>
      </c>
      <c r="D1895" t="s">
        <v>13</v>
      </c>
      <c r="E1895">
        <v>1000</v>
      </c>
      <c r="F1895" t="s">
        <v>49</v>
      </c>
      <c r="G1895" t="s">
        <v>15</v>
      </c>
      <c r="H1895" t="s">
        <v>33</v>
      </c>
      <c r="I1895" t="s">
        <v>34</v>
      </c>
      <c r="J1895" t="s">
        <v>18</v>
      </c>
      <c r="K1895">
        <v>0</v>
      </c>
    </row>
    <row r="1896" spans="1:11" x14ac:dyDescent="0.25">
      <c r="A1896" t="s">
        <v>1934</v>
      </c>
      <c r="B1896" s="1">
        <v>45073</v>
      </c>
      <c r="C1896" t="s">
        <v>12</v>
      </c>
      <c r="D1896" t="s">
        <v>13</v>
      </c>
      <c r="E1896">
        <v>1500</v>
      </c>
      <c r="F1896" t="s">
        <v>32</v>
      </c>
      <c r="G1896" t="s">
        <v>15</v>
      </c>
      <c r="H1896" t="s">
        <v>16</v>
      </c>
      <c r="I1896" t="s">
        <v>17</v>
      </c>
      <c r="J1896" t="s">
        <v>35</v>
      </c>
      <c r="K1896">
        <v>0</v>
      </c>
    </row>
    <row r="1897" spans="1:11" x14ac:dyDescent="0.25">
      <c r="A1897" t="s">
        <v>1935</v>
      </c>
      <c r="B1897" s="1">
        <v>45439</v>
      </c>
      <c r="C1897" t="s">
        <v>20</v>
      </c>
      <c r="D1897" t="s">
        <v>13</v>
      </c>
      <c r="E1897">
        <v>500</v>
      </c>
      <c r="F1897" t="s">
        <v>32</v>
      </c>
      <c r="G1897" t="s">
        <v>28</v>
      </c>
      <c r="H1897" t="s">
        <v>33</v>
      </c>
      <c r="I1897" t="s">
        <v>34</v>
      </c>
      <c r="J1897" t="s">
        <v>39</v>
      </c>
      <c r="K1897">
        <v>0</v>
      </c>
    </row>
    <row r="1898" spans="1:11" x14ac:dyDescent="0.25">
      <c r="A1898" t="s">
        <v>1936</v>
      </c>
      <c r="B1898" s="1">
        <v>45104</v>
      </c>
      <c r="C1898" t="s">
        <v>12</v>
      </c>
      <c r="D1898" t="s">
        <v>13</v>
      </c>
      <c r="E1898">
        <v>1500</v>
      </c>
      <c r="F1898" t="s">
        <v>49</v>
      </c>
      <c r="G1898" t="s">
        <v>15</v>
      </c>
      <c r="H1898" t="s">
        <v>16</v>
      </c>
      <c r="I1898" t="s">
        <v>17</v>
      </c>
      <c r="J1898" t="s">
        <v>50</v>
      </c>
      <c r="K1898">
        <v>0</v>
      </c>
    </row>
    <row r="1899" spans="1:11" x14ac:dyDescent="0.25">
      <c r="A1899" t="s">
        <v>1937</v>
      </c>
      <c r="B1899" s="1">
        <v>45547</v>
      </c>
      <c r="C1899" t="s">
        <v>20</v>
      </c>
      <c r="D1899" t="s">
        <v>27</v>
      </c>
      <c r="E1899">
        <v>5400</v>
      </c>
      <c r="F1899" t="s">
        <v>32</v>
      </c>
      <c r="G1899" t="s">
        <v>28</v>
      </c>
      <c r="H1899" t="s">
        <v>16</v>
      </c>
      <c r="I1899" t="s">
        <v>17</v>
      </c>
      <c r="J1899" t="s">
        <v>44</v>
      </c>
      <c r="K1899">
        <v>0.1</v>
      </c>
    </row>
    <row r="1900" spans="1:11" x14ac:dyDescent="0.25">
      <c r="A1900" t="s">
        <v>1938</v>
      </c>
      <c r="B1900" s="1">
        <v>45603</v>
      </c>
      <c r="C1900" t="s">
        <v>12</v>
      </c>
      <c r="D1900" t="s">
        <v>27</v>
      </c>
      <c r="E1900">
        <v>16200</v>
      </c>
      <c r="F1900" t="s">
        <v>49</v>
      </c>
      <c r="G1900" t="s">
        <v>15</v>
      </c>
      <c r="H1900" t="s">
        <v>33</v>
      </c>
      <c r="I1900" t="s">
        <v>34</v>
      </c>
      <c r="J1900" t="s">
        <v>25</v>
      </c>
      <c r="K1900">
        <v>0.1</v>
      </c>
    </row>
    <row r="1901" spans="1:11" x14ac:dyDescent="0.25">
      <c r="A1901" t="s">
        <v>1939</v>
      </c>
      <c r="B1901" s="1">
        <v>45143</v>
      </c>
      <c r="C1901" t="s">
        <v>20</v>
      </c>
      <c r="D1901" t="s">
        <v>27</v>
      </c>
      <c r="E1901">
        <v>5400</v>
      </c>
      <c r="F1901" t="s">
        <v>32</v>
      </c>
      <c r="G1901" t="s">
        <v>15</v>
      </c>
      <c r="H1901" t="s">
        <v>16</v>
      </c>
      <c r="I1901" t="s">
        <v>17</v>
      </c>
      <c r="J1901" t="s">
        <v>44</v>
      </c>
      <c r="K1901">
        <v>0.1</v>
      </c>
    </row>
    <row r="1902" spans="1:11" x14ac:dyDescent="0.25">
      <c r="A1902" t="s">
        <v>1940</v>
      </c>
      <c r="B1902" s="1">
        <v>45249</v>
      </c>
      <c r="C1902" t="s">
        <v>20</v>
      </c>
      <c r="D1902" t="s">
        <v>27</v>
      </c>
      <c r="E1902">
        <v>5400</v>
      </c>
      <c r="F1902" t="s">
        <v>32</v>
      </c>
      <c r="G1902" t="s">
        <v>28</v>
      </c>
      <c r="H1902" t="s">
        <v>33</v>
      </c>
      <c r="I1902" t="s">
        <v>34</v>
      </c>
      <c r="J1902" t="s">
        <v>66</v>
      </c>
      <c r="K1902">
        <v>0.1</v>
      </c>
    </row>
    <row r="1903" spans="1:11" x14ac:dyDescent="0.25">
      <c r="A1903" t="s">
        <v>1941</v>
      </c>
      <c r="B1903" s="1">
        <v>45521</v>
      </c>
      <c r="C1903" t="s">
        <v>12</v>
      </c>
      <c r="D1903" t="s">
        <v>27</v>
      </c>
      <c r="E1903">
        <v>16200</v>
      </c>
      <c r="F1903" t="s">
        <v>32</v>
      </c>
      <c r="G1903" t="s">
        <v>15</v>
      </c>
      <c r="H1903" t="s">
        <v>16</v>
      </c>
      <c r="I1903" t="s">
        <v>17</v>
      </c>
      <c r="J1903" t="s">
        <v>35</v>
      </c>
      <c r="K1903">
        <v>0.1</v>
      </c>
    </row>
    <row r="1904" spans="1:11" x14ac:dyDescent="0.25">
      <c r="A1904" t="s">
        <v>1942</v>
      </c>
      <c r="B1904" s="1">
        <v>45092</v>
      </c>
      <c r="C1904" t="s">
        <v>31</v>
      </c>
      <c r="D1904" t="s">
        <v>27</v>
      </c>
      <c r="E1904">
        <v>10800</v>
      </c>
      <c r="F1904" t="s">
        <v>32</v>
      </c>
      <c r="G1904" t="s">
        <v>24</v>
      </c>
      <c r="H1904" t="s">
        <v>33</v>
      </c>
      <c r="I1904" t="s">
        <v>34</v>
      </c>
      <c r="J1904" t="s">
        <v>39</v>
      </c>
      <c r="K1904">
        <v>0.1</v>
      </c>
    </row>
    <row r="1905" spans="1:11" x14ac:dyDescent="0.25">
      <c r="A1905" t="s">
        <v>1943</v>
      </c>
      <c r="B1905" s="1">
        <v>45600</v>
      </c>
      <c r="C1905" t="s">
        <v>12</v>
      </c>
      <c r="D1905" t="s">
        <v>27</v>
      </c>
      <c r="E1905">
        <v>16200</v>
      </c>
      <c r="F1905" t="s">
        <v>49</v>
      </c>
      <c r="G1905" t="s">
        <v>15</v>
      </c>
      <c r="H1905" t="s">
        <v>16</v>
      </c>
      <c r="I1905" t="s">
        <v>17</v>
      </c>
      <c r="J1905" t="s">
        <v>50</v>
      </c>
      <c r="K1905">
        <v>0.1</v>
      </c>
    </row>
    <row r="1906" spans="1:11" x14ac:dyDescent="0.25">
      <c r="A1906" t="s">
        <v>1944</v>
      </c>
      <c r="B1906" s="1">
        <v>45359</v>
      </c>
      <c r="C1906" t="s">
        <v>31</v>
      </c>
      <c r="D1906" t="s">
        <v>27</v>
      </c>
      <c r="E1906">
        <v>10800</v>
      </c>
      <c r="F1906" t="s">
        <v>14</v>
      </c>
      <c r="G1906" t="s">
        <v>15</v>
      </c>
      <c r="H1906" t="s">
        <v>16</v>
      </c>
      <c r="I1906" t="s">
        <v>17</v>
      </c>
      <c r="J1906" t="s">
        <v>22</v>
      </c>
      <c r="K1906">
        <v>0.1</v>
      </c>
    </row>
    <row r="1907" spans="1:11" x14ac:dyDescent="0.25">
      <c r="A1907" t="s">
        <v>1945</v>
      </c>
      <c r="B1907" s="1">
        <v>45504</v>
      </c>
      <c r="C1907" t="s">
        <v>20</v>
      </c>
      <c r="D1907" t="s">
        <v>13</v>
      </c>
      <c r="E1907">
        <v>500</v>
      </c>
      <c r="F1907" t="s">
        <v>49</v>
      </c>
      <c r="G1907" t="s">
        <v>28</v>
      </c>
      <c r="H1907" t="s">
        <v>33</v>
      </c>
      <c r="I1907" t="s">
        <v>34</v>
      </c>
      <c r="J1907" t="s">
        <v>25</v>
      </c>
      <c r="K1907">
        <v>0</v>
      </c>
    </row>
    <row r="1908" spans="1:11" x14ac:dyDescent="0.25">
      <c r="A1908" t="s">
        <v>1946</v>
      </c>
      <c r="B1908" s="1">
        <v>44948</v>
      </c>
      <c r="C1908" t="s">
        <v>12</v>
      </c>
      <c r="D1908" t="s">
        <v>27</v>
      </c>
      <c r="E1908">
        <v>16200</v>
      </c>
      <c r="F1908" t="s">
        <v>14</v>
      </c>
      <c r="G1908" t="s">
        <v>15</v>
      </c>
      <c r="H1908" t="s">
        <v>16</v>
      </c>
      <c r="I1908" t="s">
        <v>17</v>
      </c>
      <c r="J1908" t="s">
        <v>22</v>
      </c>
      <c r="K1908">
        <v>0.1</v>
      </c>
    </row>
    <row r="1909" spans="1:11" x14ac:dyDescent="0.25">
      <c r="A1909" t="s">
        <v>1947</v>
      </c>
      <c r="B1909" s="1">
        <v>45526</v>
      </c>
      <c r="C1909" t="s">
        <v>31</v>
      </c>
      <c r="D1909" t="s">
        <v>27</v>
      </c>
      <c r="E1909">
        <v>10800</v>
      </c>
      <c r="F1909" t="s">
        <v>49</v>
      </c>
      <c r="G1909" t="s">
        <v>24</v>
      </c>
      <c r="H1909" t="s">
        <v>16</v>
      </c>
      <c r="I1909" t="s">
        <v>17</v>
      </c>
      <c r="J1909" t="s">
        <v>58</v>
      </c>
      <c r="K1909">
        <v>0.1</v>
      </c>
    </row>
    <row r="1910" spans="1:11" x14ac:dyDescent="0.25">
      <c r="A1910" t="s">
        <v>1948</v>
      </c>
      <c r="B1910" s="1">
        <v>45140</v>
      </c>
      <c r="C1910" t="s">
        <v>12</v>
      </c>
      <c r="D1910" t="s">
        <v>13</v>
      </c>
      <c r="E1910">
        <v>1500</v>
      </c>
      <c r="F1910" t="s">
        <v>32</v>
      </c>
      <c r="G1910" t="s">
        <v>15</v>
      </c>
      <c r="H1910" t="s">
        <v>16</v>
      </c>
      <c r="I1910" t="s">
        <v>17</v>
      </c>
      <c r="J1910" t="s">
        <v>44</v>
      </c>
      <c r="K1910">
        <v>0</v>
      </c>
    </row>
    <row r="1911" spans="1:11" x14ac:dyDescent="0.25">
      <c r="A1911" t="s">
        <v>1949</v>
      </c>
      <c r="B1911" s="1">
        <v>45640</v>
      </c>
      <c r="C1911" t="s">
        <v>31</v>
      </c>
      <c r="D1911" t="s">
        <v>13</v>
      </c>
      <c r="E1911">
        <v>1000</v>
      </c>
      <c r="F1911" t="s">
        <v>49</v>
      </c>
      <c r="G1911" t="s">
        <v>28</v>
      </c>
      <c r="H1911" t="s">
        <v>16</v>
      </c>
      <c r="I1911" t="s">
        <v>17</v>
      </c>
      <c r="J1911" t="s">
        <v>18</v>
      </c>
      <c r="K1911">
        <v>0</v>
      </c>
    </row>
    <row r="1912" spans="1:11" x14ac:dyDescent="0.25">
      <c r="A1912" t="s">
        <v>1950</v>
      </c>
      <c r="B1912" s="1">
        <v>45335</v>
      </c>
      <c r="C1912" t="s">
        <v>12</v>
      </c>
      <c r="D1912" t="s">
        <v>27</v>
      </c>
      <c r="E1912">
        <v>16200</v>
      </c>
      <c r="F1912" t="s">
        <v>21</v>
      </c>
      <c r="G1912" t="s">
        <v>24</v>
      </c>
      <c r="H1912" t="s">
        <v>33</v>
      </c>
      <c r="I1912" t="s">
        <v>34</v>
      </c>
      <c r="J1912" t="s">
        <v>25</v>
      </c>
      <c r="K1912">
        <v>0.1</v>
      </c>
    </row>
    <row r="1913" spans="1:11" x14ac:dyDescent="0.25">
      <c r="A1913" t="s">
        <v>1951</v>
      </c>
      <c r="B1913" s="1">
        <v>45356</v>
      </c>
      <c r="C1913" t="s">
        <v>31</v>
      </c>
      <c r="D1913" t="s">
        <v>13</v>
      </c>
      <c r="E1913">
        <v>1000</v>
      </c>
      <c r="F1913" t="s">
        <v>49</v>
      </c>
      <c r="G1913" t="s">
        <v>15</v>
      </c>
      <c r="H1913" t="s">
        <v>16</v>
      </c>
      <c r="I1913" t="s">
        <v>17</v>
      </c>
      <c r="J1913" t="s">
        <v>35</v>
      </c>
      <c r="K1913">
        <v>0</v>
      </c>
    </row>
    <row r="1914" spans="1:11" x14ac:dyDescent="0.25">
      <c r="A1914" t="s">
        <v>1952</v>
      </c>
      <c r="B1914" s="1">
        <v>45396</v>
      </c>
      <c r="C1914" t="s">
        <v>12</v>
      </c>
      <c r="D1914" t="s">
        <v>27</v>
      </c>
      <c r="E1914">
        <v>16200</v>
      </c>
      <c r="F1914" t="s">
        <v>32</v>
      </c>
      <c r="G1914" t="s">
        <v>24</v>
      </c>
      <c r="H1914" t="s">
        <v>16</v>
      </c>
      <c r="I1914" t="s">
        <v>17</v>
      </c>
      <c r="J1914" t="s">
        <v>35</v>
      </c>
      <c r="K1914">
        <v>0.1</v>
      </c>
    </row>
    <row r="1915" spans="1:11" x14ac:dyDescent="0.25">
      <c r="A1915" t="s">
        <v>1953</v>
      </c>
      <c r="B1915" s="1">
        <v>45022</v>
      </c>
      <c r="C1915" t="s">
        <v>12</v>
      </c>
      <c r="D1915" t="s">
        <v>13</v>
      </c>
      <c r="E1915">
        <v>1500</v>
      </c>
      <c r="F1915" t="s">
        <v>21</v>
      </c>
      <c r="G1915" t="s">
        <v>28</v>
      </c>
      <c r="H1915" t="s">
        <v>16</v>
      </c>
      <c r="I1915" t="s">
        <v>17</v>
      </c>
      <c r="J1915" t="s">
        <v>29</v>
      </c>
      <c r="K1915">
        <v>0</v>
      </c>
    </row>
    <row r="1916" spans="1:11" x14ac:dyDescent="0.25">
      <c r="A1916" t="s">
        <v>1954</v>
      </c>
      <c r="B1916" s="1">
        <v>45261</v>
      </c>
      <c r="C1916" t="s">
        <v>20</v>
      </c>
      <c r="D1916" t="s">
        <v>27</v>
      </c>
      <c r="E1916">
        <v>5400</v>
      </c>
      <c r="F1916" t="s">
        <v>14</v>
      </c>
      <c r="G1916" t="s">
        <v>28</v>
      </c>
      <c r="H1916" t="s">
        <v>33</v>
      </c>
      <c r="I1916" t="s">
        <v>34</v>
      </c>
      <c r="J1916" t="s">
        <v>55</v>
      </c>
      <c r="K1916">
        <v>0.1</v>
      </c>
    </row>
    <row r="1917" spans="1:11" x14ac:dyDescent="0.25">
      <c r="A1917" t="s">
        <v>1955</v>
      </c>
      <c r="B1917" s="1">
        <v>45426</v>
      </c>
      <c r="C1917" t="s">
        <v>12</v>
      </c>
      <c r="D1917" t="s">
        <v>13</v>
      </c>
      <c r="E1917">
        <v>1500</v>
      </c>
      <c r="F1917" t="s">
        <v>21</v>
      </c>
      <c r="G1917" t="s">
        <v>24</v>
      </c>
      <c r="H1917" t="s">
        <v>16</v>
      </c>
      <c r="I1917" t="s">
        <v>17</v>
      </c>
      <c r="J1917" t="s">
        <v>18</v>
      </c>
      <c r="K1917">
        <v>0</v>
      </c>
    </row>
    <row r="1918" spans="1:11" x14ac:dyDescent="0.25">
      <c r="A1918" t="s">
        <v>1956</v>
      </c>
      <c r="B1918" s="1">
        <v>45466</v>
      </c>
      <c r="C1918" t="s">
        <v>20</v>
      </c>
      <c r="D1918" t="s">
        <v>27</v>
      </c>
      <c r="E1918">
        <v>5400</v>
      </c>
      <c r="F1918" t="s">
        <v>49</v>
      </c>
      <c r="G1918" t="s">
        <v>28</v>
      </c>
      <c r="H1918" t="s">
        <v>16</v>
      </c>
      <c r="I1918" t="s">
        <v>17</v>
      </c>
      <c r="J1918" t="s">
        <v>25</v>
      </c>
      <c r="K1918">
        <v>0.1</v>
      </c>
    </row>
    <row r="1919" spans="1:11" x14ac:dyDescent="0.25">
      <c r="A1919" t="s">
        <v>1957</v>
      </c>
      <c r="B1919" s="1">
        <v>45302</v>
      </c>
      <c r="C1919" t="s">
        <v>31</v>
      </c>
      <c r="D1919" t="s">
        <v>27</v>
      </c>
      <c r="E1919">
        <v>10800</v>
      </c>
      <c r="F1919" t="s">
        <v>14</v>
      </c>
      <c r="G1919" t="s">
        <v>24</v>
      </c>
      <c r="H1919" t="s">
        <v>16</v>
      </c>
      <c r="I1919" t="s">
        <v>17</v>
      </c>
      <c r="J1919" t="s">
        <v>37</v>
      </c>
      <c r="K1919">
        <v>0.1</v>
      </c>
    </row>
    <row r="1920" spans="1:11" x14ac:dyDescent="0.25">
      <c r="A1920" t="s">
        <v>1958</v>
      </c>
      <c r="B1920" s="1">
        <v>45423</v>
      </c>
      <c r="C1920" t="s">
        <v>31</v>
      </c>
      <c r="D1920" t="s">
        <v>27</v>
      </c>
      <c r="E1920">
        <v>10800</v>
      </c>
      <c r="F1920" t="s">
        <v>21</v>
      </c>
      <c r="G1920" t="s">
        <v>15</v>
      </c>
      <c r="H1920" t="s">
        <v>16</v>
      </c>
      <c r="I1920" t="s">
        <v>17</v>
      </c>
      <c r="J1920" t="s">
        <v>18</v>
      </c>
      <c r="K1920">
        <v>0.1</v>
      </c>
    </row>
    <row r="1921" spans="1:11" x14ac:dyDescent="0.25">
      <c r="A1921" t="s">
        <v>1959</v>
      </c>
      <c r="B1921" s="1">
        <v>45273</v>
      </c>
      <c r="C1921" t="s">
        <v>12</v>
      </c>
      <c r="D1921" t="s">
        <v>27</v>
      </c>
      <c r="E1921">
        <v>16200</v>
      </c>
      <c r="F1921" t="s">
        <v>21</v>
      </c>
      <c r="G1921" t="s">
        <v>28</v>
      </c>
      <c r="H1921" t="s">
        <v>16</v>
      </c>
      <c r="I1921" t="s">
        <v>17</v>
      </c>
      <c r="J1921" t="s">
        <v>25</v>
      </c>
      <c r="K1921">
        <v>0.1</v>
      </c>
    </row>
    <row r="1922" spans="1:11" x14ac:dyDescent="0.25">
      <c r="A1922" t="s">
        <v>1960</v>
      </c>
      <c r="B1922" s="1">
        <v>45245</v>
      </c>
      <c r="C1922" t="s">
        <v>12</v>
      </c>
      <c r="D1922" t="s">
        <v>13</v>
      </c>
      <c r="E1922">
        <v>1500</v>
      </c>
      <c r="F1922" t="s">
        <v>21</v>
      </c>
      <c r="G1922" t="s">
        <v>28</v>
      </c>
      <c r="H1922" t="s">
        <v>16</v>
      </c>
      <c r="I1922" t="s">
        <v>17</v>
      </c>
      <c r="J1922" t="s">
        <v>18</v>
      </c>
      <c r="K1922">
        <v>0</v>
      </c>
    </row>
    <row r="1923" spans="1:11" x14ac:dyDescent="0.25">
      <c r="A1923" t="s">
        <v>1961</v>
      </c>
      <c r="B1923" s="1">
        <v>45493</v>
      </c>
      <c r="C1923" t="s">
        <v>12</v>
      </c>
      <c r="D1923" t="s">
        <v>27</v>
      </c>
      <c r="E1923">
        <v>16200</v>
      </c>
      <c r="F1923" t="s">
        <v>49</v>
      </c>
      <c r="G1923" t="s">
        <v>28</v>
      </c>
      <c r="H1923" t="s">
        <v>16</v>
      </c>
      <c r="I1923" t="s">
        <v>17</v>
      </c>
      <c r="J1923" t="s">
        <v>18</v>
      </c>
      <c r="K1923">
        <v>0.1</v>
      </c>
    </row>
    <row r="1924" spans="1:11" x14ac:dyDescent="0.25">
      <c r="A1924" t="s">
        <v>1962</v>
      </c>
      <c r="B1924" s="1">
        <v>45384</v>
      </c>
      <c r="C1924" t="s">
        <v>31</v>
      </c>
      <c r="D1924" t="s">
        <v>27</v>
      </c>
      <c r="E1924">
        <v>10800</v>
      </c>
      <c r="F1924" t="s">
        <v>32</v>
      </c>
      <c r="G1924" t="s">
        <v>28</v>
      </c>
      <c r="H1924" t="s">
        <v>33</v>
      </c>
      <c r="I1924" t="s">
        <v>34</v>
      </c>
      <c r="J1924" t="s">
        <v>44</v>
      </c>
      <c r="K1924">
        <v>0.1</v>
      </c>
    </row>
    <row r="1925" spans="1:11" x14ac:dyDescent="0.25">
      <c r="A1925" t="s">
        <v>1963</v>
      </c>
      <c r="B1925" s="1">
        <v>44967</v>
      </c>
      <c r="C1925" t="s">
        <v>31</v>
      </c>
      <c r="D1925" t="s">
        <v>13</v>
      </c>
      <c r="E1925">
        <v>1000</v>
      </c>
      <c r="F1925" t="s">
        <v>49</v>
      </c>
      <c r="G1925" t="s">
        <v>28</v>
      </c>
      <c r="H1925" t="s">
        <v>33</v>
      </c>
      <c r="I1925" t="s">
        <v>34</v>
      </c>
      <c r="J1925" t="s">
        <v>50</v>
      </c>
      <c r="K1925">
        <v>0</v>
      </c>
    </row>
    <row r="1926" spans="1:11" x14ac:dyDescent="0.25">
      <c r="A1926" t="s">
        <v>1964</v>
      </c>
      <c r="B1926" s="1">
        <v>45316</v>
      </c>
      <c r="C1926" t="s">
        <v>31</v>
      </c>
      <c r="D1926" t="s">
        <v>13</v>
      </c>
      <c r="E1926">
        <v>1000</v>
      </c>
      <c r="F1926" t="s">
        <v>21</v>
      </c>
      <c r="G1926" t="s">
        <v>24</v>
      </c>
      <c r="H1926" t="s">
        <v>33</v>
      </c>
      <c r="I1926" t="s">
        <v>34</v>
      </c>
      <c r="J1926" t="s">
        <v>29</v>
      </c>
      <c r="K1926">
        <v>0</v>
      </c>
    </row>
    <row r="1927" spans="1:11" x14ac:dyDescent="0.25">
      <c r="A1927" t="s">
        <v>1965</v>
      </c>
      <c r="B1927" s="1">
        <v>44945</v>
      </c>
      <c r="C1927" t="s">
        <v>20</v>
      </c>
      <c r="D1927" t="s">
        <v>13</v>
      </c>
      <c r="E1927">
        <v>500</v>
      </c>
      <c r="F1927" t="s">
        <v>14</v>
      </c>
      <c r="G1927" t="s">
        <v>15</v>
      </c>
      <c r="H1927" t="s">
        <v>16</v>
      </c>
      <c r="I1927" t="s">
        <v>17</v>
      </c>
      <c r="J1927" t="s">
        <v>37</v>
      </c>
      <c r="K1927">
        <v>0</v>
      </c>
    </row>
    <row r="1928" spans="1:11" x14ac:dyDescent="0.25">
      <c r="A1928" t="s">
        <v>1966</v>
      </c>
      <c r="B1928" s="1">
        <v>45376</v>
      </c>
      <c r="C1928" t="s">
        <v>20</v>
      </c>
      <c r="D1928" t="s">
        <v>13</v>
      </c>
      <c r="E1928">
        <v>500</v>
      </c>
      <c r="F1928" t="s">
        <v>21</v>
      </c>
      <c r="G1928" t="s">
        <v>28</v>
      </c>
      <c r="H1928" t="s">
        <v>16</v>
      </c>
      <c r="I1928" t="s">
        <v>17</v>
      </c>
      <c r="J1928" t="s">
        <v>22</v>
      </c>
      <c r="K1928">
        <v>0</v>
      </c>
    </row>
    <row r="1929" spans="1:11" x14ac:dyDescent="0.25">
      <c r="A1929" t="s">
        <v>1967</v>
      </c>
      <c r="B1929" s="1">
        <v>45353</v>
      </c>
      <c r="C1929" t="s">
        <v>12</v>
      </c>
      <c r="D1929" t="s">
        <v>27</v>
      </c>
      <c r="E1929">
        <v>16200</v>
      </c>
      <c r="F1929" t="s">
        <v>49</v>
      </c>
      <c r="G1929" t="s">
        <v>28</v>
      </c>
      <c r="H1929" t="s">
        <v>33</v>
      </c>
      <c r="I1929" t="s">
        <v>34</v>
      </c>
      <c r="J1929" t="s">
        <v>22</v>
      </c>
      <c r="K1929">
        <v>0.1</v>
      </c>
    </row>
    <row r="1930" spans="1:11" x14ac:dyDescent="0.25">
      <c r="A1930" t="s">
        <v>1968</v>
      </c>
      <c r="B1930" s="1">
        <v>45330</v>
      </c>
      <c r="C1930" t="s">
        <v>20</v>
      </c>
      <c r="D1930" t="s">
        <v>13</v>
      </c>
      <c r="E1930">
        <v>500</v>
      </c>
      <c r="F1930" t="s">
        <v>21</v>
      </c>
      <c r="G1930" t="s">
        <v>28</v>
      </c>
      <c r="H1930" t="s">
        <v>16</v>
      </c>
      <c r="I1930" t="s">
        <v>17</v>
      </c>
      <c r="J1930" t="s">
        <v>29</v>
      </c>
      <c r="K1930">
        <v>0</v>
      </c>
    </row>
    <row r="1931" spans="1:11" x14ac:dyDescent="0.25">
      <c r="A1931" t="s">
        <v>1969</v>
      </c>
      <c r="B1931" s="1">
        <v>45095</v>
      </c>
      <c r="C1931" t="s">
        <v>20</v>
      </c>
      <c r="D1931" t="s">
        <v>27</v>
      </c>
      <c r="E1931">
        <v>5400</v>
      </c>
      <c r="F1931" t="s">
        <v>14</v>
      </c>
      <c r="G1931" t="s">
        <v>15</v>
      </c>
      <c r="H1931" t="s">
        <v>16</v>
      </c>
      <c r="I1931" t="s">
        <v>17</v>
      </c>
      <c r="J1931" t="s">
        <v>37</v>
      </c>
      <c r="K1931">
        <v>0.1</v>
      </c>
    </row>
    <row r="1932" spans="1:11" x14ac:dyDescent="0.25">
      <c r="A1932" t="s">
        <v>1970</v>
      </c>
      <c r="B1932" s="1">
        <v>45200</v>
      </c>
      <c r="C1932" t="s">
        <v>31</v>
      </c>
      <c r="D1932" t="s">
        <v>13</v>
      </c>
      <c r="E1932">
        <v>1000</v>
      </c>
      <c r="F1932" t="s">
        <v>14</v>
      </c>
      <c r="G1932" t="s">
        <v>15</v>
      </c>
      <c r="H1932" t="s">
        <v>16</v>
      </c>
      <c r="I1932" t="s">
        <v>17</v>
      </c>
      <c r="J1932" t="s">
        <v>37</v>
      </c>
      <c r="K1932">
        <v>0</v>
      </c>
    </row>
    <row r="1933" spans="1:11" x14ac:dyDescent="0.25">
      <c r="A1933" t="s">
        <v>1971</v>
      </c>
      <c r="B1933" s="1">
        <v>45507</v>
      </c>
      <c r="C1933" t="s">
        <v>12</v>
      </c>
      <c r="D1933" t="s">
        <v>27</v>
      </c>
      <c r="E1933">
        <v>16200</v>
      </c>
      <c r="F1933" t="s">
        <v>49</v>
      </c>
      <c r="G1933" t="s">
        <v>24</v>
      </c>
      <c r="H1933" t="s">
        <v>33</v>
      </c>
      <c r="I1933" t="s">
        <v>34</v>
      </c>
      <c r="J1933" t="s">
        <v>25</v>
      </c>
      <c r="K1933">
        <v>0.1</v>
      </c>
    </row>
    <row r="1934" spans="1:11" x14ac:dyDescent="0.25">
      <c r="A1934" t="s">
        <v>1972</v>
      </c>
      <c r="B1934" s="1">
        <v>45035</v>
      </c>
      <c r="C1934" t="s">
        <v>20</v>
      </c>
      <c r="D1934" t="s">
        <v>13</v>
      </c>
      <c r="E1934">
        <v>500</v>
      </c>
      <c r="F1934" t="s">
        <v>49</v>
      </c>
      <c r="G1934" t="s">
        <v>24</v>
      </c>
      <c r="H1934" t="s">
        <v>16</v>
      </c>
      <c r="I1934" t="s">
        <v>17</v>
      </c>
      <c r="J1934" t="s">
        <v>25</v>
      </c>
      <c r="K1934">
        <v>0</v>
      </c>
    </row>
    <row r="1935" spans="1:11" x14ac:dyDescent="0.25">
      <c r="A1935" t="s">
        <v>1973</v>
      </c>
      <c r="B1935" s="1">
        <v>45020</v>
      </c>
      <c r="C1935" t="s">
        <v>12</v>
      </c>
      <c r="D1935" t="s">
        <v>13</v>
      </c>
      <c r="E1935">
        <v>1500</v>
      </c>
      <c r="F1935" t="s">
        <v>21</v>
      </c>
      <c r="G1935" t="s">
        <v>15</v>
      </c>
      <c r="H1935" t="s">
        <v>16</v>
      </c>
      <c r="I1935" t="s">
        <v>17</v>
      </c>
      <c r="J1935" t="s">
        <v>18</v>
      </c>
      <c r="K1935">
        <v>0</v>
      </c>
    </row>
    <row r="1936" spans="1:11" x14ac:dyDescent="0.25">
      <c r="A1936" t="s">
        <v>1974</v>
      </c>
      <c r="B1936" s="1">
        <v>45328</v>
      </c>
      <c r="C1936" t="s">
        <v>31</v>
      </c>
      <c r="D1936" t="s">
        <v>27</v>
      </c>
      <c r="E1936">
        <v>10800</v>
      </c>
      <c r="F1936" t="s">
        <v>49</v>
      </c>
      <c r="G1936" t="s">
        <v>28</v>
      </c>
      <c r="H1936" t="s">
        <v>33</v>
      </c>
      <c r="I1936" t="s">
        <v>34</v>
      </c>
      <c r="J1936" t="s">
        <v>50</v>
      </c>
      <c r="K1936">
        <v>0.1</v>
      </c>
    </row>
    <row r="1937" spans="1:11" x14ac:dyDescent="0.25">
      <c r="A1937" t="s">
        <v>1975</v>
      </c>
      <c r="B1937" s="1">
        <v>45586</v>
      </c>
      <c r="C1937" t="s">
        <v>31</v>
      </c>
      <c r="D1937" t="s">
        <v>13</v>
      </c>
      <c r="E1937">
        <v>1000</v>
      </c>
      <c r="F1937" t="s">
        <v>14</v>
      </c>
      <c r="G1937" t="s">
        <v>28</v>
      </c>
      <c r="H1937" t="s">
        <v>33</v>
      </c>
      <c r="I1937" t="s">
        <v>34</v>
      </c>
      <c r="J1937" t="s">
        <v>41</v>
      </c>
      <c r="K1937">
        <v>0</v>
      </c>
    </row>
    <row r="1938" spans="1:11" x14ac:dyDescent="0.25">
      <c r="A1938" t="s">
        <v>1976</v>
      </c>
      <c r="B1938" s="1">
        <v>45598</v>
      </c>
      <c r="C1938" t="s">
        <v>20</v>
      </c>
      <c r="D1938" t="s">
        <v>27</v>
      </c>
      <c r="E1938">
        <v>5400</v>
      </c>
      <c r="F1938" t="s">
        <v>49</v>
      </c>
      <c r="G1938" t="s">
        <v>24</v>
      </c>
      <c r="H1938" t="s">
        <v>16</v>
      </c>
      <c r="I1938" t="s">
        <v>17</v>
      </c>
      <c r="J1938" t="s">
        <v>58</v>
      </c>
      <c r="K1938">
        <v>0.1</v>
      </c>
    </row>
    <row r="1939" spans="1:11" x14ac:dyDescent="0.25">
      <c r="A1939" t="s">
        <v>1977</v>
      </c>
      <c r="B1939" s="1">
        <v>45284</v>
      </c>
      <c r="C1939" t="s">
        <v>31</v>
      </c>
      <c r="D1939" t="s">
        <v>13</v>
      </c>
      <c r="E1939">
        <v>1000</v>
      </c>
      <c r="F1939" t="s">
        <v>21</v>
      </c>
      <c r="G1939" t="s">
        <v>24</v>
      </c>
      <c r="H1939" t="s">
        <v>33</v>
      </c>
      <c r="I1939" t="s">
        <v>34</v>
      </c>
      <c r="J1939" t="s">
        <v>29</v>
      </c>
      <c r="K1939">
        <v>0</v>
      </c>
    </row>
    <row r="1940" spans="1:11" x14ac:dyDescent="0.25">
      <c r="A1940" t="s">
        <v>1978</v>
      </c>
      <c r="B1940" s="1">
        <v>45052</v>
      </c>
      <c r="C1940" t="s">
        <v>12</v>
      </c>
      <c r="D1940" t="s">
        <v>27</v>
      </c>
      <c r="E1940">
        <v>16200</v>
      </c>
      <c r="F1940" t="s">
        <v>49</v>
      </c>
      <c r="G1940" t="s">
        <v>28</v>
      </c>
      <c r="H1940" t="s">
        <v>16</v>
      </c>
      <c r="I1940" t="s">
        <v>17</v>
      </c>
      <c r="J1940" t="s">
        <v>25</v>
      </c>
      <c r="K1940">
        <v>0.1</v>
      </c>
    </row>
    <row r="1941" spans="1:11" x14ac:dyDescent="0.25">
      <c r="A1941" t="s">
        <v>1979</v>
      </c>
      <c r="B1941" s="1">
        <v>44946</v>
      </c>
      <c r="C1941" t="s">
        <v>20</v>
      </c>
      <c r="D1941" t="s">
        <v>13</v>
      </c>
      <c r="E1941">
        <v>500</v>
      </c>
      <c r="F1941" t="s">
        <v>32</v>
      </c>
      <c r="G1941" t="s">
        <v>24</v>
      </c>
      <c r="H1941" t="s">
        <v>33</v>
      </c>
      <c r="I1941" t="s">
        <v>34</v>
      </c>
      <c r="J1941" t="s">
        <v>66</v>
      </c>
      <c r="K1941">
        <v>0</v>
      </c>
    </row>
    <row r="1942" spans="1:11" x14ac:dyDescent="0.25">
      <c r="A1942" t="s">
        <v>1980</v>
      </c>
      <c r="B1942" s="1">
        <v>45058</v>
      </c>
      <c r="C1942" t="s">
        <v>20</v>
      </c>
      <c r="D1942" t="s">
        <v>27</v>
      </c>
      <c r="E1942">
        <v>5400</v>
      </c>
      <c r="F1942" t="s">
        <v>21</v>
      </c>
      <c r="G1942" t="s">
        <v>24</v>
      </c>
      <c r="H1942" t="s">
        <v>16</v>
      </c>
      <c r="I1942" t="s">
        <v>17</v>
      </c>
      <c r="J1942" t="s">
        <v>29</v>
      </c>
      <c r="K1942">
        <v>0.1</v>
      </c>
    </row>
    <row r="1943" spans="1:11" x14ac:dyDescent="0.25">
      <c r="A1943" t="s">
        <v>1981</v>
      </c>
      <c r="B1943" s="1">
        <v>45040</v>
      </c>
      <c r="C1943" t="s">
        <v>20</v>
      </c>
      <c r="D1943" t="s">
        <v>13</v>
      </c>
      <c r="E1943">
        <v>500</v>
      </c>
      <c r="F1943" t="s">
        <v>21</v>
      </c>
      <c r="G1943" t="s">
        <v>28</v>
      </c>
      <c r="H1943" t="s">
        <v>33</v>
      </c>
      <c r="I1943" t="s">
        <v>34</v>
      </c>
      <c r="J1943" t="s">
        <v>29</v>
      </c>
      <c r="K1943">
        <v>0</v>
      </c>
    </row>
    <row r="1944" spans="1:11" x14ac:dyDescent="0.25">
      <c r="A1944" t="s">
        <v>1982</v>
      </c>
      <c r="B1944" s="1">
        <v>45072</v>
      </c>
      <c r="C1944" t="s">
        <v>31</v>
      </c>
      <c r="D1944" t="s">
        <v>13</v>
      </c>
      <c r="E1944">
        <v>1000</v>
      </c>
      <c r="F1944" t="s">
        <v>49</v>
      </c>
      <c r="G1944" t="s">
        <v>24</v>
      </c>
      <c r="H1944" t="s">
        <v>16</v>
      </c>
      <c r="I1944" t="s">
        <v>17</v>
      </c>
      <c r="J1944" t="s">
        <v>25</v>
      </c>
      <c r="K1944">
        <v>0</v>
      </c>
    </row>
    <row r="1945" spans="1:11" x14ac:dyDescent="0.25">
      <c r="A1945" t="s">
        <v>1983</v>
      </c>
      <c r="B1945" s="1">
        <v>45094</v>
      </c>
      <c r="C1945" t="s">
        <v>12</v>
      </c>
      <c r="D1945" t="s">
        <v>27</v>
      </c>
      <c r="E1945">
        <v>16200</v>
      </c>
      <c r="F1945" t="s">
        <v>49</v>
      </c>
      <c r="G1945" t="s">
        <v>28</v>
      </c>
      <c r="H1945" t="s">
        <v>33</v>
      </c>
      <c r="I1945" t="s">
        <v>34</v>
      </c>
      <c r="J1945" t="s">
        <v>35</v>
      </c>
      <c r="K1945">
        <v>0.1</v>
      </c>
    </row>
    <row r="1946" spans="1:11" x14ac:dyDescent="0.25">
      <c r="A1946" t="s">
        <v>1984</v>
      </c>
      <c r="B1946" s="1">
        <v>45331</v>
      </c>
      <c r="C1946" t="s">
        <v>20</v>
      </c>
      <c r="D1946" t="s">
        <v>27</v>
      </c>
      <c r="E1946">
        <v>5400</v>
      </c>
      <c r="F1946" t="s">
        <v>14</v>
      </c>
      <c r="G1946" t="s">
        <v>28</v>
      </c>
      <c r="H1946" t="s">
        <v>33</v>
      </c>
      <c r="I1946" t="s">
        <v>34</v>
      </c>
      <c r="J1946" t="s">
        <v>41</v>
      </c>
      <c r="K1946">
        <v>0.1</v>
      </c>
    </row>
    <row r="1947" spans="1:11" x14ac:dyDescent="0.25">
      <c r="A1947" t="s">
        <v>1985</v>
      </c>
      <c r="B1947" s="1">
        <v>45524</v>
      </c>
      <c r="C1947" t="s">
        <v>31</v>
      </c>
      <c r="D1947" t="s">
        <v>27</v>
      </c>
      <c r="E1947">
        <v>10800</v>
      </c>
      <c r="F1947" t="s">
        <v>49</v>
      </c>
      <c r="G1947" t="s">
        <v>24</v>
      </c>
      <c r="H1947" t="s">
        <v>33</v>
      </c>
      <c r="I1947" t="s">
        <v>34</v>
      </c>
      <c r="J1947" t="s">
        <v>50</v>
      </c>
      <c r="K1947">
        <v>0.1</v>
      </c>
    </row>
    <row r="1948" spans="1:11" x14ac:dyDescent="0.25">
      <c r="A1948" t="s">
        <v>1986</v>
      </c>
      <c r="B1948" s="1">
        <v>44986</v>
      </c>
      <c r="C1948" t="s">
        <v>31</v>
      </c>
      <c r="D1948" t="s">
        <v>27</v>
      </c>
      <c r="E1948">
        <v>10800</v>
      </c>
      <c r="F1948" t="s">
        <v>14</v>
      </c>
      <c r="G1948" t="s">
        <v>28</v>
      </c>
      <c r="H1948" t="s">
        <v>16</v>
      </c>
      <c r="I1948" t="s">
        <v>17</v>
      </c>
      <c r="J1948" t="s">
        <v>37</v>
      </c>
      <c r="K1948">
        <v>0.1</v>
      </c>
    </row>
    <row r="1949" spans="1:11" x14ac:dyDescent="0.25">
      <c r="A1949" t="s">
        <v>1987</v>
      </c>
      <c r="B1949" s="1">
        <v>45275</v>
      </c>
      <c r="C1949" t="s">
        <v>31</v>
      </c>
      <c r="D1949" t="s">
        <v>27</v>
      </c>
      <c r="E1949">
        <v>10800</v>
      </c>
      <c r="F1949" t="s">
        <v>14</v>
      </c>
      <c r="G1949" t="s">
        <v>24</v>
      </c>
      <c r="H1949" t="s">
        <v>33</v>
      </c>
      <c r="I1949" t="s">
        <v>34</v>
      </c>
      <c r="J1949" t="s">
        <v>55</v>
      </c>
      <c r="K1949">
        <v>0.1</v>
      </c>
    </row>
    <row r="1950" spans="1:11" x14ac:dyDescent="0.25">
      <c r="A1950" t="s">
        <v>1988</v>
      </c>
      <c r="B1950" s="1">
        <v>45633</v>
      </c>
      <c r="C1950" t="s">
        <v>12</v>
      </c>
      <c r="D1950" t="s">
        <v>13</v>
      </c>
      <c r="E1950">
        <v>1500</v>
      </c>
      <c r="F1950" t="s">
        <v>14</v>
      </c>
      <c r="G1950" t="s">
        <v>24</v>
      </c>
      <c r="H1950" t="s">
        <v>33</v>
      </c>
      <c r="I1950" t="s">
        <v>34</v>
      </c>
      <c r="J1950" t="s">
        <v>37</v>
      </c>
      <c r="K1950">
        <v>0</v>
      </c>
    </row>
    <row r="1951" spans="1:11" x14ac:dyDescent="0.25">
      <c r="A1951" t="s">
        <v>1989</v>
      </c>
      <c r="B1951" s="1">
        <v>45188</v>
      </c>
      <c r="C1951" t="s">
        <v>20</v>
      </c>
      <c r="D1951" t="s">
        <v>13</v>
      </c>
      <c r="E1951">
        <v>500</v>
      </c>
      <c r="F1951" t="s">
        <v>49</v>
      </c>
      <c r="G1951" t="s">
        <v>28</v>
      </c>
      <c r="H1951" t="s">
        <v>16</v>
      </c>
      <c r="I1951" t="s">
        <v>17</v>
      </c>
      <c r="J1951" t="s">
        <v>58</v>
      </c>
      <c r="K1951">
        <v>0</v>
      </c>
    </row>
    <row r="1952" spans="1:11" x14ac:dyDescent="0.25">
      <c r="A1952" t="s">
        <v>1990</v>
      </c>
      <c r="B1952" s="1">
        <v>45001</v>
      </c>
      <c r="C1952" t="s">
        <v>20</v>
      </c>
      <c r="D1952" t="s">
        <v>13</v>
      </c>
      <c r="E1952">
        <v>500</v>
      </c>
      <c r="F1952" t="s">
        <v>49</v>
      </c>
      <c r="G1952" t="s">
        <v>28</v>
      </c>
      <c r="H1952" t="s">
        <v>16</v>
      </c>
      <c r="I1952" t="s">
        <v>17</v>
      </c>
      <c r="J1952" t="s">
        <v>25</v>
      </c>
      <c r="K1952">
        <v>0</v>
      </c>
    </row>
    <row r="1953" spans="1:11" x14ac:dyDescent="0.25">
      <c r="A1953" t="s">
        <v>1991</v>
      </c>
      <c r="B1953" s="1">
        <v>45160</v>
      </c>
      <c r="C1953" t="s">
        <v>12</v>
      </c>
      <c r="D1953" t="s">
        <v>27</v>
      </c>
      <c r="E1953">
        <v>16200</v>
      </c>
      <c r="F1953" t="s">
        <v>21</v>
      </c>
      <c r="G1953" t="s">
        <v>24</v>
      </c>
      <c r="H1953" t="s">
        <v>33</v>
      </c>
      <c r="I1953" t="s">
        <v>34</v>
      </c>
      <c r="J1953" t="s">
        <v>18</v>
      </c>
      <c r="K1953">
        <v>0.1</v>
      </c>
    </row>
    <row r="1954" spans="1:11" x14ac:dyDescent="0.25">
      <c r="A1954" t="s">
        <v>1992</v>
      </c>
      <c r="B1954" s="1">
        <v>45528</v>
      </c>
      <c r="C1954" t="s">
        <v>31</v>
      </c>
      <c r="D1954" t="s">
        <v>27</v>
      </c>
      <c r="E1954">
        <v>10800</v>
      </c>
      <c r="F1954" t="s">
        <v>14</v>
      </c>
      <c r="G1954" t="s">
        <v>15</v>
      </c>
      <c r="H1954" t="s">
        <v>16</v>
      </c>
      <c r="I1954" t="s">
        <v>17</v>
      </c>
      <c r="J1954" t="s">
        <v>37</v>
      </c>
      <c r="K1954">
        <v>0.1</v>
      </c>
    </row>
    <row r="1955" spans="1:11" x14ac:dyDescent="0.25">
      <c r="A1955" t="s">
        <v>1993</v>
      </c>
      <c r="B1955" s="1">
        <v>45104</v>
      </c>
      <c r="C1955" t="s">
        <v>31</v>
      </c>
      <c r="D1955" t="s">
        <v>27</v>
      </c>
      <c r="E1955">
        <v>10800</v>
      </c>
      <c r="F1955" t="s">
        <v>49</v>
      </c>
      <c r="G1955" t="s">
        <v>24</v>
      </c>
      <c r="H1955" t="s">
        <v>16</v>
      </c>
      <c r="I1955" t="s">
        <v>17</v>
      </c>
      <c r="J1955" t="s">
        <v>25</v>
      </c>
      <c r="K1955">
        <v>0.1</v>
      </c>
    </row>
    <row r="1956" spans="1:11" x14ac:dyDescent="0.25">
      <c r="A1956" t="s">
        <v>1994</v>
      </c>
      <c r="B1956" s="1">
        <v>44965</v>
      </c>
      <c r="C1956" t="s">
        <v>20</v>
      </c>
      <c r="D1956" t="s">
        <v>27</v>
      </c>
      <c r="E1956">
        <v>5400</v>
      </c>
      <c r="F1956" t="s">
        <v>49</v>
      </c>
      <c r="G1956" t="s">
        <v>24</v>
      </c>
      <c r="H1956" t="s">
        <v>33</v>
      </c>
      <c r="I1956" t="s">
        <v>34</v>
      </c>
      <c r="J1956" t="s">
        <v>58</v>
      </c>
      <c r="K1956">
        <v>0.1</v>
      </c>
    </row>
    <row r="1957" spans="1:11" x14ac:dyDescent="0.25">
      <c r="A1957" t="s">
        <v>1995</v>
      </c>
      <c r="B1957" s="1">
        <v>45158</v>
      </c>
      <c r="C1957" t="s">
        <v>12</v>
      </c>
      <c r="D1957" t="s">
        <v>27</v>
      </c>
      <c r="E1957">
        <v>16200</v>
      </c>
      <c r="F1957" t="s">
        <v>14</v>
      </c>
      <c r="G1957" t="s">
        <v>28</v>
      </c>
      <c r="H1957" t="s">
        <v>16</v>
      </c>
      <c r="I1957" t="s">
        <v>17</v>
      </c>
      <c r="J1957" t="s">
        <v>37</v>
      </c>
      <c r="K1957">
        <v>0.1</v>
      </c>
    </row>
    <row r="1958" spans="1:11" x14ac:dyDescent="0.25">
      <c r="A1958" t="s">
        <v>1996</v>
      </c>
      <c r="B1958" s="1">
        <v>44995</v>
      </c>
      <c r="C1958" t="s">
        <v>12</v>
      </c>
      <c r="D1958" t="s">
        <v>27</v>
      </c>
      <c r="E1958">
        <v>16200</v>
      </c>
      <c r="F1958" t="s">
        <v>14</v>
      </c>
      <c r="G1958" t="s">
        <v>15</v>
      </c>
      <c r="H1958" t="s">
        <v>16</v>
      </c>
      <c r="I1958" t="s">
        <v>17</v>
      </c>
      <c r="J1958" t="s">
        <v>41</v>
      </c>
      <c r="K1958">
        <v>0.1</v>
      </c>
    </row>
    <row r="1959" spans="1:11" x14ac:dyDescent="0.25">
      <c r="A1959" t="s">
        <v>1997</v>
      </c>
      <c r="B1959" s="1">
        <v>45637</v>
      </c>
      <c r="C1959" t="s">
        <v>31</v>
      </c>
      <c r="D1959" t="s">
        <v>13</v>
      </c>
      <c r="E1959">
        <v>1000</v>
      </c>
      <c r="F1959" t="s">
        <v>21</v>
      </c>
      <c r="G1959" t="s">
        <v>15</v>
      </c>
      <c r="H1959" t="s">
        <v>16</v>
      </c>
      <c r="I1959" t="s">
        <v>17</v>
      </c>
      <c r="J1959" t="s">
        <v>29</v>
      </c>
      <c r="K1959">
        <v>0</v>
      </c>
    </row>
    <row r="1960" spans="1:11" x14ac:dyDescent="0.25">
      <c r="A1960" t="s">
        <v>1998</v>
      </c>
      <c r="B1960" s="1">
        <v>45203</v>
      </c>
      <c r="C1960" t="s">
        <v>31</v>
      </c>
      <c r="D1960" t="s">
        <v>27</v>
      </c>
      <c r="E1960">
        <v>10800</v>
      </c>
      <c r="F1960" t="s">
        <v>32</v>
      </c>
      <c r="G1960" t="s">
        <v>28</v>
      </c>
      <c r="H1960" t="s">
        <v>16</v>
      </c>
      <c r="I1960" t="s">
        <v>17</v>
      </c>
      <c r="J1960" t="s">
        <v>39</v>
      </c>
      <c r="K1960">
        <v>0.1</v>
      </c>
    </row>
    <row r="1961" spans="1:11" x14ac:dyDescent="0.25">
      <c r="A1961" t="s">
        <v>1999</v>
      </c>
      <c r="B1961" s="1">
        <v>45409</v>
      </c>
      <c r="C1961" t="s">
        <v>12</v>
      </c>
      <c r="D1961" t="s">
        <v>13</v>
      </c>
      <c r="E1961">
        <v>1500</v>
      </c>
      <c r="F1961" t="s">
        <v>21</v>
      </c>
      <c r="G1961" t="s">
        <v>24</v>
      </c>
      <c r="H1961" t="s">
        <v>33</v>
      </c>
      <c r="I1961" t="s">
        <v>34</v>
      </c>
      <c r="J1961" t="s">
        <v>29</v>
      </c>
      <c r="K1961">
        <v>0</v>
      </c>
    </row>
    <row r="1962" spans="1:11" x14ac:dyDescent="0.25">
      <c r="A1962" t="s">
        <v>2000</v>
      </c>
      <c r="B1962" s="1">
        <v>45243</v>
      </c>
      <c r="C1962" t="s">
        <v>20</v>
      </c>
      <c r="D1962" t="s">
        <v>13</v>
      </c>
      <c r="E1962">
        <v>500</v>
      </c>
      <c r="F1962" t="s">
        <v>14</v>
      </c>
      <c r="G1962" t="s">
        <v>24</v>
      </c>
      <c r="H1962" t="s">
        <v>16</v>
      </c>
      <c r="I1962" t="s">
        <v>17</v>
      </c>
      <c r="J1962" t="s">
        <v>37</v>
      </c>
      <c r="K1962">
        <v>0</v>
      </c>
    </row>
    <row r="1963" spans="1:11" x14ac:dyDescent="0.25">
      <c r="A1963" t="s">
        <v>2001</v>
      </c>
      <c r="B1963" s="1">
        <v>45144</v>
      </c>
      <c r="C1963" t="s">
        <v>20</v>
      </c>
      <c r="D1963" t="s">
        <v>27</v>
      </c>
      <c r="E1963">
        <v>5400</v>
      </c>
      <c r="F1963" t="s">
        <v>14</v>
      </c>
      <c r="G1963" t="s">
        <v>28</v>
      </c>
      <c r="H1963" t="s">
        <v>33</v>
      </c>
      <c r="I1963" t="s">
        <v>34</v>
      </c>
      <c r="J1963" t="s">
        <v>41</v>
      </c>
      <c r="K1963">
        <v>0.1</v>
      </c>
    </row>
    <row r="1964" spans="1:11" x14ac:dyDescent="0.25">
      <c r="A1964" t="s">
        <v>2002</v>
      </c>
      <c r="B1964" s="1">
        <v>45088</v>
      </c>
      <c r="C1964" t="s">
        <v>31</v>
      </c>
      <c r="D1964" t="s">
        <v>27</v>
      </c>
      <c r="E1964">
        <v>10800</v>
      </c>
      <c r="F1964" t="s">
        <v>32</v>
      </c>
      <c r="G1964" t="s">
        <v>15</v>
      </c>
      <c r="H1964" t="s">
        <v>16</v>
      </c>
      <c r="I1964" t="s">
        <v>17</v>
      </c>
      <c r="J1964" t="s">
        <v>39</v>
      </c>
      <c r="K1964">
        <v>0.1</v>
      </c>
    </row>
    <row r="1965" spans="1:11" x14ac:dyDescent="0.25">
      <c r="A1965" t="s">
        <v>2003</v>
      </c>
      <c r="B1965" s="1">
        <v>45079</v>
      </c>
      <c r="C1965" t="s">
        <v>31</v>
      </c>
      <c r="D1965" t="s">
        <v>27</v>
      </c>
      <c r="E1965">
        <v>10800</v>
      </c>
      <c r="F1965" t="s">
        <v>32</v>
      </c>
      <c r="G1965" t="s">
        <v>24</v>
      </c>
      <c r="H1965" t="s">
        <v>33</v>
      </c>
      <c r="I1965" t="s">
        <v>34</v>
      </c>
      <c r="J1965" t="s">
        <v>25</v>
      </c>
      <c r="K1965">
        <v>0.1</v>
      </c>
    </row>
    <row r="1966" spans="1:11" x14ac:dyDescent="0.25">
      <c r="A1966" t="s">
        <v>2004</v>
      </c>
      <c r="B1966" s="1">
        <v>45123</v>
      </c>
      <c r="C1966" t="s">
        <v>12</v>
      </c>
      <c r="D1966" t="s">
        <v>13</v>
      </c>
      <c r="E1966">
        <v>1500</v>
      </c>
      <c r="F1966" t="s">
        <v>49</v>
      </c>
      <c r="G1966" t="s">
        <v>15</v>
      </c>
      <c r="H1966" t="s">
        <v>16</v>
      </c>
      <c r="I1966" t="s">
        <v>17</v>
      </c>
      <c r="J1966" t="s">
        <v>58</v>
      </c>
      <c r="K1966">
        <v>0</v>
      </c>
    </row>
    <row r="1967" spans="1:11" x14ac:dyDescent="0.25">
      <c r="A1967" t="s">
        <v>2005</v>
      </c>
      <c r="B1967" s="1">
        <v>45047</v>
      </c>
      <c r="C1967" t="s">
        <v>31</v>
      </c>
      <c r="D1967" t="s">
        <v>13</v>
      </c>
      <c r="E1967">
        <v>1000</v>
      </c>
      <c r="F1967" t="s">
        <v>32</v>
      </c>
      <c r="G1967" t="s">
        <v>15</v>
      </c>
      <c r="H1967" t="s">
        <v>16</v>
      </c>
      <c r="I1967" t="s">
        <v>17</v>
      </c>
      <c r="J1967" t="s">
        <v>44</v>
      </c>
      <c r="K1967">
        <v>0</v>
      </c>
    </row>
    <row r="1968" spans="1:11" x14ac:dyDescent="0.25">
      <c r="A1968" t="s">
        <v>2006</v>
      </c>
      <c r="B1968" s="1">
        <v>45187</v>
      </c>
      <c r="C1968" t="s">
        <v>31</v>
      </c>
      <c r="D1968" t="s">
        <v>13</v>
      </c>
      <c r="E1968">
        <v>1000</v>
      </c>
      <c r="F1968" t="s">
        <v>14</v>
      </c>
      <c r="G1968" t="s">
        <v>24</v>
      </c>
      <c r="H1968" t="s">
        <v>16</v>
      </c>
      <c r="I1968" t="s">
        <v>17</v>
      </c>
      <c r="J1968" t="s">
        <v>22</v>
      </c>
      <c r="K1968">
        <v>0</v>
      </c>
    </row>
    <row r="1969" spans="1:11" x14ac:dyDescent="0.25">
      <c r="A1969" t="s">
        <v>2007</v>
      </c>
      <c r="B1969" s="1">
        <v>45268</v>
      </c>
      <c r="C1969" t="s">
        <v>20</v>
      </c>
      <c r="D1969" t="s">
        <v>13</v>
      </c>
      <c r="E1969">
        <v>500</v>
      </c>
      <c r="F1969" t="s">
        <v>32</v>
      </c>
      <c r="G1969" t="s">
        <v>28</v>
      </c>
      <c r="H1969" t="s">
        <v>33</v>
      </c>
      <c r="I1969" t="s">
        <v>34</v>
      </c>
      <c r="J1969" t="s">
        <v>25</v>
      </c>
      <c r="K1969">
        <v>0</v>
      </c>
    </row>
    <row r="1970" spans="1:11" x14ac:dyDescent="0.25">
      <c r="A1970" t="s">
        <v>2008</v>
      </c>
      <c r="B1970" s="1">
        <v>45603</v>
      </c>
      <c r="C1970" t="s">
        <v>20</v>
      </c>
      <c r="D1970" t="s">
        <v>13</v>
      </c>
      <c r="E1970">
        <v>500</v>
      </c>
      <c r="F1970" t="s">
        <v>49</v>
      </c>
      <c r="G1970" t="s">
        <v>24</v>
      </c>
      <c r="H1970" t="s">
        <v>33</v>
      </c>
      <c r="I1970" t="s">
        <v>34</v>
      </c>
      <c r="J1970" t="s">
        <v>18</v>
      </c>
      <c r="K1970">
        <v>0</v>
      </c>
    </row>
    <row r="1971" spans="1:11" x14ac:dyDescent="0.25">
      <c r="A1971" t="s">
        <v>2009</v>
      </c>
      <c r="B1971" s="1">
        <v>45116</v>
      </c>
      <c r="C1971" t="s">
        <v>12</v>
      </c>
      <c r="D1971" t="s">
        <v>27</v>
      </c>
      <c r="E1971">
        <v>16200</v>
      </c>
      <c r="F1971" t="s">
        <v>32</v>
      </c>
      <c r="G1971" t="s">
        <v>28</v>
      </c>
      <c r="H1971" t="s">
        <v>16</v>
      </c>
      <c r="I1971" t="s">
        <v>17</v>
      </c>
      <c r="J1971" t="s">
        <v>39</v>
      </c>
      <c r="K1971">
        <v>0.1</v>
      </c>
    </row>
    <row r="1972" spans="1:11" x14ac:dyDescent="0.25">
      <c r="A1972" t="s">
        <v>2010</v>
      </c>
      <c r="B1972" s="1">
        <v>45176</v>
      </c>
      <c r="C1972" t="s">
        <v>31</v>
      </c>
      <c r="D1972" t="s">
        <v>27</v>
      </c>
      <c r="E1972">
        <v>10800</v>
      </c>
      <c r="F1972" t="s">
        <v>14</v>
      </c>
      <c r="G1972" t="s">
        <v>24</v>
      </c>
      <c r="H1972" t="s">
        <v>33</v>
      </c>
      <c r="I1972" t="s">
        <v>34</v>
      </c>
      <c r="J1972" t="s">
        <v>41</v>
      </c>
      <c r="K1972">
        <v>0.1</v>
      </c>
    </row>
    <row r="1973" spans="1:11" x14ac:dyDescent="0.25">
      <c r="A1973" t="s">
        <v>2011</v>
      </c>
      <c r="B1973" s="1">
        <v>45461</v>
      </c>
      <c r="C1973" t="s">
        <v>20</v>
      </c>
      <c r="D1973" t="s">
        <v>27</v>
      </c>
      <c r="E1973">
        <v>5400</v>
      </c>
      <c r="F1973" t="s">
        <v>14</v>
      </c>
      <c r="G1973" t="s">
        <v>24</v>
      </c>
      <c r="H1973" t="s">
        <v>16</v>
      </c>
      <c r="I1973" t="s">
        <v>17</v>
      </c>
      <c r="J1973" t="s">
        <v>18</v>
      </c>
      <c r="K1973">
        <v>0.1</v>
      </c>
    </row>
    <row r="1974" spans="1:11" x14ac:dyDescent="0.25">
      <c r="A1974" t="s">
        <v>2012</v>
      </c>
      <c r="B1974" s="1">
        <v>45402</v>
      </c>
      <c r="C1974" t="s">
        <v>31</v>
      </c>
      <c r="D1974" t="s">
        <v>13</v>
      </c>
      <c r="E1974">
        <v>1000</v>
      </c>
      <c r="F1974" t="s">
        <v>49</v>
      </c>
      <c r="G1974" t="s">
        <v>24</v>
      </c>
      <c r="H1974" t="s">
        <v>33</v>
      </c>
      <c r="I1974" t="s">
        <v>34</v>
      </c>
      <c r="J1974" t="s">
        <v>22</v>
      </c>
      <c r="K1974">
        <v>0</v>
      </c>
    </row>
    <row r="1975" spans="1:11" x14ac:dyDescent="0.25">
      <c r="A1975" t="s">
        <v>2013</v>
      </c>
      <c r="B1975" s="1">
        <v>45528</v>
      </c>
      <c r="C1975" t="s">
        <v>12</v>
      </c>
      <c r="D1975" t="s">
        <v>27</v>
      </c>
      <c r="E1975">
        <v>16200</v>
      </c>
      <c r="F1975" t="s">
        <v>32</v>
      </c>
      <c r="G1975" t="s">
        <v>24</v>
      </c>
      <c r="H1975" t="s">
        <v>33</v>
      </c>
      <c r="I1975" t="s">
        <v>34</v>
      </c>
      <c r="J1975" t="s">
        <v>25</v>
      </c>
      <c r="K1975">
        <v>0.1</v>
      </c>
    </row>
    <row r="1976" spans="1:11" x14ac:dyDescent="0.25">
      <c r="A1976" t="s">
        <v>2014</v>
      </c>
      <c r="B1976" s="1">
        <v>45634</v>
      </c>
      <c r="C1976" t="s">
        <v>20</v>
      </c>
      <c r="D1976" t="s">
        <v>13</v>
      </c>
      <c r="E1976">
        <v>500</v>
      </c>
      <c r="F1976" t="s">
        <v>49</v>
      </c>
      <c r="G1976" t="s">
        <v>24</v>
      </c>
      <c r="H1976" t="s">
        <v>33</v>
      </c>
      <c r="I1976" t="s">
        <v>34</v>
      </c>
      <c r="J1976" t="s">
        <v>35</v>
      </c>
      <c r="K1976">
        <v>0</v>
      </c>
    </row>
    <row r="1977" spans="1:11" x14ac:dyDescent="0.25">
      <c r="A1977" t="s">
        <v>2015</v>
      </c>
      <c r="B1977" s="1">
        <v>45207</v>
      </c>
      <c r="C1977" t="s">
        <v>31</v>
      </c>
      <c r="D1977" t="s">
        <v>27</v>
      </c>
      <c r="E1977">
        <v>10800</v>
      </c>
      <c r="F1977" t="s">
        <v>21</v>
      </c>
      <c r="G1977" t="s">
        <v>15</v>
      </c>
      <c r="H1977" t="s">
        <v>16</v>
      </c>
      <c r="I1977" t="s">
        <v>17</v>
      </c>
      <c r="J1977" t="s">
        <v>25</v>
      </c>
      <c r="K1977">
        <v>0.1</v>
      </c>
    </row>
    <row r="1978" spans="1:11" x14ac:dyDescent="0.25">
      <c r="A1978" t="s">
        <v>2016</v>
      </c>
      <c r="B1978" s="1">
        <v>45010</v>
      </c>
      <c r="C1978" t="s">
        <v>20</v>
      </c>
      <c r="D1978" t="s">
        <v>13</v>
      </c>
      <c r="E1978">
        <v>500</v>
      </c>
      <c r="F1978" t="s">
        <v>49</v>
      </c>
      <c r="G1978" t="s">
        <v>24</v>
      </c>
      <c r="H1978" t="s">
        <v>33</v>
      </c>
      <c r="I1978" t="s">
        <v>34</v>
      </c>
      <c r="J1978" t="s">
        <v>35</v>
      </c>
      <c r="K1978">
        <v>0</v>
      </c>
    </row>
    <row r="1979" spans="1:11" x14ac:dyDescent="0.25">
      <c r="A1979" t="s">
        <v>2017</v>
      </c>
      <c r="B1979" s="1">
        <v>45343</v>
      </c>
      <c r="C1979" t="s">
        <v>12</v>
      </c>
      <c r="D1979" t="s">
        <v>27</v>
      </c>
      <c r="E1979">
        <v>16200</v>
      </c>
      <c r="F1979" t="s">
        <v>49</v>
      </c>
      <c r="G1979" t="s">
        <v>28</v>
      </c>
      <c r="H1979" t="s">
        <v>16</v>
      </c>
      <c r="I1979" t="s">
        <v>17</v>
      </c>
      <c r="J1979" t="s">
        <v>58</v>
      </c>
      <c r="K1979">
        <v>0.1</v>
      </c>
    </row>
    <row r="1980" spans="1:11" x14ac:dyDescent="0.25">
      <c r="A1980" t="s">
        <v>2018</v>
      </c>
      <c r="B1980" s="1">
        <v>45205</v>
      </c>
      <c r="C1980" t="s">
        <v>20</v>
      </c>
      <c r="D1980" t="s">
        <v>13</v>
      </c>
      <c r="E1980">
        <v>500</v>
      </c>
      <c r="F1980" t="s">
        <v>49</v>
      </c>
      <c r="G1980" t="s">
        <v>24</v>
      </c>
      <c r="H1980" t="s">
        <v>16</v>
      </c>
      <c r="I1980" t="s">
        <v>17</v>
      </c>
      <c r="J1980" t="s">
        <v>50</v>
      </c>
      <c r="K1980">
        <v>0</v>
      </c>
    </row>
    <row r="1981" spans="1:11" x14ac:dyDescent="0.25">
      <c r="A1981" t="s">
        <v>2019</v>
      </c>
      <c r="B1981" s="1">
        <v>45001</v>
      </c>
      <c r="C1981" t="s">
        <v>31</v>
      </c>
      <c r="D1981" t="s">
        <v>13</v>
      </c>
      <c r="E1981">
        <v>1000</v>
      </c>
      <c r="F1981" t="s">
        <v>14</v>
      </c>
      <c r="G1981" t="s">
        <v>24</v>
      </c>
      <c r="H1981" t="s">
        <v>16</v>
      </c>
      <c r="I1981" t="s">
        <v>17</v>
      </c>
      <c r="J1981" t="s">
        <v>37</v>
      </c>
      <c r="K1981">
        <v>0</v>
      </c>
    </row>
    <row r="1982" spans="1:11" x14ac:dyDescent="0.25">
      <c r="A1982" t="s">
        <v>2020</v>
      </c>
      <c r="B1982" s="1">
        <v>45628</v>
      </c>
      <c r="C1982" t="s">
        <v>12</v>
      </c>
      <c r="D1982" t="s">
        <v>13</v>
      </c>
      <c r="E1982">
        <v>1500</v>
      </c>
      <c r="F1982" t="s">
        <v>14</v>
      </c>
      <c r="G1982" t="s">
        <v>24</v>
      </c>
      <c r="H1982" t="s">
        <v>33</v>
      </c>
      <c r="I1982" t="s">
        <v>34</v>
      </c>
      <c r="J1982" t="s">
        <v>41</v>
      </c>
      <c r="K1982">
        <v>0</v>
      </c>
    </row>
    <row r="1983" spans="1:11" x14ac:dyDescent="0.25">
      <c r="A1983" t="s">
        <v>2021</v>
      </c>
      <c r="B1983" s="1">
        <v>44961</v>
      </c>
      <c r="C1983" t="s">
        <v>31</v>
      </c>
      <c r="D1983" t="s">
        <v>13</v>
      </c>
      <c r="E1983">
        <v>1000</v>
      </c>
      <c r="F1983" t="s">
        <v>14</v>
      </c>
      <c r="G1983" t="s">
        <v>24</v>
      </c>
      <c r="H1983" t="s">
        <v>33</v>
      </c>
      <c r="I1983" t="s">
        <v>34</v>
      </c>
      <c r="J1983" t="s">
        <v>18</v>
      </c>
      <c r="K1983">
        <v>0</v>
      </c>
    </row>
    <row r="1984" spans="1:11" x14ac:dyDescent="0.25">
      <c r="A1984" t="s">
        <v>2022</v>
      </c>
      <c r="B1984" s="1">
        <v>45445</v>
      </c>
      <c r="C1984" t="s">
        <v>12</v>
      </c>
      <c r="D1984" t="s">
        <v>27</v>
      </c>
      <c r="E1984">
        <v>16200</v>
      </c>
      <c r="F1984" t="s">
        <v>32</v>
      </c>
      <c r="G1984" t="s">
        <v>15</v>
      </c>
      <c r="H1984" t="s">
        <v>16</v>
      </c>
      <c r="I1984" t="s">
        <v>17</v>
      </c>
      <c r="J1984" t="s">
        <v>35</v>
      </c>
      <c r="K1984">
        <v>0.1</v>
      </c>
    </row>
    <row r="1985" spans="1:11" x14ac:dyDescent="0.25">
      <c r="A1985" t="s">
        <v>2023</v>
      </c>
      <c r="B1985" s="1">
        <v>44968</v>
      </c>
      <c r="C1985" t="s">
        <v>31</v>
      </c>
      <c r="D1985" t="s">
        <v>27</v>
      </c>
      <c r="E1985">
        <v>10800</v>
      </c>
      <c r="F1985" t="s">
        <v>14</v>
      </c>
      <c r="G1985" t="s">
        <v>24</v>
      </c>
      <c r="H1985" t="s">
        <v>33</v>
      </c>
      <c r="I1985" t="s">
        <v>34</v>
      </c>
      <c r="J1985" t="s">
        <v>37</v>
      </c>
      <c r="K1985">
        <v>0.1</v>
      </c>
    </row>
    <row r="1986" spans="1:11" x14ac:dyDescent="0.25">
      <c r="A1986" t="s">
        <v>2024</v>
      </c>
      <c r="B1986" s="1">
        <v>45159</v>
      </c>
      <c r="C1986" t="s">
        <v>12</v>
      </c>
      <c r="D1986" t="s">
        <v>13</v>
      </c>
      <c r="E1986">
        <v>1500</v>
      </c>
      <c r="F1986" t="s">
        <v>49</v>
      </c>
      <c r="G1986" t="s">
        <v>24</v>
      </c>
      <c r="H1986" t="s">
        <v>33</v>
      </c>
      <c r="I1986" t="s">
        <v>34</v>
      </c>
      <c r="J1986" t="s">
        <v>58</v>
      </c>
      <c r="K1986">
        <v>0</v>
      </c>
    </row>
    <row r="1987" spans="1:11" x14ac:dyDescent="0.25">
      <c r="A1987" t="s">
        <v>2025</v>
      </c>
      <c r="B1987" s="1">
        <v>45115</v>
      </c>
      <c r="C1987" t="s">
        <v>20</v>
      </c>
      <c r="D1987" t="s">
        <v>27</v>
      </c>
      <c r="E1987">
        <v>5400</v>
      </c>
      <c r="F1987" t="s">
        <v>21</v>
      </c>
      <c r="G1987" t="s">
        <v>28</v>
      </c>
      <c r="H1987" t="s">
        <v>33</v>
      </c>
      <c r="I1987" t="s">
        <v>34</v>
      </c>
      <c r="J1987" t="s">
        <v>29</v>
      </c>
      <c r="K1987">
        <v>0.1</v>
      </c>
    </row>
    <row r="1988" spans="1:11" x14ac:dyDescent="0.25">
      <c r="A1988" t="s">
        <v>2026</v>
      </c>
      <c r="B1988" s="1">
        <v>45449</v>
      </c>
      <c r="C1988" t="s">
        <v>12</v>
      </c>
      <c r="D1988" t="s">
        <v>27</v>
      </c>
      <c r="E1988">
        <v>16200</v>
      </c>
      <c r="F1988" t="s">
        <v>49</v>
      </c>
      <c r="G1988" t="s">
        <v>28</v>
      </c>
      <c r="H1988" t="s">
        <v>33</v>
      </c>
      <c r="I1988" t="s">
        <v>34</v>
      </c>
      <c r="J1988" t="s">
        <v>18</v>
      </c>
      <c r="K1988">
        <v>0.1</v>
      </c>
    </row>
    <row r="1989" spans="1:11" x14ac:dyDescent="0.25">
      <c r="A1989" t="s">
        <v>2027</v>
      </c>
      <c r="B1989" s="1">
        <v>45191</v>
      </c>
      <c r="C1989" t="s">
        <v>31</v>
      </c>
      <c r="D1989" t="s">
        <v>27</v>
      </c>
      <c r="E1989">
        <v>10800</v>
      </c>
      <c r="F1989" t="s">
        <v>32</v>
      </c>
      <c r="G1989" t="s">
        <v>28</v>
      </c>
      <c r="H1989" t="s">
        <v>33</v>
      </c>
      <c r="I1989" t="s">
        <v>34</v>
      </c>
      <c r="J1989" t="s">
        <v>39</v>
      </c>
      <c r="K1989">
        <v>0.1</v>
      </c>
    </row>
    <row r="1990" spans="1:11" x14ac:dyDescent="0.25">
      <c r="A1990" t="s">
        <v>2028</v>
      </c>
      <c r="B1990" s="1">
        <v>45102</v>
      </c>
      <c r="C1990" t="s">
        <v>31</v>
      </c>
      <c r="D1990" t="s">
        <v>27</v>
      </c>
      <c r="E1990">
        <v>10800</v>
      </c>
      <c r="F1990" t="s">
        <v>49</v>
      </c>
      <c r="G1990" t="s">
        <v>24</v>
      </c>
      <c r="H1990" t="s">
        <v>33</v>
      </c>
      <c r="I1990" t="s">
        <v>34</v>
      </c>
      <c r="J1990" t="s">
        <v>35</v>
      </c>
      <c r="K1990">
        <v>0.1</v>
      </c>
    </row>
    <row r="1991" spans="1:11" x14ac:dyDescent="0.25">
      <c r="A1991" t="s">
        <v>2029</v>
      </c>
      <c r="B1991" s="1">
        <v>45598</v>
      </c>
      <c r="C1991" t="s">
        <v>31</v>
      </c>
      <c r="D1991" t="s">
        <v>13</v>
      </c>
      <c r="E1991">
        <v>1000</v>
      </c>
      <c r="F1991" t="s">
        <v>32</v>
      </c>
      <c r="G1991" t="s">
        <v>24</v>
      </c>
      <c r="H1991" t="s">
        <v>33</v>
      </c>
      <c r="I1991" t="s">
        <v>34</v>
      </c>
      <c r="J1991" t="s">
        <v>25</v>
      </c>
      <c r="K1991">
        <v>0</v>
      </c>
    </row>
    <row r="1992" spans="1:11" x14ac:dyDescent="0.25">
      <c r="A1992" t="s">
        <v>2030</v>
      </c>
      <c r="B1992" s="1">
        <v>45623</v>
      </c>
      <c r="C1992" t="s">
        <v>20</v>
      </c>
      <c r="D1992" t="s">
        <v>27</v>
      </c>
      <c r="E1992">
        <v>5400</v>
      </c>
      <c r="F1992" t="s">
        <v>14</v>
      </c>
      <c r="G1992" t="s">
        <v>28</v>
      </c>
      <c r="H1992" t="s">
        <v>33</v>
      </c>
      <c r="I1992" t="s">
        <v>34</v>
      </c>
      <c r="J1992" t="s">
        <v>37</v>
      </c>
      <c r="K1992">
        <v>0.1</v>
      </c>
    </row>
    <row r="1993" spans="1:11" x14ac:dyDescent="0.25">
      <c r="A1993" t="s">
        <v>2031</v>
      </c>
      <c r="B1993" s="1">
        <v>45382</v>
      </c>
      <c r="C1993" t="s">
        <v>31</v>
      </c>
      <c r="D1993" t="s">
        <v>27</v>
      </c>
      <c r="E1993">
        <v>10800</v>
      </c>
      <c r="F1993" t="s">
        <v>14</v>
      </c>
      <c r="G1993" t="s">
        <v>24</v>
      </c>
      <c r="H1993" t="s">
        <v>33</v>
      </c>
      <c r="I1993" t="s">
        <v>34</v>
      </c>
      <c r="J1993" t="s">
        <v>41</v>
      </c>
      <c r="K1993">
        <v>0.1</v>
      </c>
    </row>
    <row r="1994" spans="1:11" x14ac:dyDescent="0.25">
      <c r="A1994" t="s">
        <v>2032</v>
      </c>
      <c r="B1994" s="1">
        <v>45548</v>
      </c>
      <c r="C1994" t="s">
        <v>12</v>
      </c>
      <c r="D1994" t="s">
        <v>27</v>
      </c>
      <c r="E1994">
        <v>16200</v>
      </c>
      <c r="F1994" t="s">
        <v>32</v>
      </c>
      <c r="G1994" t="s">
        <v>24</v>
      </c>
      <c r="H1994" t="s">
        <v>33</v>
      </c>
      <c r="I1994" t="s">
        <v>34</v>
      </c>
      <c r="J1994" t="s">
        <v>39</v>
      </c>
      <c r="K1994">
        <v>0.1</v>
      </c>
    </row>
    <row r="1995" spans="1:11" x14ac:dyDescent="0.25">
      <c r="A1995" t="s">
        <v>2033</v>
      </c>
      <c r="B1995" s="1">
        <v>45544</v>
      </c>
      <c r="C1995" t="s">
        <v>20</v>
      </c>
      <c r="D1995" t="s">
        <v>13</v>
      </c>
      <c r="E1995">
        <v>500</v>
      </c>
      <c r="F1995" t="s">
        <v>21</v>
      </c>
      <c r="G1995" t="s">
        <v>24</v>
      </c>
      <c r="H1995" t="s">
        <v>33</v>
      </c>
      <c r="I1995" t="s">
        <v>34</v>
      </c>
      <c r="J1995" t="s">
        <v>25</v>
      </c>
      <c r="K1995">
        <v>0</v>
      </c>
    </row>
    <row r="1996" spans="1:11" x14ac:dyDescent="0.25">
      <c r="A1996" t="s">
        <v>2034</v>
      </c>
      <c r="B1996" s="1">
        <v>45469</v>
      </c>
      <c r="C1996" t="s">
        <v>20</v>
      </c>
      <c r="D1996" t="s">
        <v>27</v>
      </c>
      <c r="E1996">
        <v>5400</v>
      </c>
      <c r="F1996" t="s">
        <v>49</v>
      </c>
      <c r="G1996" t="s">
        <v>15</v>
      </c>
      <c r="H1996" t="s">
        <v>16</v>
      </c>
      <c r="I1996" t="s">
        <v>17</v>
      </c>
      <c r="J1996" t="s">
        <v>50</v>
      </c>
      <c r="K1996">
        <v>0.1</v>
      </c>
    </row>
    <row r="1997" spans="1:11" x14ac:dyDescent="0.25">
      <c r="A1997" t="s">
        <v>2035</v>
      </c>
      <c r="B1997" s="1">
        <v>45621</v>
      </c>
      <c r="C1997" t="s">
        <v>12</v>
      </c>
      <c r="D1997" t="s">
        <v>13</v>
      </c>
      <c r="E1997">
        <v>1500</v>
      </c>
      <c r="F1997" t="s">
        <v>32</v>
      </c>
      <c r="G1997" t="s">
        <v>24</v>
      </c>
      <c r="H1997" t="s">
        <v>33</v>
      </c>
      <c r="I1997" t="s">
        <v>34</v>
      </c>
      <c r="J1997" t="s">
        <v>66</v>
      </c>
      <c r="K1997">
        <v>0</v>
      </c>
    </row>
    <row r="1998" spans="1:11" x14ac:dyDescent="0.25">
      <c r="A1998" t="s">
        <v>2036</v>
      </c>
      <c r="B1998" s="1">
        <v>45138</v>
      </c>
      <c r="C1998" t="s">
        <v>20</v>
      </c>
      <c r="D1998" t="s">
        <v>27</v>
      </c>
      <c r="E1998">
        <v>5400</v>
      </c>
      <c r="F1998" t="s">
        <v>14</v>
      </c>
      <c r="G1998" t="s">
        <v>24</v>
      </c>
      <c r="H1998" t="s">
        <v>33</v>
      </c>
      <c r="I1998" t="s">
        <v>34</v>
      </c>
      <c r="J1998" t="s">
        <v>22</v>
      </c>
      <c r="K1998">
        <v>0.1</v>
      </c>
    </row>
    <row r="1999" spans="1:11" x14ac:dyDescent="0.25">
      <c r="A1999" t="s">
        <v>2037</v>
      </c>
      <c r="B1999" s="1">
        <v>45307</v>
      </c>
      <c r="C1999" t="s">
        <v>31</v>
      </c>
      <c r="D1999" t="s">
        <v>27</v>
      </c>
      <c r="E1999">
        <v>10800</v>
      </c>
      <c r="F1999" t="s">
        <v>21</v>
      </c>
      <c r="G1999" t="s">
        <v>24</v>
      </c>
      <c r="H1999" t="s">
        <v>16</v>
      </c>
      <c r="I1999" t="s">
        <v>17</v>
      </c>
      <c r="J1999" t="s">
        <v>29</v>
      </c>
      <c r="K1999">
        <v>0.1</v>
      </c>
    </row>
    <row r="2000" spans="1:11" x14ac:dyDescent="0.25">
      <c r="A2000" t="s">
        <v>2038</v>
      </c>
      <c r="B2000" s="1">
        <v>45035</v>
      </c>
      <c r="C2000" t="s">
        <v>12</v>
      </c>
      <c r="D2000" t="s">
        <v>27</v>
      </c>
      <c r="E2000">
        <v>16200</v>
      </c>
      <c r="F2000" t="s">
        <v>32</v>
      </c>
      <c r="G2000" t="s">
        <v>24</v>
      </c>
      <c r="H2000" t="s">
        <v>33</v>
      </c>
      <c r="I2000" t="s">
        <v>34</v>
      </c>
      <c r="J2000" t="s">
        <v>35</v>
      </c>
      <c r="K2000">
        <v>0.1</v>
      </c>
    </row>
    <row r="2001" spans="1:11" x14ac:dyDescent="0.25">
      <c r="A2001" t="s">
        <v>2039</v>
      </c>
      <c r="B2001" s="1">
        <v>45592</v>
      </c>
      <c r="C2001" t="s">
        <v>31</v>
      </c>
      <c r="D2001" t="s">
        <v>27</v>
      </c>
      <c r="E2001">
        <v>10800</v>
      </c>
      <c r="F2001" t="s">
        <v>14</v>
      </c>
      <c r="G2001" t="s">
        <v>28</v>
      </c>
      <c r="H2001" t="s">
        <v>33</v>
      </c>
      <c r="I2001" t="s">
        <v>34</v>
      </c>
      <c r="J2001" t="s">
        <v>22</v>
      </c>
      <c r="K2001">
        <v>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D62D7-CF59-4832-9406-C367EFDD3284}">
  <dimension ref="A1:N2001"/>
  <sheetViews>
    <sheetView topLeftCell="A2" workbookViewId="0">
      <selection sqref="A1:N2001"/>
    </sheetView>
  </sheetViews>
  <sheetFormatPr defaultRowHeight="15" x14ac:dyDescent="0.25"/>
  <cols>
    <col min="1" max="1" width="10.5703125" customWidth="1"/>
    <col min="2" max="2" width="18.7109375" customWidth="1"/>
    <col min="4" max="4" width="11.7109375" customWidth="1"/>
    <col min="5" max="5" width="17.85546875" customWidth="1"/>
    <col min="6" max="6" width="15.28515625" bestFit="1" customWidth="1"/>
    <col min="7" max="7" width="9.140625" customWidth="1"/>
    <col min="8" max="8" width="9.7109375" bestFit="1" customWidth="1"/>
    <col min="9" max="9" width="12.42578125" customWidth="1"/>
    <col min="10" max="10" width="14.28515625" bestFit="1" customWidth="1"/>
    <col min="11" max="11" width="10.85546875" customWidth="1"/>
    <col min="12" max="12" width="15.28515625" bestFit="1" customWidth="1"/>
    <col min="13" max="13" width="19.28515625" bestFit="1" customWidth="1"/>
  </cols>
  <sheetData>
    <row r="1" spans="1:14" x14ac:dyDescent="0.25">
      <c r="A1" t="s">
        <v>0</v>
      </c>
      <c r="B1" t="s">
        <v>1</v>
      </c>
      <c r="C1" t="s">
        <v>2</v>
      </c>
      <c r="D1" t="s">
        <v>3</v>
      </c>
      <c r="E1" t="s">
        <v>4</v>
      </c>
      <c r="F1" t="s">
        <v>5</v>
      </c>
      <c r="G1" t="s">
        <v>6</v>
      </c>
      <c r="H1" t="s">
        <v>7</v>
      </c>
      <c r="I1" t="s">
        <v>8</v>
      </c>
      <c r="J1" t="s">
        <v>9</v>
      </c>
      <c r="K1" t="s">
        <v>10</v>
      </c>
      <c r="L1" t="s">
        <v>2040</v>
      </c>
      <c r="M1" t="s">
        <v>2050</v>
      </c>
      <c r="N1" t="s">
        <v>2074</v>
      </c>
    </row>
    <row r="2" spans="1:14" x14ac:dyDescent="0.25">
      <c r="A2" t="s">
        <v>11</v>
      </c>
      <c r="B2" s="1">
        <v>44967</v>
      </c>
      <c r="C2" t="s">
        <v>12</v>
      </c>
      <c r="D2" t="s">
        <v>13</v>
      </c>
      <c r="E2">
        <v>1500</v>
      </c>
      <c r="F2" t="s">
        <v>14</v>
      </c>
      <c r="G2" t="s">
        <v>15</v>
      </c>
      <c r="H2" t="s">
        <v>16</v>
      </c>
      <c r="I2" t="s">
        <v>17</v>
      </c>
      <c r="J2" t="s">
        <v>18</v>
      </c>
      <c r="K2">
        <v>0</v>
      </c>
      <c r="L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2">
        <f>GhanaStream[[#This Row],[Subscription Fee]]-(GhanaStream[[#This Row],[Discount]]*GhanaStream[[#This Row],[Subscription Fee]])</f>
        <v>1500</v>
      </c>
      <c r="N2" t="str">
        <f>IF(GhanaStream[[#This Row],[Churn Flag]]="Yes","Churned","Retained")</f>
        <v>Churned</v>
      </c>
    </row>
    <row r="3" spans="1:14" x14ac:dyDescent="0.25">
      <c r="A3" t="s">
        <v>19</v>
      </c>
      <c r="B3" s="1">
        <v>45244</v>
      </c>
      <c r="C3" t="s">
        <v>20</v>
      </c>
      <c r="D3" t="s">
        <v>13</v>
      </c>
      <c r="E3">
        <v>500</v>
      </c>
      <c r="F3" t="s">
        <v>21</v>
      </c>
      <c r="G3" t="s">
        <v>15</v>
      </c>
      <c r="H3" t="s">
        <v>16</v>
      </c>
      <c r="I3" t="s">
        <v>17</v>
      </c>
      <c r="J3" t="s">
        <v>22</v>
      </c>
      <c r="K3">
        <v>0</v>
      </c>
      <c r="L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3">
        <f>GhanaStream[[#This Row],[Subscription Fee]]-(GhanaStream[[#This Row],[Discount]]*GhanaStream[[#This Row],[Subscription Fee]])</f>
        <v>500</v>
      </c>
      <c r="N3" t="str">
        <f>IF(GhanaStream[[#This Row],[Churn Flag]]="Yes","Churned","Retained")</f>
        <v>Churned</v>
      </c>
    </row>
    <row r="4" spans="1:14" x14ac:dyDescent="0.25">
      <c r="A4" t="s">
        <v>23</v>
      </c>
      <c r="B4" s="1">
        <v>45190</v>
      </c>
      <c r="C4" t="s">
        <v>20</v>
      </c>
      <c r="D4" t="s">
        <v>13</v>
      </c>
      <c r="E4">
        <v>500</v>
      </c>
      <c r="F4" t="s">
        <v>21</v>
      </c>
      <c r="G4" t="s">
        <v>24</v>
      </c>
      <c r="H4" t="s">
        <v>16</v>
      </c>
      <c r="I4" t="s">
        <v>17</v>
      </c>
      <c r="J4" t="s">
        <v>25</v>
      </c>
      <c r="K4">
        <v>0</v>
      </c>
      <c r="L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4">
        <f>GhanaStream[[#This Row],[Subscription Fee]]-(GhanaStream[[#This Row],[Discount]]*GhanaStream[[#This Row],[Subscription Fee]])</f>
        <v>500</v>
      </c>
      <c r="N4" t="str">
        <f>IF(GhanaStream[[#This Row],[Churn Flag]]="Yes","Churned","Retained")</f>
        <v>Churned</v>
      </c>
    </row>
    <row r="5" spans="1:14" x14ac:dyDescent="0.25">
      <c r="A5" t="s">
        <v>26</v>
      </c>
      <c r="B5" s="1">
        <v>45595</v>
      </c>
      <c r="C5" t="s">
        <v>20</v>
      </c>
      <c r="D5" t="s">
        <v>27</v>
      </c>
      <c r="E5">
        <v>5400</v>
      </c>
      <c r="F5" t="s">
        <v>21</v>
      </c>
      <c r="G5" t="s">
        <v>28</v>
      </c>
      <c r="H5" t="s">
        <v>16</v>
      </c>
      <c r="I5" t="s">
        <v>17</v>
      </c>
      <c r="J5" t="s">
        <v>29</v>
      </c>
      <c r="K5">
        <v>0.1</v>
      </c>
      <c r="L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5">
        <f>GhanaStream[[#This Row],[Subscription Fee]]-(GhanaStream[[#This Row],[Discount]]*GhanaStream[[#This Row],[Subscription Fee]])</f>
        <v>4860</v>
      </c>
      <c r="N5" t="str">
        <f>IF(GhanaStream[[#This Row],[Churn Flag]]="Yes","Churned","Retained")</f>
        <v>Churned</v>
      </c>
    </row>
    <row r="6" spans="1:14" x14ac:dyDescent="0.25">
      <c r="A6" t="s">
        <v>30</v>
      </c>
      <c r="B6" s="1">
        <v>45321</v>
      </c>
      <c r="C6" t="s">
        <v>31</v>
      </c>
      <c r="D6" t="s">
        <v>27</v>
      </c>
      <c r="E6">
        <v>10800</v>
      </c>
      <c r="F6" t="s">
        <v>32</v>
      </c>
      <c r="G6" t="s">
        <v>15</v>
      </c>
      <c r="H6" t="s">
        <v>33</v>
      </c>
      <c r="I6" t="s">
        <v>34</v>
      </c>
      <c r="J6" t="s">
        <v>35</v>
      </c>
      <c r="K6">
        <v>0.1</v>
      </c>
      <c r="L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6">
        <f>GhanaStream[[#This Row],[Subscription Fee]]-(GhanaStream[[#This Row],[Discount]]*GhanaStream[[#This Row],[Subscription Fee]])</f>
        <v>9720</v>
      </c>
      <c r="N6" t="str">
        <f>IF(GhanaStream[[#This Row],[Churn Flag]]="Yes","Churned","Retained")</f>
        <v>Retained</v>
      </c>
    </row>
    <row r="7" spans="1:14" x14ac:dyDescent="0.25">
      <c r="A7" t="s">
        <v>36</v>
      </c>
      <c r="B7" s="1">
        <v>45442</v>
      </c>
      <c r="C7" t="s">
        <v>31</v>
      </c>
      <c r="D7" t="s">
        <v>27</v>
      </c>
      <c r="E7">
        <v>10800</v>
      </c>
      <c r="F7" t="s">
        <v>14</v>
      </c>
      <c r="G7" t="s">
        <v>24</v>
      </c>
      <c r="H7" t="s">
        <v>33</v>
      </c>
      <c r="I7" t="s">
        <v>34</v>
      </c>
      <c r="J7" t="s">
        <v>37</v>
      </c>
      <c r="K7">
        <v>0.1</v>
      </c>
      <c r="L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7">
        <f>GhanaStream[[#This Row],[Subscription Fee]]-(GhanaStream[[#This Row],[Discount]]*GhanaStream[[#This Row],[Subscription Fee]])</f>
        <v>9720</v>
      </c>
      <c r="N7" t="str">
        <f>IF(GhanaStream[[#This Row],[Churn Flag]]="Yes","Churned","Retained")</f>
        <v>Retained</v>
      </c>
    </row>
    <row r="8" spans="1:14" x14ac:dyDescent="0.25">
      <c r="A8" t="s">
        <v>38</v>
      </c>
      <c r="B8" s="1">
        <v>45204</v>
      </c>
      <c r="C8" t="s">
        <v>12</v>
      </c>
      <c r="D8" t="s">
        <v>13</v>
      </c>
      <c r="E8">
        <v>1500</v>
      </c>
      <c r="F8" t="s">
        <v>32</v>
      </c>
      <c r="G8" t="s">
        <v>24</v>
      </c>
      <c r="H8" t="s">
        <v>33</v>
      </c>
      <c r="I8" t="s">
        <v>34</v>
      </c>
      <c r="J8" t="s">
        <v>39</v>
      </c>
      <c r="K8">
        <v>0</v>
      </c>
      <c r="L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8">
        <f>GhanaStream[[#This Row],[Subscription Fee]]-(GhanaStream[[#This Row],[Discount]]*GhanaStream[[#This Row],[Subscription Fee]])</f>
        <v>1500</v>
      </c>
      <c r="N8" t="str">
        <f>IF(GhanaStream[[#This Row],[Churn Flag]]="Yes","Churned","Retained")</f>
        <v>Retained</v>
      </c>
    </row>
    <row r="9" spans="1:14" x14ac:dyDescent="0.25">
      <c r="A9" t="s">
        <v>40</v>
      </c>
      <c r="B9" s="1">
        <v>45276</v>
      </c>
      <c r="C9" t="s">
        <v>20</v>
      </c>
      <c r="D9" t="s">
        <v>27</v>
      </c>
      <c r="E9">
        <v>5400</v>
      </c>
      <c r="F9" t="s">
        <v>14</v>
      </c>
      <c r="G9" t="s">
        <v>24</v>
      </c>
      <c r="H9" t="s">
        <v>33</v>
      </c>
      <c r="I9" t="s">
        <v>34</v>
      </c>
      <c r="J9" t="s">
        <v>41</v>
      </c>
      <c r="K9">
        <v>0.1</v>
      </c>
      <c r="L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9">
        <f>GhanaStream[[#This Row],[Subscription Fee]]-(GhanaStream[[#This Row],[Discount]]*GhanaStream[[#This Row],[Subscription Fee]])</f>
        <v>4860</v>
      </c>
      <c r="N9" t="str">
        <f>IF(GhanaStream[[#This Row],[Churn Flag]]="Yes","Churned","Retained")</f>
        <v>Retained</v>
      </c>
    </row>
    <row r="10" spans="1:14" x14ac:dyDescent="0.25">
      <c r="A10" t="s">
        <v>42</v>
      </c>
      <c r="B10" s="1">
        <v>45410</v>
      </c>
      <c r="C10" t="s">
        <v>31</v>
      </c>
      <c r="D10" t="s">
        <v>13</v>
      </c>
      <c r="E10">
        <v>1000</v>
      </c>
      <c r="F10" t="s">
        <v>21</v>
      </c>
      <c r="G10" t="s">
        <v>24</v>
      </c>
      <c r="H10" t="s">
        <v>33</v>
      </c>
      <c r="I10" t="s">
        <v>34</v>
      </c>
      <c r="J10" t="s">
        <v>18</v>
      </c>
      <c r="K10">
        <v>0</v>
      </c>
      <c r="L1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0">
        <f>GhanaStream[[#This Row],[Subscription Fee]]-(GhanaStream[[#This Row],[Discount]]*GhanaStream[[#This Row],[Subscription Fee]])</f>
        <v>1000</v>
      </c>
      <c r="N10" t="str">
        <f>IF(GhanaStream[[#This Row],[Churn Flag]]="Yes","Churned","Retained")</f>
        <v>Retained</v>
      </c>
    </row>
    <row r="11" spans="1:14" x14ac:dyDescent="0.25">
      <c r="A11" t="s">
        <v>43</v>
      </c>
      <c r="B11" s="1">
        <v>44982</v>
      </c>
      <c r="C11" t="s">
        <v>12</v>
      </c>
      <c r="D11" t="s">
        <v>13</v>
      </c>
      <c r="E11">
        <v>1500</v>
      </c>
      <c r="F11" t="s">
        <v>32</v>
      </c>
      <c r="G11" t="s">
        <v>28</v>
      </c>
      <c r="H11" t="s">
        <v>16</v>
      </c>
      <c r="I11" t="s">
        <v>17</v>
      </c>
      <c r="J11" t="s">
        <v>44</v>
      </c>
      <c r="K11">
        <v>0</v>
      </c>
      <c r="L1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1">
        <f>GhanaStream[[#This Row],[Subscription Fee]]-(GhanaStream[[#This Row],[Discount]]*GhanaStream[[#This Row],[Subscription Fee]])</f>
        <v>1500</v>
      </c>
      <c r="N11" t="str">
        <f>IF(GhanaStream[[#This Row],[Churn Flag]]="Yes","Churned","Retained")</f>
        <v>Churned</v>
      </c>
    </row>
    <row r="12" spans="1:14" x14ac:dyDescent="0.25">
      <c r="A12" t="s">
        <v>45</v>
      </c>
      <c r="B12" s="1">
        <v>45305</v>
      </c>
      <c r="C12" t="s">
        <v>12</v>
      </c>
      <c r="D12" t="s">
        <v>27</v>
      </c>
      <c r="E12">
        <v>16200</v>
      </c>
      <c r="F12" t="s">
        <v>14</v>
      </c>
      <c r="G12" t="s">
        <v>24</v>
      </c>
      <c r="H12" t="s">
        <v>33</v>
      </c>
      <c r="I12" t="s">
        <v>34</v>
      </c>
      <c r="J12" t="s">
        <v>37</v>
      </c>
      <c r="K12">
        <v>0.1</v>
      </c>
      <c r="L1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2">
        <f>GhanaStream[[#This Row],[Subscription Fee]]-(GhanaStream[[#This Row],[Discount]]*GhanaStream[[#This Row],[Subscription Fee]])</f>
        <v>14580</v>
      </c>
      <c r="N12" t="str">
        <f>IF(GhanaStream[[#This Row],[Churn Flag]]="Yes","Churned","Retained")</f>
        <v>Retained</v>
      </c>
    </row>
    <row r="13" spans="1:14" x14ac:dyDescent="0.25">
      <c r="A13" t="s">
        <v>46</v>
      </c>
      <c r="B13" s="1">
        <v>45116</v>
      </c>
      <c r="C13" t="s">
        <v>31</v>
      </c>
      <c r="D13" t="s">
        <v>27</v>
      </c>
      <c r="E13">
        <v>10800</v>
      </c>
      <c r="F13" t="s">
        <v>14</v>
      </c>
      <c r="G13" t="s">
        <v>28</v>
      </c>
      <c r="H13" t="s">
        <v>16</v>
      </c>
      <c r="I13" t="s">
        <v>17</v>
      </c>
      <c r="J13" t="s">
        <v>22</v>
      </c>
      <c r="K13">
        <v>0.1</v>
      </c>
      <c r="L1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3">
        <f>GhanaStream[[#This Row],[Subscription Fee]]-(GhanaStream[[#This Row],[Discount]]*GhanaStream[[#This Row],[Subscription Fee]])</f>
        <v>9720</v>
      </c>
      <c r="N13" t="str">
        <f>IF(GhanaStream[[#This Row],[Churn Flag]]="Yes","Churned","Retained")</f>
        <v>Churned</v>
      </c>
    </row>
    <row r="14" spans="1:14" x14ac:dyDescent="0.25">
      <c r="A14" t="s">
        <v>47</v>
      </c>
      <c r="B14" s="1">
        <v>45343</v>
      </c>
      <c r="C14" t="s">
        <v>20</v>
      </c>
      <c r="D14" t="s">
        <v>13</v>
      </c>
      <c r="E14">
        <v>500</v>
      </c>
      <c r="F14" t="s">
        <v>32</v>
      </c>
      <c r="G14" t="s">
        <v>15</v>
      </c>
      <c r="H14" t="s">
        <v>16</v>
      </c>
      <c r="I14" t="s">
        <v>17</v>
      </c>
      <c r="J14" t="s">
        <v>35</v>
      </c>
      <c r="K14">
        <v>0</v>
      </c>
      <c r="L1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4">
        <f>GhanaStream[[#This Row],[Subscription Fee]]-(GhanaStream[[#This Row],[Discount]]*GhanaStream[[#This Row],[Subscription Fee]])</f>
        <v>500</v>
      </c>
      <c r="N14" t="str">
        <f>IF(GhanaStream[[#This Row],[Churn Flag]]="Yes","Churned","Retained")</f>
        <v>Churned</v>
      </c>
    </row>
    <row r="15" spans="1:14" x14ac:dyDescent="0.25">
      <c r="A15" t="s">
        <v>48</v>
      </c>
      <c r="B15" s="1">
        <v>45399</v>
      </c>
      <c r="C15" t="s">
        <v>12</v>
      </c>
      <c r="D15" t="s">
        <v>13</v>
      </c>
      <c r="E15">
        <v>1500</v>
      </c>
      <c r="F15" t="s">
        <v>49</v>
      </c>
      <c r="G15" t="s">
        <v>24</v>
      </c>
      <c r="H15" t="s">
        <v>33</v>
      </c>
      <c r="I15" t="s">
        <v>34</v>
      </c>
      <c r="J15" t="s">
        <v>50</v>
      </c>
      <c r="K15">
        <v>0</v>
      </c>
      <c r="L1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5">
        <f>GhanaStream[[#This Row],[Subscription Fee]]-(GhanaStream[[#This Row],[Discount]]*GhanaStream[[#This Row],[Subscription Fee]])</f>
        <v>1500</v>
      </c>
      <c r="N15" t="str">
        <f>IF(GhanaStream[[#This Row],[Churn Flag]]="Yes","Churned","Retained")</f>
        <v>Retained</v>
      </c>
    </row>
    <row r="16" spans="1:14" x14ac:dyDescent="0.25">
      <c r="A16" t="s">
        <v>51</v>
      </c>
      <c r="B16" s="1">
        <v>45037</v>
      </c>
      <c r="C16" t="s">
        <v>12</v>
      </c>
      <c r="D16" t="s">
        <v>13</v>
      </c>
      <c r="E16">
        <v>1500</v>
      </c>
      <c r="F16" t="s">
        <v>14</v>
      </c>
      <c r="G16" t="s">
        <v>15</v>
      </c>
      <c r="H16" t="s">
        <v>16</v>
      </c>
      <c r="I16" t="s">
        <v>17</v>
      </c>
      <c r="J16" t="s">
        <v>22</v>
      </c>
      <c r="K16">
        <v>0</v>
      </c>
      <c r="L1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6">
        <f>GhanaStream[[#This Row],[Subscription Fee]]-(GhanaStream[[#This Row],[Discount]]*GhanaStream[[#This Row],[Subscription Fee]])</f>
        <v>1500</v>
      </c>
      <c r="N16" t="str">
        <f>IF(GhanaStream[[#This Row],[Churn Flag]]="Yes","Churned","Retained")</f>
        <v>Churned</v>
      </c>
    </row>
    <row r="17" spans="1:14" x14ac:dyDescent="0.25">
      <c r="A17" t="s">
        <v>52</v>
      </c>
      <c r="B17" s="1">
        <v>45253</v>
      </c>
      <c r="C17" t="s">
        <v>31</v>
      </c>
      <c r="D17" t="s">
        <v>13</v>
      </c>
      <c r="E17">
        <v>1000</v>
      </c>
      <c r="F17" t="s">
        <v>32</v>
      </c>
      <c r="G17" t="s">
        <v>24</v>
      </c>
      <c r="H17" t="s">
        <v>16</v>
      </c>
      <c r="I17" t="s">
        <v>17</v>
      </c>
      <c r="J17" t="s">
        <v>44</v>
      </c>
      <c r="K17">
        <v>0</v>
      </c>
      <c r="L1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7">
        <f>GhanaStream[[#This Row],[Subscription Fee]]-(GhanaStream[[#This Row],[Discount]]*GhanaStream[[#This Row],[Subscription Fee]])</f>
        <v>1000</v>
      </c>
      <c r="N17" t="str">
        <f>IF(GhanaStream[[#This Row],[Churn Flag]]="Yes","Churned","Retained")</f>
        <v>Churned</v>
      </c>
    </row>
    <row r="18" spans="1:14" x14ac:dyDescent="0.25">
      <c r="A18" t="s">
        <v>53</v>
      </c>
      <c r="B18" s="1">
        <v>45432</v>
      </c>
      <c r="C18" t="s">
        <v>31</v>
      </c>
      <c r="D18" t="s">
        <v>27</v>
      </c>
      <c r="E18">
        <v>10800</v>
      </c>
      <c r="F18" t="s">
        <v>21</v>
      </c>
      <c r="G18" t="s">
        <v>28</v>
      </c>
      <c r="H18" t="s">
        <v>33</v>
      </c>
      <c r="I18" t="s">
        <v>34</v>
      </c>
      <c r="J18" t="s">
        <v>22</v>
      </c>
      <c r="K18">
        <v>0.1</v>
      </c>
      <c r="L1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8">
        <f>GhanaStream[[#This Row],[Subscription Fee]]-(GhanaStream[[#This Row],[Discount]]*GhanaStream[[#This Row],[Subscription Fee]])</f>
        <v>9720</v>
      </c>
      <c r="N18" t="str">
        <f>IF(GhanaStream[[#This Row],[Churn Flag]]="Yes","Churned","Retained")</f>
        <v>Retained</v>
      </c>
    </row>
    <row r="19" spans="1:14" x14ac:dyDescent="0.25">
      <c r="A19" t="s">
        <v>54</v>
      </c>
      <c r="B19" s="1">
        <v>45136</v>
      </c>
      <c r="C19" t="s">
        <v>20</v>
      </c>
      <c r="D19" t="s">
        <v>13</v>
      </c>
      <c r="E19">
        <v>500</v>
      </c>
      <c r="F19" t="s">
        <v>14</v>
      </c>
      <c r="G19" t="s">
        <v>28</v>
      </c>
      <c r="H19" t="s">
        <v>16</v>
      </c>
      <c r="I19" t="s">
        <v>17</v>
      </c>
      <c r="J19" t="s">
        <v>55</v>
      </c>
      <c r="K19">
        <v>0</v>
      </c>
      <c r="L1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9">
        <f>GhanaStream[[#This Row],[Subscription Fee]]-(GhanaStream[[#This Row],[Discount]]*GhanaStream[[#This Row],[Subscription Fee]])</f>
        <v>500</v>
      </c>
      <c r="N19" t="str">
        <f>IF(GhanaStream[[#This Row],[Churn Flag]]="Yes","Churned","Retained")</f>
        <v>Churned</v>
      </c>
    </row>
    <row r="20" spans="1:14" x14ac:dyDescent="0.25">
      <c r="A20" t="s">
        <v>56</v>
      </c>
      <c r="B20" s="1">
        <v>44935</v>
      </c>
      <c r="C20" t="s">
        <v>31</v>
      </c>
      <c r="D20" t="s">
        <v>13</v>
      </c>
      <c r="E20">
        <v>1000</v>
      </c>
      <c r="F20" t="s">
        <v>32</v>
      </c>
      <c r="G20" t="s">
        <v>28</v>
      </c>
      <c r="H20" t="s">
        <v>33</v>
      </c>
      <c r="I20" t="s">
        <v>34</v>
      </c>
      <c r="J20" t="s">
        <v>25</v>
      </c>
      <c r="K20">
        <v>0</v>
      </c>
      <c r="L2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20">
        <f>GhanaStream[[#This Row],[Subscription Fee]]-(GhanaStream[[#This Row],[Discount]]*GhanaStream[[#This Row],[Subscription Fee]])</f>
        <v>1000</v>
      </c>
      <c r="N20" t="str">
        <f>IF(GhanaStream[[#This Row],[Churn Flag]]="Yes","Churned","Retained")</f>
        <v>Retained</v>
      </c>
    </row>
    <row r="21" spans="1:14" x14ac:dyDescent="0.25">
      <c r="A21" t="s">
        <v>57</v>
      </c>
      <c r="B21" s="1">
        <v>44952</v>
      </c>
      <c r="C21" t="s">
        <v>31</v>
      </c>
      <c r="D21" t="s">
        <v>13</v>
      </c>
      <c r="E21">
        <v>1000</v>
      </c>
      <c r="F21" t="s">
        <v>49</v>
      </c>
      <c r="G21" t="s">
        <v>28</v>
      </c>
      <c r="H21" t="s">
        <v>16</v>
      </c>
      <c r="I21" t="s">
        <v>17</v>
      </c>
      <c r="J21" t="s">
        <v>58</v>
      </c>
      <c r="K21">
        <v>0</v>
      </c>
      <c r="L2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21">
        <f>GhanaStream[[#This Row],[Subscription Fee]]-(GhanaStream[[#This Row],[Discount]]*GhanaStream[[#This Row],[Subscription Fee]])</f>
        <v>1000</v>
      </c>
      <c r="N21" t="str">
        <f>IF(GhanaStream[[#This Row],[Churn Flag]]="Yes","Churned","Retained")</f>
        <v>Churned</v>
      </c>
    </row>
    <row r="22" spans="1:14" x14ac:dyDescent="0.25">
      <c r="A22" t="s">
        <v>59</v>
      </c>
      <c r="B22" s="1">
        <v>45320</v>
      </c>
      <c r="C22" t="s">
        <v>31</v>
      </c>
      <c r="D22" t="s">
        <v>27</v>
      </c>
      <c r="E22">
        <v>10800</v>
      </c>
      <c r="F22" t="s">
        <v>14</v>
      </c>
      <c r="G22" t="s">
        <v>15</v>
      </c>
      <c r="H22" t="s">
        <v>16</v>
      </c>
      <c r="I22" t="s">
        <v>17</v>
      </c>
      <c r="J22" t="s">
        <v>18</v>
      </c>
      <c r="K22">
        <v>0.1</v>
      </c>
      <c r="L2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22">
        <f>GhanaStream[[#This Row],[Subscription Fee]]-(GhanaStream[[#This Row],[Discount]]*GhanaStream[[#This Row],[Subscription Fee]])</f>
        <v>9720</v>
      </c>
      <c r="N22" t="str">
        <f>IF(GhanaStream[[#This Row],[Churn Flag]]="Yes","Churned","Retained")</f>
        <v>Churned</v>
      </c>
    </row>
    <row r="23" spans="1:14" x14ac:dyDescent="0.25">
      <c r="A23" t="s">
        <v>60</v>
      </c>
      <c r="B23" s="1">
        <v>44984</v>
      </c>
      <c r="C23" t="s">
        <v>20</v>
      </c>
      <c r="D23" t="s">
        <v>27</v>
      </c>
      <c r="E23">
        <v>5400</v>
      </c>
      <c r="F23" t="s">
        <v>14</v>
      </c>
      <c r="G23" t="s">
        <v>24</v>
      </c>
      <c r="H23" t="s">
        <v>33</v>
      </c>
      <c r="I23" t="s">
        <v>34</v>
      </c>
      <c r="J23" t="s">
        <v>18</v>
      </c>
      <c r="K23">
        <v>0.1</v>
      </c>
      <c r="L2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23">
        <f>GhanaStream[[#This Row],[Subscription Fee]]-(GhanaStream[[#This Row],[Discount]]*GhanaStream[[#This Row],[Subscription Fee]])</f>
        <v>4860</v>
      </c>
      <c r="N23" t="str">
        <f>IF(GhanaStream[[#This Row],[Churn Flag]]="Yes","Churned","Retained")</f>
        <v>Retained</v>
      </c>
    </row>
    <row r="24" spans="1:14" x14ac:dyDescent="0.25">
      <c r="A24" t="s">
        <v>61</v>
      </c>
      <c r="B24" s="1">
        <v>45120</v>
      </c>
      <c r="C24" t="s">
        <v>31</v>
      </c>
      <c r="D24" t="s">
        <v>27</v>
      </c>
      <c r="E24">
        <v>10800</v>
      </c>
      <c r="F24" t="s">
        <v>14</v>
      </c>
      <c r="G24" t="s">
        <v>28</v>
      </c>
      <c r="H24" t="s">
        <v>33</v>
      </c>
      <c r="I24" t="s">
        <v>34</v>
      </c>
      <c r="J24" t="s">
        <v>22</v>
      </c>
      <c r="K24">
        <v>0.1</v>
      </c>
      <c r="L2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24">
        <f>GhanaStream[[#This Row],[Subscription Fee]]-(GhanaStream[[#This Row],[Discount]]*GhanaStream[[#This Row],[Subscription Fee]])</f>
        <v>9720</v>
      </c>
      <c r="N24" t="str">
        <f>IF(GhanaStream[[#This Row],[Churn Flag]]="Yes","Churned","Retained")</f>
        <v>Retained</v>
      </c>
    </row>
    <row r="25" spans="1:14" x14ac:dyDescent="0.25">
      <c r="A25" t="s">
        <v>62</v>
      </c>
      <c r="B25" s="1">
        <v>45627</v>
      </c>
      <c r="C25" t="s">
        <v>12</v>
      </c>
      <c r="D25" t="s">
        <v>13</v>
      </c>
      <c r="E25">
        <v>1500</v>
      </c>
      <c r="F25" t="s">
        <v>49</v>
      </c>
      <c r="G25" t="s">
        <v>28</v>
      </c>
      <c r="H25" t="s">
        <v>16</v>
      </c>
      <c r="I25" t="s">
        <v>17</v>
      </c>
      <c r="J25" t="s">
        <v>58</v>
      </c>
      <c r="K25">
        <v>0</v>
      </c>
      <c r="L2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25">
        <f>GhanaStream[[#This Row],[Subscription Fee]]-(GhanaStream[[#This Row],[Discount]]*GhanaStream[[#This Row],[Subscription Fee]])</f>
        <v>1500</v>
      </c>
      <c r="N25" t="str">
        <f>IF(GhanaStream[[#This Row],[Churn Flag]]="Yes","Churned","Retained")</f>
        <v>Churned</v>
      </c>
    </row>
    <row r="26" spans="1:14" x14ac:dyDescent="0.25">
      <c r="A26" t="s">
        <v>63</v>
      </c>
      <c r="B26" s="1">
        <v>45442</v>
      </c>
      <c r="C26" t="s">
        <v>12</v>
      </c>
      <c r="D26" t="s">
        <v>13</v>
      </c>
      <c r="E26">
        <v>1500</v>
      </c>
      <c r="F26" t="s">
        <v>14</v>
      </c>
      <c r="G26" t="s">
        <v>15</v>
      </c>
      <c r="H26" t="s">
        <v>16</v>
      </c>
      <c r="I26" t="s">
        <v>17</v>
      </c>
      <c r="J26" t="s">
        <v>55</v>
      </c>
      <c r="K26">
        <v>0</v>
      </c>
      <c r="L2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26">
        <f>GhanaStream[[#This Row],[Subscription Fee]]-(GhanaStream[[#This Row],[Discount]]*GhanaStream[[#This Row],[Subscription Fee]])</f>
        <v>1500</v>
      </c>
      <c r="N26" t="str">
        <f>IF(GhanaStream[[#This Row],[Churn Flag]]="Yes","Churned","Retained")</f>
        <v>Churned</v>
      </c>
    </row>
    <row r="27" spans="1:14" x14ac:dyDescent="0.25">
      <c r="A27" t="s">
        <v>64</v>
      </c>
      <c r="B27" s="1">
        <v>45609</v>
      </c>
      <c r="C27" t="s">
        <v>12</v>
      </c>
      <c r="D27" t="s">
        <v>27</v>
      </c>
      <c r="E27">
        <v>16200</v>
      </c>
      <c r="F27" t="s">
        <v>14</v>
      </c>
      <c r="G27" t="s">
        <v>24</v>
      </c>
      <c r="H27" t="s">
        <v>33</v>
      </c>
      <c r="I27" t="s">
        <v>34</v>
      </c>
      <c r="J27" t="s">
        <v>41</v>
      </c>
      <c r="K27">
        <v>0.1</v>
      </c>
      <c r="L2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27">
        <f>GhanaStream[[#This Row],[Subscription Fee]]-(GhanaStream[[#This Row],[Discount]]*GhanaStream[[#This Row],[Subscription Fee]])</f>
        <v>14580</v>
      </c>
      <c r="N27" t="str">
        <f>IF(GhanaStream[[#This Row],[Churn Flag]]="Yes","Churned","Retained")</f>
        <v>Retained</v>
      </c>
    </row>
    <row r="28" spans="1:14" x14ac:dyDescent="0.25">
      <c r="A28" t="s">
        <v>65</v>
      </c>
      <c r="B28" s="1">
        <v>44928</v>
      </c>
      <c r="C28" t="s">
        <v>20</v>
      </c>
      <c r="D28" t="s">
        <v>27</v>
      </c>
      <c r="E28">
        <v>5400</v>
      </c>
      <c r="F28" t="s">
        <v>32</v>
      </c>
      <c r="G28" t="s">
        <v>28</v>
      </c>
      <c r="H28" t="s">
        <v>33</v>
      </c>
      <c r="I28" t="s">
        <v>34</v>
      </c>
      <c r="J28" t="s">
        <v>66</v>
      </c>
      <c r="K28">
        <v>0.1</v>
      </c>
      <c r="L2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28">
        <f>GhanaStream[[#This Row],[Subscription Fee]]-(GhanaStream[[#This Row],[Discount]]*GhanaStream[[#This Row],[Subscription Fee]])</f>
        <v>4860</v>
      </c>
      <c r="N28" t="str">
        <f>IF(GhanaStream[[#This Row],[Churn Flag]]="Yes","Churned","Retained")</f>
        <v>Retained</v>
      </c>
    </row>
    <row r="29" spans="1:14" x14ac:dyDescent="0.25">
      <c r="A29" t="s">
        <v>67</v>
      </c>
      <c r="B29" s="1">
        <v>45215</v>
      </c>
      <c r="C29" t="s">
        <v>20</v>
      </c>
      <c r="D29" t="s">
        <v>27</v>
      </c>
      <c r="E29">
        <v>5400</v>
      </c>
      <c r="F29" t="s">
        <v>21</v>
      </c>
      <c r="G29" t="s">
        <v>24</v>
      </c>
      <c r="H29" t="s">
        <v>33</v>
      </c>
      <c r="I29" t="s">
        <v>34</v>
      </c>
      <c r="J29" t="s">
        <v>22</v>
      </c>
      <c r="K29">
        <v>0.1</v>
      </c>
      <c r="L2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29">
        <f>GhanaStream[[#This Row],[Subscription Fee]]-(GhanaStream[[#This Row],[Discount]]*GhanaStream[[#This Row],[Subscription Fee]])</f>
        <v>4860</v>
      </c>
      <c r="N29" t="str">
        <f>IF(GhanaStream[[#This Row],[Churn Flag]]="Yes","Churned","Retained")</f>
        <v>Retained</v>
      </c>
    </row>
    <row r="30" spans="1:14" x14ac:dyDescent="0.25">
      <c r="A30" t="s">
        <v>68</v>
      </c>
      <c r="B30" s="1">
        <v>45577</v>
      </c>
      <c r="C30" t="s">
        <v>31</v>
      </c>
      <c r="D30" t="s">
        <v>13</v>
      </c>
      <c r="E30">
        <v>1000</v>
      </c>
      <c r="F30" t="s">
        <v>21</v>
      </c>
      <c r="G30" t="s">
        <v>15</v>
      </c>
      <c r="H30" t="s">
        <v>16</v>
      </c>
      <c r="I30" t="s">
        <v>17</v>
      </c>
      <c r="J30" t="s">
        <v>18</v>
      </c>
      <c r="K30">
        <v>0</v>
      </c>
      <c r="L3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30">
        <f>GhanaStream[[#This Row],[Subscription Fee]]-(GhanaStream[[#This Row],[Discount]]*GhanaStream[[#This Row],[Subscription Fee]])</f>
        <v>1000</v>
      </c>
      <c r="N30" t="str">
        <f>IF(GhanaStream[[#This Row],[Churn Flag]]="Yes","Churned","Retained")</f>
        <v>Churned</v>
      </c>
    </row>
    <row r="31" spans="1:14" x14ac:dyDescent="0.25">
      <c r="A31" t="s">
        <v>69</v>
      </c>
      <c r="B31" s="1">
        <v>45600</v>
      </c>
      <c r="C31" t="s">
        <v>20</v>
      </c>
      <c r="D31" t="s">
        <v>27</v>
      </c>
      <c r="E31">
        <v>5400</v>
      </c>
      <c r="F31" t="s">
        <v>21</v>
      </c>
      <c r="G31" t="s">
        <v>28</v>
      </c>
      <c r="H31" t="s">
        <v>33</v>
      </c>
      <c r="I31" t="s">
        <v>34</v>
      </c>
      <c r="J31" t="s">
        <v>18</v>
      </c>
      <c r="K31">
        <v>0.1</v>
      </c>
      <c r="L3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31">
        <f>GhanaStream[[#This Row],[Subscription Fee]]-(GhanaStream[[#This Row],[Discount]]*GhanaStream[[#This Row],[Subscription Fee]])</f>
        <v>4860</v>
      </c>
      <c r="N31" t="str">
        <f>IF(GhanaStream[[#This Row],[Churn Flag]]="Yes","Churned","Retained")</f>
        <v>Retained</v>
      </c>
    </row>
    <row r="32" spans="1:14" x14ac:dyDescent="0.25">
      <c r="A32" t="s">
        <v>70</v>
      </c>
      <c r="B32" s="1">
        <v>45227</v>
      </c>
      <c r="C32" t="s">
        <v>31</v>
      </c>
      <c r="D32" t="s">
        <v>27</v>
      </c>
      <c r="E32">
        <v>10800</v>
      </c>
      <c r="F32" t="s">
        <v>32</v>
      </c>
      <c r="G32" t="s">
        <v>24</v>
      </c>
      <c r="H32" t="s">
        <v>33</v>
      </c>
      <c r="I32" t="s">
        <v>34</v>
      </c>
      <c r="J32" t="s">
        <v>44</v>
      </c>
      <c r="K32">
        <v>0.1</v>
      </c>
      <c r="L3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32">
        <f>GhanaStream[[#This Row],[Subscription Fee]]-(GhanaStream[[#This Row],[Discount]]*GhanaStream[[#This Row],[Subscription Fee]])</f>
        <v>9720</v>
      </c>
      <c r="N32" t="str">
        <f>IF(GhanaStream[[#This Row],[Churn Flag]]="Yes","Churned","Retained")</f>
        <v>Retained</v>
      </c>
    </row>
    <row r="33" spans="1:14" x14ac:dyDescent="0.25">
      <c r="A33" t="s">
        <v>71</v>
      </c>
      <c r="B33" s="1">
        <v>45002</v>
      </c>
      <c r="C33" t="s">
        <v>31</v>
      </c>
      <c r="D33" t="s">
        <v>27</v>
      </c>
      <c r="E33">
        <v>10800</v>
      </c>
      <c r="F33" t="s">
        <v>14</v>
      </c>
      <c r="G33" t="s">
        <v>28</v>
      </c>
      <c r="H33" t="s">
        <v>16</v>
      </c>
      <c r="I33" t="s">
        <v>17</v>
      </c>
      <c r="J33" t="s">
        <v>37</v>
      </c>
      <c r="K33">
        <v>0.1</v>
      </c>
      <c r="L3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33">
        <f>GhanaStream[[#This Row],[Subscription Fee]]-(GhanaStream[[#This Row],[Discount]]*GhanaStream[[#This Row],[Subscription Fee]])</f>
        <v>9720</v>
      </c>
      <c r="N33" t="str">
        <f>IF(GhanaStream[[#This Row],[Churn Flag]]="Yes","Churned","Retained")</f>
        <v>Churned</v>
      </c>
    </row>
    <row r="34" spans="1:14" x14ac:dyDescent="0.25">
      <c r="A34" t="s">
        <v>72</v>
      </c>
      <c r="B34" s="1">
        <v>45132</v>
      </c>
      <c r="C34" t="s">
        <v>12</v>
      </c>
      <c r="D34" t="s">
        <v>27</v>
      </c>
      <c r="E34">
        <v>16200</v>
      </c>
      <c r="F34" t="s">
        <v>32</v>
      </c>
      <c r="G34" t="s">
        <v>28</v>
      </c>
      <c r="H34" t="s">
        <v>33</v>
      </c>
      <c r="I34" t="s">
        <v>34</v>
      </c>
      <c r="J34" t="s">
        <v>44</v>
      </c>
      <c r="K34">
        <v>0.1</v>
      </c>
      <c r="L3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34">
        <f>GhanaStream[[#This Row],[Subscription Fee]]-(GhanaStream[[#This Row],[Discount]]*GhanaStream[[#This Row],[Subscription Fee]])</f>
        <v>14580</v>
      </c>
      <c r="N34" t="str">
        <f>IF(GhanaStream[[#This Row],[Churn Flag]]="Yes","Churned","Retained")</f>
        <v>Retained</v>
      </c>
    </row>
    <row r="35" spans="1:14" x14ac:dyDescent="0.25">
      <c r="A35" t="s">
        <v>73</v>
      </c>
      <c r="B35" s="1">
        <v>45033</v>
      </c>
      <c r="C35" t="s">
        <v>31</v>
      </c>
      <c r="D35" t="s">
        <v>13</v>
      </c>
      <c r="E35">
        <v>1000</v>
      </c>
      <c r="F35" t="s">
        <v>21</v>
      </c>
      <c r="G35" t="s">
        <v>24</v>
      </c>
      <c r="H35" t="s">
        <v>16</v>
      </c>
      <c r="I35" t="s">
        <v>17</v>
      </c>
      <c r="J35" t="s">
        <v>18</v>
      </c>
      <c r="K35">
        <v>0</v>
      </c>
      <c r="L3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35">
        <f>GhanaStream[[#This Row],[Subscription Fee]]-(GhanaStream[[#This Row],[Discount]]*GhanaStream[[#This Row],[Subscription Fee]])</f>
        <v>1000</v>
      </c>
      <c r="N35" t="str">
        <f>IF(GhanaStream[[#This Row],[Churn Flag]]="Yes","Churned","Retained")</f>
        <v>Churned</v>
      </c>
    </row>
    <row r="36" spans="1:14" x14ac:dyDescent="0.25">
      <c r="A36" t="s">
        <v>74</v>
      </c>
      <c r="B36" s="1">
        <v>45611</v>
      </c>
      <c r="C36" t="s">
        <v>20</v>
      </c>
      <c r="D36" t="s">
        <v>13</v>
      </c>
      <c r="E36">
        <v>500</v>
      </c>
      <c r="F36" t="s">
        <v>49</v>
      </c>
      <c r="G36" t="s">
        <v>28</v>
      </c>
      <c r="H36" t="s">
        <v>33</v>
      </c>
      <c r="I36" t="s">
        <v>34</v>
      </c>
      <c r="J36" t="s">
        <v>22</v>
      </c>
      <c r="K36">
        <v>0</v>
      </c>
      <c r="L3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36">
        <f>GhanaStream[[#This Row],[Subscription Fee]]-(GhanaStream[[#This Row],[Discount]]*GhanaStream[[#This Row],[Subscription Fee]])</f>
        <v>500</v>
      </c>
      <c r="N36" t="str">
        <f>IF(GhanaStream[[#This Row],[Churn Flag]]="Yes","Churned","Retained")</f>
        <v>Retained</v>
      </c>
    </row>
    <row r="37" spans="1:14" x14ac:dyDescent="0.25">
      <c r="A37" t="s">
        <v>75</v>
      </c>
      <c r="B37" s="1">
        <v>45637</v>
      </c>
      <c r="C37" t="s">
        <v>20</v>
      </c>
      <c r="D37" t="s">
        <v>27</v>
      </c>
      <c r="E37">
        <v>5400</v>
      </c>
      <c r="F37" t="s">
        <v>49</v>
      </c>
      <c r="G37" t="s">
        <v>28</v>
      </c>
      <c r="H37" t="s">
        <v>33</v>
      </c>
      <c r="I37" t="s">
        <v>34</v>
      </c>
      <c r="J37" t="s">
        <v>25</v>
      </c>
      <c r="K37">
        <v>0.1</v>
      </c>
      <c r="L3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37">
        <f>GhanaStream[[#This Row],[Subscription Fee]]-(GhanaStream[[#This Row],[Discount]]*GhanaStream[[#This Row],[Subscription Fee]])</f>
        <v>4860</v>
      </c>
      <c r="N37" t="str">
        <f>IF(GhanaStream[[#This Row],[Churn Flag]]="Yes","Churned","Retained")</f>
        <v>Retained</v>
      </c>
    </row>
    <row r="38" spans="1:14" x14ac:dyDescent="0.25">
      <c r="A38" t="s">
        <v>76</v>
      </c>
      <c r="B38" s="1">
        <v>45579</v>
      </c>
      <c r="C38" t="s">
        <v>12</v>
      </c>
      <c r="D38" t="s">
        <v>13</v>
      </c>
      <c r="E38">
        <v>1500</v>
      </c>
      <c r="F38" t="s">
        <v>49</v>
      </c>
      <c r="G38" t="s">
        <v>24</v>
      </c>
      <c r="H38" t="s">
        <v>33</v>
      </c>
      <c r="I38" t="s">
        <v>34</v>
      </c>
      <c r="J38" t="s">
        <v>58</v>
      </c>
      <c r="K38">
        <v>0</v>
      </c>
      <c r="L3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38">
        <f>GhanaStream[[#This Row],[Subscription Fee]]-(GhanaStream[[#This Row],[Discount]]*GhanaStream[[#This Row],[Subscription Fee]])</f>
        <v>1500</v>
      </c>
      <c r="N38" t="str">
        <f>IF(GhanaStream[[#This Row],[Churn Flag]]="Yes","Churned","Retained")</f>
        <v>Retained</v>
      </c>
    </row>
    <row r="39" spans="1:14" x14ac:dyDescent="0.25">
      <c r="A39" t="s">
        <v>77</v>
      </c>
      <c r="B39" s="1">
        <v>45212</v>
      </c>
      <c r="C39" t="s">
        <v>20</v>
      </c>
      <c r="D39" t="s">
        <v>13</v>
      </c>
      <c r="E39">
        <v>500</v>
      </c>
      <c r="F39" t="s">
        <v>21</v>
      </c>
      <c r="G39" t="s">
        <v>15</v>
      </c>
      <c r="H39" t="s">
        <v>16</v>
      </c>
      <c r="I39" t="s">
        <v>17</v>
      </c>
      <c r="J39" t="s">
        <v>29</v>
      </c>
      <c r="K39">
        <v>0</v>
      </c>
      <c r="L3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39">
        <f>GhanaStream[[#This Row],[Subscription Fee]]-(GhanaStream[[#This Row],[Discount]]*GhanaStream[[#This Row],[Subscription Fee]])</f>
        <v>500</v>
      </c>
      <c r="N39" t="str">
        <f>IF(GhanaStream[[#This Row],[Churn Flag]]="Yes","Churned","Retained")</f>
        <v>Churned</v>
      </c>
    </row>
    <row r="40" spans="1:14" x14ac:dyDescent="0.25">
      <c r="A40" t="s">
        <v>78</v>
      </c>
      <c r="B40" s="1">
        <v>45131</v>
      </c>
      <c r="C40" t="s">
        <v>12</v>
      </c>
      <c r="D40" t="s">
        <v>27</v>
      </c>
      <c r="E40">
        <v>16200</v>
      </c>
      <c r="F40" t="s">
        <v>49</v>
      </c>
      <c r="G40" t="s">
        <v>24</v>
      </c>
      <c r="H40" t="s">
        <v>16</v>
      </c>
      <c r="I40" t="s">
        <v>17</v>
      </c>
      <c r="J40" t="s">
        <v>25</v>
      </c>
      <c r="K40">
        <v>0.1</v>
      </c>
      <c r="L4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40">
        <f>GhanaStream[[#This Row],[Subscription Fee]]-(GhanaStream[[#This Row],[Discount]]*GhanaStream[[#This Row],[Subscription Fee]])</f>
        <v>14580</v>
      </c>
      <c r="N40" t="str">
        <f>IF(GhanaStream[[#This Row],[Churn Flag]]="Yes","Churned","Retained")</f>
        <v>Churned</v>
      </c>
    </row>
    <row r="41" spans="1:14" x14ac:dyDescent="0.25">
      <c r="A41" t="s">
        <v>79</v>
      </c>
      <c r="B41" s="1">
        <v>45618</v>
      </c>
      <c r="C41" t="s">
        <v>31</v>
      </c>
      <c r="D41" t="s">
        <v>13</v>
      </c>
      <c r="E41">
        <v>1000</v>
      </c>
      <c r="F41" t="s">
        <v>32</v>
      </c>
      <c r="G41" t="s">
        <v>28</v>
      </c>
      <c r="H41" t="s">
        <v>33</v>
      </c>
      <c r="I41" t="s">
        <v>34</v>
      </c>
      <c r="J41" t="s">
        <v>25</v>
      </c>
      <c r="K41">
        <v>0</v>
      </c>
      <c r="L4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41">
        <f>GhanaStream[[#This Row],[Subscription Fee]]-(GhanaStream[[#This Row],[Discount]]*GhanaStream[[#This Row],[Subscription Fee]])</f>
        <v>1000</v>
      </c>
      <c r="N41" t="str">
        <f>IF(GhanaStream[[#This Row],[Churn Flag]]="Yes","Churned","Retained")</f>
        <v>Retained</v>
      </c>
    </row>
    <row r="42" spans="1:14" x14ac:dyDescent="0.25">
      <c r="A42" t="s">
        <v>80</v>
      </c>
      <c r="B42" s="1">
        <v>45467</v>
      </c>
      <c r="C42" t="s">
        <v>31</v>
      </c>
      <c r="D42" t="s">
        <v>13</v>
      </c>
      <c r="E42">
        <v>1000</v>
      </c>
      <c r="F42" t="s">
        <v>32</v>
      </c>
      <c r="G42" t="s">
        <v>15</v>
      </c>
      <c r="H42" t="s">
        <v>16</v>
      </c>
      <c r="I42" t="s">
        <v>17</v>
      </c>
      <c r="J42" t="s">
        <v>25</v>
      </c>
      <c r="K42">
        <v>0</v>
      </c>
      <c r="L4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42">
        <f>GhanaStream[[#This Row],[Subscription Fee]]-(GhanaStream[[#This Row],[Discount]]*GhanaStream[[#This Row],[Subscription Fee]])</f>
        <v>1000</v>
      </c>
      <c r="N42" t="str">
        <f>IF(GhanaStream[[#This Row],[Churn Flag]]="Yes","Churned","Retained")</f>
        <v>Churned</v>
      </c>
    </row>
    <row r="43" spans="1:14" x14ac:dyDescent="0.25">
      <c r="A43" t="s">
        <v>81</v>
      </c>
      <c r="B43" s="1">
        <v>45575</v>
      </c>
      <c r="C43" t="s">
        <v>31</v>
      </c>
      <c r="D43" t="s">
        <v>27</v>
      </c>
      <c r="E43">
        <v>10800</v>
      </c>
      <c r="F43" t="s">
        <v>49</v>
      </c>
      <c r="G43" t="s">
        <v>24</v>
      </c>
      <c r="H43" t="s">
        <v>33</v>
      </c>
      <c r="I43" t="s">
        <v>34</v>
      </c>
      <c r="J43" t="s">
        <v>22</v>
      </c>
      <c r="K43">
        <v>0.1</v>
      </c>
      <c r="L4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43">
        <f>GhanaStream[[#This Row],[Subscription Fee]]-(GhanaStream[[#This Row],[Discount]]*GhanaStream[[#This Row],[Subscription Fee]])</f>
        <v>9720</v>
      </c>
      <c r="N43" t="str">
        <f>IF(GhanaStream[[#This Row],[Churn Flag]]="Yes","Churned","Retained")</f>
        <v>Retained</v>
      </c>
    </row>
    <row r="44" spans="1:14" x14ac:dyDescent="0.25">
      <c r="A44" t="s">
        <v>82</v>
      </c>
      <c r="B44" s="1">
        <v>45399</v>
      </c>
      <c r="C44" t="s">
        <v>12</v>
      </c>
      <c r="D44" t="s">
        <v>27</v>
      </c>
      <c r="E44">
        <v>16200</v>
      </c>
      <c r="F44" t="s">
        <v>49</v>
      </c>
      <c r="G44" t="s">
        <v>28</v>
      </c>
      <c r="H44" t="s">
        <v>33</v>
      </c>
      <c r="I44" t="s">
        <v>34</v>
      </c>
      <c r="J44" t="s">
        <v>50</v>
      </c>
      <c r="K44">
        <v>0.1</v>
      </c>
      <c r="L4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44">
        <f>GhanaStream[[#This Row],[Subscription Fee]]-(GhanaStream[[#This Row],[Discount]]*GhanaStream[[#This Row],[Subscription Fee]])</f>
        <v>14580</v>
      </c>
      <c r="N44" t="str">
        <f>IF(GhanaStream[[#This Row],[Churn Flag]]="Yes","Churned","Retained")</f>
        <v>Retained</v>
      </c>
    </row>
    <row r="45" spans="1:14" x14ac:dyDescent="0.25">
      <c r="A45" t="s">
        <v>83</v>
      </c>
      <c r="B45" s="1">
        <v>45651</v>
      </c>
      <c r="C45" t="s">
        <v>31</v>
      </c>
      <c r="D45" t="s">
        <v>27</v>
      </c>
      <c r="E45">
        <v>10800</v>
      </c>
      <c r="F45" t="s">
        <v>21</v>
      </c>
      <c r="G45" t="s">
        <v>28</v>
      </c>
      <c r="H45" t="s">
        <v>33</v>
      </c>
      <c r="I45" t="s">
        <v>34</v>
      </c>
      <c r="J45" t="s">
        <v>25</v>
      </c>
      <c r="K45">
        <v>0.1</v>
      </c>
      <c r="L4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45">
        <f>GhanaStream[[#This Row],[Subscription Fee]]-(GhanaStream[[#This Row],[Discount]]*GhanaStream[[#This Row],[Subscription Fee]])</f>
        <v>9720</v>
      </c>
      <c r="N45" t="str">
        <f>IF(GhanaStream[[#This Row],[Churn Flag]]="Yes","Churned","Retained")</f>
        <v>Retained</v>
      </c>
    </row>
    <row r="46" spans="1:14" x14ac:dyDescent="0.25">
      <c r="A46" t="s">
        <v>84</v>
      </c>
      <c r="B46" s="1">
        <v>45522</v>
      </c>
      <c r="C46" t="s">
        <v>12</v>
      </c>
      <c r="D46" t="s">
        <v>13</v>
      </c>
      <c r="E46">
        <v>1500</v>
      </c>
      <c r="F46" t="s">
        <v>32</v>
      </c>
      <c r="G46" t="s">
        <v>24</v>
      </c>
      <c r="H46" t="s">
        <v>33</v>
      </c>
      <c r="I46" t="s">
        <v>34</v>
      </c>
      <c r="J46" t="s">
        <v>25</v>
      </c>
      <c r="K46">
        <v>0</v>
      </c>
      <c r="L4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46">
        <f>GhanaStream[[#This Row],[Subscription Fee]]-(GhanaStream[[#This Row],[Discount]]*GhanaStream[[#This Row],[Subscription Fee]])</f>
        <v>1500</v>
      </c>
      <c r="N46" t="str">
        <f>IF(GhanaStream[[#This Row],[Churn Flag]]="Yes","Churned","Retained")</f>
        <v>Retained</v>
      </c>
    </row>
    <row r="47" spans="1:14" x14ac:dyDescent="0.25">
      <c r="A47" t="s">
        <v>85</v>
      </c>
      <c r="B47" s="1">
        <v>45639</v>
      </c>
      <c r="C47" t="s">
        <v>12</v>
      </c>
      <c r="D47" t="s">
        <v>27</v>
      </c>
      <c r="E47">
        <v>16200</v>
      </c>
      <c r="F47" t="s">
        <v>21</v>
      </c>
      <c r="G47" t="s">
        <v>28</v>
      </c>
      <c r="H47" t="s">
        <v>16</v>
      </c>
      <c r="I47" t="s">
        <v>17</v>
      </c>
      <c r="J47" t="s">
        <v>29</v>
      </c>
      <c r="K47">
        <v>0.1</v>
      </c>
      <c r="L4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47">
        <f>GhanaStream[[#This Row],[Subscription Fee]]-(GhanaStream[[#This Row],[Discount]]*GhanaStream[[#This Row],[Subscription Fee]])</f>
        <v>14580</v>
      </c>
      <c r="N47" t="str">
        <f>IF(GhanaStream[[#This Row],[Churn Flag]]="Yes","Churned","Retained")</f>
        <v>Churned</v>
      </c>
    </row>
    <row r="48" spans="1:14" x14ac:dyDescent="0.25">
      <c r="A48" t="s">
        <v>86</v>
      </c>
      <c r="B48" s="1">
        <v>45375</v>
      </c>
      <c r="C48" t="s">
        <v>20</v>
      </c>
      <c r="D48" t="s">
        <v>13</v>
      </c>
      <c r="E48">
        <v>500</v>
      </c>
      <c r="F48" t="s">
        <v>14</v>
      </c>
      <c r="G48" t="s">
        <v>24</v>
      </c>
      <c r="H48" t="s">
        <v>16</v>
      </c>
      <c r="I48" t="s">
        <v>17</v>
      </c>
      <c r="J48" t="s">
        <v>41</v>
      </c>
      <c r="K48">
        <v>0</v>
      </c>
      <c r="L4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48">
        <f>GhanaStream[[#This Row],[Subscription Fee]]-(GhanaStream[[#This Row],[Discount]]*GhanaStream[[#This Row],[Subscription Fee]])</f>
        <v>500</v>
      </c>
      <c r="N48" t="str">
        <f>IF(GhanaStream[[#This Row],[Churn Flag]]="Yes","Churned","Retained")</f>
        <v>Churned</v>
      </c>
    </row>
    <row r="49" spans="1:14" x14ac:dyDescent="0.25">
      <c r="A49" t="s">
        <v>87</v>
      </c>
      <c r="B49" s="1">
        <v>45110</v>
      </c>
      <c r="C49" t="s">
        <v>12</v>
      </c>
      <c r="D49" t="s">
        <v>27</v>
      </c>
      <c r="E49">
        <v>16200</v>
      </c>
      <c r="F49" t="s">
        <v>14</v>
      </c>
      <c r="G49" t="s">
        <v>24</v>
      </c>
      <c r="H49" t="s">
        <v>33</v>
      </c>
      <c r="I49" t="s">
        <v>34</v>
      </c>
      <c r="J49" t="s">
        <v>18</v>
      </c>
      <c r="K49">
        <v>0.1</v>
      </c>
      <c r="L4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49">
        <f>GhanaStream[[#This Row],[Subscription Fee]]-(GhanaStream[[#This Row],[Discount]]*GhanaStream[[#This Row],[Subscription Fee]])</f>
        <v>14580</v>
      </c>
      <c r="N49" t="str">
        <f>IF(GhanaStream[[#This Row],[Churn Flag]]="Yes","Churned","Retained")</f>
        <v>Retained</v>
      </c>
    </row>
    <row r="50" spans="1:14" x14ac:dyDescent="0.25">
      <c r="A50" t="s">
        <v>88</v>
      </c>
      <c r="B50" s="1">
        <v>45180</v>
      </c>
      <c r="C50" t="s">
        <v>20</v>
      </c>
      <c r="D50" t="s">
        <v>27</v>
      </c>
      <c r="E50">
        <v>5400</v>
      </c>
      <c r="F50" t="s">
        <v>49</v>
      </c>
      <c r="G50" t="s">
        <v>15</v>
      </c>
      <c r="H50" t="s">
        <v>16</v>
      </c>
      <c r="I50" t="s">
        <v>17</v>
      </c>
      <c r="J50" t="s">
        <v>18</v>
      </c>
      <c r="K50">
        <v>0.1</v>
      </c>
      <c r="L5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50">
        <f>GhanaStream[[#This Row],[Subscription Fee]]-(GhanaStream[[#This Row],[Discount]]*GhanaStream[[#This Row],[Subscription Fee]])</f>
        <v>4860</v>
      </c>
      <c r="N50" t="str">
        <f>IF(GhanaStream[[#This Row],[Churn Flag]]="Yes","Churned","Retained")</f>
        <v>Churned</v>
      </c>
    </row>
    <row r="51" spans="1:14" x14ac:dyDescent="0.25">
      <c r="A51" t="s">
        <v>89</v>
      </c>
      <c r="B51" s="1">
        <v>45603</v>
      </c>
      <c r="C51" t="s">
        <v>31</v>
      </c>
      <c r="D51" t="s">
        <v>27</v>
      </c>
      <c r="E51">
        <v>10800</v>
      </c>
      <c r="F51" t="s">
        <v>21</v>
      </c>
      <c r="G51" t="s">
        <v>24</v>
      </c>
      <c r="H51" t="s">
        <v>16</v>
      </c>
      <c r="I51" t="s">
        <v>17</v>
      </c>
      <c r="J51" t="s">
        <v>25</v>
      </c>
      <c r="K51">
        <v>0.1</v>
      </c>
      <c r="L5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51">
        <f>GhanaStream[[#This Row],[Subscription Fee]]-(GhanaStream[[#This Row],[Discount]]*GhanaStream[[#This Row],[Subscription Fee]])</f>
        <v>9720</v>
      </c>
      <c r="N51" t="str">
        <f>IF(GhanaStream[[#This Row],[Churn Flag]]="Yes","Churned","Retained")</f>
        <v>Churned</v>
      </c>
    </row>
    <row r="52" spans="1:14" x14ac:dyDescent="0.25">
      <c r="A52" t="s">
        <v>90</v>
      </c>
      <c r="B52" s="1">
        <v>44959</v>
      </c>
      <c r="C52" t="s">
        <v>12</v>
      </c>
      <c r="D52" t="s">
        <v>13</v>
      </c>
      <c r="E52">
        <v>1500</v>
      </c>
      <c r="F52" t="s">
        <v>49</v>
      </c>
      <c r="G52" t="s">
        <v>28</v>
      </c>
      <c r="H52" t="s">
        <v>33</v>
      </c>
      <c r="I52" t="s">
        <v>34</v>
      </c>
      <c r="J52" t="s">
        <v>50</v>
      </c>
      <c r="K52">
        <v>0</v>
      </c>
      <c r="L5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52">
        <f>GhanaStream[[#This Row],[Subscription Fee]]-(GhanaStream[[#This Row],[Discount]]*GhanaStream[[#This Row],[Subscription Fee]])</f>
        <v>1500</v>
      </c>
      <c r="N52" t="str">
        <f>IF(GhanaStream[[#This Row],[Churn Flag]]="Yes","Churned","Retained")</f>
        <v>Retained</v>
      </c>
    </row>
    <row r="53" spans="1:14" x14ac:dyDescent="0.25">
      <c r="A53" t="s">
        <v>91</v>
      </c>
      <c r="B53" s="1">
        <v>45342</v>
      </c>
      <c r="C53" t="s">
        <v>20</v>
      </c>
      <c r="D53" t="s">
        <v>27</v>
      </c>
      <c r="E53">
        <v>5400</v>
      </c>
      <c r="F53" t="s">
        <v>32</v>
      </c>
      <c r="G53" t="s">
        <v>24</v>
      </c>
      <c r="H53" t="s">
        <v>33</v>
      </c>
      <c r="I53" t="s">
        <v>34</v>
      </c>
      <c r="J53" t="s">
        <v>35</v>
      </c>
      <c r="K53">
        <v>0.1</v>
      </c>
      <c r="L5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53">
        <f>GhanaStream[[#This Row],[Subscription Fee]]-(GhanaStream[[#This Row],[Discount]]*GhanaStream[[#This Row],[Subscription Fee]])</f>
        <v>4860</v>
      </c>
      <c r="N53" t="str">
        <f>IF(GhanaStream[[#This Row],[Churn Flag]]="Yes","Churned","Retained")</f>
        <v>Retained</v>
      </c>
    </row>
    <row r="54" spans="1:14" x14ac:dyDescent="0.25">
      <c r="A54" t="s">
        <v>92</v>
      </c>
      <c r="B54" s="1">
        <v>44975</v>
      </c>
      <c r="C54" t="s">
        <v>20</v>
      </c>
      <c r="D54" t="s">
        <v>13</v>
      </c>
      <c r="E54">
        <v>500</v>
      </c>
      <c r="F54" t="s">
        <v>21</v>
      </c>
      <c r="G54" t="s">
        <v>24</v>
      </c>
      <c r="H54" t="s">
        <v>16</v>
      </c>
      <c r="I54" t="s">
        <v>17</v>
      </c>
      <c r="J54" t="s">
        <v>22</v>
      </c>
      <c r="K54">
        <v>0</v>
      </c>
      <c r="L5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54">
        <f>GhanaStream[[#This Row],[Subscription Fee]]-(GhanaStream[[#This Row],[Discount]]*GhanaStream[[#This Row],[Subscription Fee]])</f>
        <v>500</v>
      </c>
      <c r="N54" t="str">
        <f>IF(GhanaStream[[#This Row],[Churn Flag]]="Yes","Churned","Retained")</f>
        <v>Churned</v>
      </c>
    </row>
    <row r="55" spans="1:14" x14ac:dyDescent="0.25">
      <c r="A55" t="s">
        <v>93</v>
      </c>
      <c r="B55" s="1">
        <v>45260</v>
      </c>
      <c r="C55" t="s">
        <v>12</v>
      </c>
      <c r="D55" t="s">
        <v>27</v>
      </c>
      <c r="E55">
        <v>16200</v>
      </c>
      <c r="F55" t="s">
        <v>21</v>
      </c>
      <c r="G55" t="s">
        <v>24</v>
      </c>
      <c r="H55" t="s">
        <v>33</v>
      </c>
      <c r="I55" t="s">
        <v>34</v>
      </c>
      <c r="J55" t="s">
        <v>22</v>
      </c>
      <c r="K55">
        <v>0.1</v>
      </c>
      <c r="L5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55">
        <f>GhanaStream[[#This Row],[Subscription Fee]]-(GhanaStream[[#This Row],[Discount]]*GhanaStream[[#This Row],[Subscription Fee]])</f>
        <v>14580</v>
      </c>
      <c r="N55" t="str">
        <f>IF(GhanaStream[[#This Row],[Churn Flag]]="Yes","Churned","Retained")</f>
        <v>Retained</v>
      </c>
    </row>
    <row r="56" spans="1:14" x14ac:dyDescent="0.25">
      <c r="A56" t="s">
        <v>94</v>
      </c>
      <c r="B56" s="1">
        <v>45067</v>
      </c>
      <c r="C56" t="s">
        <v>12</v>
      </c>
      <c r="D56" t="s">
        <v>27</v>
      </c>
      <c r="E56">
        <v>16200</v>
      </c>
      <c r="F56" t="s">
        <v>21</v>
      </c>
      <c r="G56" t="s">
        <v>28</v>
      </c>
      <c r="H56" t="s">
        <v>16</v>
      </c>
      <c r="I56" t="s">
        <v>17</v>
      </c>
      <c r="J56" t="s">
        <v>29</v>
      </c>
      <c r="K56">
        <v>0.1</v>
      </c>
      <c r="L5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56">
        <f>GhanaStream[[#This Row],[Subscription Fee]]-(GhanaStream[[#This Row],[Discount]]*GhanaStream[[#This Row],[Subscription Fee]])</f>
        <v>14580</v>
      </c>
      <c r="N56" t="str">
        <f>IF(GhanaStream[[#This Row],[Churn Flag]]="Yes","Churned","Retained")</f>
        <v>Churned</v>
      </c>
    </row>
    <row r="57" spans="1:14" x14ac:dyDescent="0.25">
      <c r="A57" t="s">
        <v>95</v>
      </c>
      <c r="B57" s="1">
        <v>45252</v>
      </c>
      <c r="C57" t="s">
        <v>20</v>
      </c>
      <c r="D57" t="s">
        <v>27</v>
      </c>
      <c r="E57">
        <v>5400</v>
      </c>
      <c r="F57" t="s">
        <v>49</v>
      </c>
      <c r="G57" t="s">
        <v>28</v>
      </c>
      <c r="H57" t="s">
        <v>33</v>
      </c>
      <c r="I57" t="s">
        <v>34</v>
      </c>
      <c r="J57" t="s">
        <v>25</v>
      </c>
      <c r="K57">
        <v>0.1</v>
      </c>
      <c r="L5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57">
        <f>GhanaStream[[#This Row],[Subscription Fee]]-(GhanaStream[[#This Row],[Discount]]*GhanaStream[[#This Row],[Subscription Fee]])</f>
        <v>4860</v>
      </c>
      <c r="N57" t="str">
        <f>IF(GhanaStream[[#This Row],[Churn Flag]]="Yes","Churned","Retained")</f>
        <v>Retained</v>
      </c>
    </row>
    <row r="58" spans="1:14" x14ac:dyDescent="0.25">
      <c r="A58" t="s">
        <v>96</v>
      </c>
      <c r="B58" s="1">
        <v>45314</v>
      </c>
      <c r="C58" t="s">
        <v>20</v>
      </c>
      <c r="D58" t="s">
        <v>27</v>
      </c>
      <c r="E58">
        <v>5400</v>
      </c>
      <c r="F58" t="s">
        <v>32</v>
      </c>
      <c r="G58" t="s">
        <v>24</v>
      </c>
      <c r="H58" t="s">
        <v>16</v>
      </c>
      <c r="I58" t="s">
        <v>17</v>
      </c>
      <c r="J58" t="s">
        <v>25</v>
      </c>
      <c r="K58">
        <v>0.1</v>
      </c>
      <c r="L5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58">
        <f>GhanaStream[[#This Row],[Subscription Fee]]-(GhanaStream[[#This Row],[Discount]]*GhanaStream[[#This Row],[Subscription Fee]])</f>
        <v>4860</v>
      </c>
      <c r="N58" t="str">
        <f>IF(GhanaStream[[#This Row],[Churn Flag]]="Yes","Churned","Retained")</f>
        <v>Churned</v>
      </c>
    </row>
    <row r="59" spans="1:14" x14ac:dyDescent="0.25">
      <c r="A59" t="s">
        <v>97</v>
      </c>
      <c r="B59" s="1">
        <v>45216</v>
      </c>
      <c r="C59" t="s">
        <v>12</v>
      </c>
      <c r="D59" t="s">
        <v>27</v>
      </c>
      <c r="E59">
        <v>16200</v>
      </c>
      <c r="F59" t="s">
        <v>14</v>
      </c>
      <c r="G59" t="s">
        <v>24</v>
      </c>
      <c r="H59" t="s">
        <v>33</v>
      </c>
      <c r="I59" t="s">
        <v>34</v>
      </c>
      <c r="J59" t="s">
        <v>55</v>
      </c>
      <c r="K59">
        <v>0.1</v>
      </c>
      <c r="L5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59">
        <f>GhanaStream[[#This Row],[Subscription Fee]]-(GhanaStream[[#This Row],[Discount]]*GhanaStream[[#This Row],[Subscription Fee]])</f>
        <v>14580</v>
      </c>
      <c r="N59" t="str">
        <f>IF(GhanaStream[[#This Row],[Churn Flag]]="Yes","Churned","Retained")</f>
        <v>Retained</v>
      </c>
    </row>
    <row r="60" spans="1:14" x14ac:dyDescent="0.25">
      <c r="A60" t="s">
        <v>98</v>
      </c>
      <c r="B60" s="1">
        <v>45219</v>
      </c>
      <c r="C60" t="s">
        <v>12</v>
      </c>
      <c r="D60" t="s">
        <v>13</v>
      </c>
      <c r="E60">
        <v>1500</v>
      </c>
      <c r="F60" t="s">
        <v>14</v>
      </c>
      <c r="G60" t="s">
        <v>28</v>
      </c>
      <c r="H60" t="s">
        <v>16</v>
      </c>
      <c r="I60" t="s">
        <v>17</v>
      </c>
      <c r="J60" t="s">
        <v>41</v>
      </c>
      <c r="K60">
        <v>0</v>
      </c>
      <c r="L6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60">
        <f>GhanaStream[[#This Row],[Subscription Fee]]-(GhanaStream[[#This Row],[Discount]]*GhanaStream[[#This Row],[Subscription Fee]])</f>
        <v>1500</v>
      </c>
      <c r="N60" t="str">
        <f>IF(GhanaStream[[#This Row],[Churn Flag]]="Yes","Churned","Retained")</f>
        <v>Churned</v>
      </c>
    </row>
    <row r="61" spans="1:14" x14ac:dyDescent="0.25">
      <c r="A61" t="s">
        <v>99</v>
      </c>
      <c r="B61" s="1">
        <v>45605</v>
      </c>
      <c r="C61" t="s">
        <v>20</v>
      </c>
      <c r="D61" t="s">
        <v>13</v>
      </c>
      <c r="E61">
        <v>500</v>
      </c>
      <c r="F61" t="s">
        <v>21</v>
      </c>
      <c r="G61" t="s">
        <v>24</v>
      </c>
      <c r="H61" t="s">
        <v>33</v>
      </c>
      <c r="I61" t="s">
        <v>34</v>
      </c>
      <c r="J61" t="s">
        <v>25</v>
      </c>
      <c r="K61">
        <v>0</v>
      </c>
      <c r="L6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61">
        <f>GhanaStream[[#This Row],[Subscription Fee]]-(GhanaStream[[#This Row],[Discount]]*GhanaStream[[#This Row],[Subscription Fee]])</f>
        <v>500</v>
      </c>
      <c r="N61" t="str">
        <f>IF(GhanaStream[[#This Row],[Churn Flag]]="Yes","Churned","Retained")</f>
        <v>Retained</v>
      </c>
    </row>
    <row r="62" spans="1:14" x14ac:dyDescent="0.25">
      <c r="A62" t="s">
        <v>100</v>
      </c>
      <c r="B62" s="1">
        <v>45125</v>
      </c>
      <c r="C62" t="s">
        <v>12</v>
      </c>
      <c r="D62" t="s">
        <v>27</v>
      </c>
      <c r="E62">
        <v>16200</v>
      </c>
      <c r="F62" t="s">
        <v>21</v>
      </c>
      <c r="G62" t="s">
        <v>24</v>
      </c>
      <c r="H62" t="s">
        <v>16</v>
      </c>
      <c r="I62" t="s">
        <v>17</v>
      </c>
      <c r="J62" t="s">
        <v>29</v>
      </c>
      <c r="K62">
        <v>0.1</v>
      </c>
      <c r="L6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62">
        <f>GhanaStream[[#This Row],[Subscription Fee]]-(GhanaStream[[#This Row],[Discount]]*GhanaStream[[#This Row],[Subscription Fee]])</f>
        <v>14580</v>
      </c>
      <c r="N62" t="str">
        <f>IF(GhanaStream[[#This Row],[Churn Flag]]="Yes","Churned","Retained")</f>
        <v>Churned</v>
      </c>
    </row>
    <row r="63" spans="1:14" x14ac:dyDescent="0.25">
      <c r="A63" t="s">
        <v>101</v>
      </c>
      <c r="B63" s="1">
        <v>45094</v>
      </c>
      <c r="C63" t="s">
        <v>12</v>
      </c>
      <c r="D63" t="s">
        <v>13</v>
      </c>
      <c r="E63">
        <v>1500</v>
      </c>
      <c r="F63" t="s">
        <v>21</v>
      </c>
      <c r="G63" t="s">
        <v>28</v>
      </c>
      <c r="H63" t="s">
        <v>33</v>
      </c>
      <c r="I63" t="s">
        <v>34</v>
      </c>
      <c r="J63" t="s">
        <v>18</v>
      </c>
      <c r="K63">
        <v>0</v>
      </c>
      <c r="L6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63">
        <f>GhanaStream[[#This Row],[Subscription Fee]]-(GhanaStream[[#This Row],[Discount]]*GhanaStream[[#This Row],[Subscription Fee]])</f>
        <v>1500</v>
      </c>
      <c r="N63" t="str">
        <f>IF(GhanaStream[[#This Row],[Churn Flag]]="Yes","Churned","Retained")</f>
        <v>Retained</v>
      </c>
    </row>
    <row r="64" spans="1:14" x14ac:dyDescent="0.25">
      <c r="A64" t="s">
        <v>102</v>
      </c>
      <c r="B64" s="1">
        <v>45417</v>
      </c>
      <c r="C64" t="s">
        <v>31</v>
      </c>
      <c r="D64" t="s">
        <v>27</v>
      </c>
      <c r="E64">
        <v>10800</v>
      </c>
      <c r="F64" t="s">
        <v>21</v>
      </c>
      <c r="G64" t="s">
        <v>24</v>
      </c>
      <c r="H64" t="s">
        <v>33</v>
      </c>
      <c r="I64" t="s">
        <v>34</v>
      </c>
      <c r="J64" t="s">
        <v>18</v>
      </c>
      <c r="K64">
        <v>0.1</v>
      </c>
      <c r="L6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64">
        <f>GhanaStream[[#This Row],[Subscription Fee]]-(GhanaStream[[#This Row],[Discount]]*GhanaStream[[#This Row],[Subscription Fee]])</f>
        <v>9720</v>
      </c>
      <c r="N64" t="str">
        <f>IF(GhanaStream[[#This Row],[Churn Flag]]="Yes","Churned","Retained")</f>
        <v>Retained</v>
      </c>
    </row>
    <row r="65" spans="1:14" x14ac:dyDescent="0.25">
      <c r="A65" t="s">
        <v>103</v>
      </c>
      <c r="B65" s="1">
        <v>45017</v>
      </c>
      <c r="C65" t="s">
        <v>12</v>
      </c>
      <c r="D65" t="s">
        <v>27</v>
      </c>
      <c r="E65">
        <v>16200</v>
      </c>
      <c r="F65" t="s">
        <v>21</v>
      </c>
      <c r="G65" t="s">
        <v>24</v>
      </c>
      <c r="H65" t="s">
        <v>16</v>
      </c>
      <c r="I65" t="s">
        <v>17</v>
      </c>
      <c r="J65" t="s">
        <v>22</v>
      </c>
      <c r="K65">
        <v>0.1</v>
      </c>
      <c r="L6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65">
        <f>GhanaStream[[#This Row],[Subscription Fee]]-(GhanaStream[[#This Row],[Discount]]*GhanaStream[[#This Row],[Subscription Fee]])</f>
        <v>14580</v>
      </c>
      <c r="N65" t="str">
        <f>IF(GhanaStream[[#This Row],[Churn Flag]]="Yes","Churned","Retained")</f>
        <v>Churned</v>
      </c>
    </row>
    <row r="66" spans="1:14" x14ac:dyDescent="0.25">
      <c r="A66" t="s">
        <v>104</v>
      </c>
      <c r="B66" s="1">
        <v>45272</v>
      </c>
      <c r="C66" t="s">
        <v>12</v>
      </c>
      <c r="D66" t="s">
        <v>27</v>
      </c>
      <c r="E66">
        <v>16200</v>
      </c>
      <c r="F66" t="s">
        <v>14</v>
      </c>
      <c r="G66" t="s">
        <v>24</v>
      </c>
      <c r="H66" t="s">
        <v>33</v>
      </c>
      <c r="I66" t="s">
        <v>34</v>
      </c>
      <c r="J66" t="s">
        <v>22</v>
      </c>
      <c r="K66">
        <v>0.1</v>
      </c>
      <c r="L6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66">
        <f>GhanaStream[[#This Row],[Subscription Fee]]-(GhanaStream[[#This Row],[Discount]]*GhanaStream[[#This Row],[Subscription Fee]])</f>
        <v>14580</v>
      </c>
      <c r="N66" t="str">
        <f>IF(GhanaStream[[#This Row],[Churn Flag]]="Yes","Churned","Retained")</f>
        <v>Retained</v>
      </c>
    </row>
    <row r="67" spans="1:14" x14ac:dyDescent="0.25">
      <c r="A67" t="s">
        <v>105</v>
      </c>
      <c r="B67" s="1">
        <v>45438</v>
      </c>
      <c r="C67" t="s">
        <v>20</v>
      </c>
      <c r="D67" t="s">
        <v>27</v>
      </c>
      <c r="E67">
        <v>5400</v>
      </c>
      <c r="F67" t="s">
        <v>49</v>
      </c>
      <c r="G67" t="s">
        <v>24</v>
      </c>
      <c r="H67" t="s">
        <v>33</v>
      </c>
      <c r="I67" t="s">
        <v>34</v>
      </c>
      <c r="J67" t="s">
        <v>18</v>
      </c>
      <c r="K67">
        <v>0.1</v>
      </c>
      <c r="L6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67">
        <f>GhanaStream[[#This Row],[Subscription Fee]]-(GhanaStream[[#This Row],[Discount]]*GhanaStream[[#This Row],[Subscription Fee]])</f>
        <v>4860</v>
      </c>
      <c r="N67" t="str">
        <f>IF(GhanaStream[[#This Row],[Churn Flag]]="Yes","Churned","Retained")</f>
        <v>Retained</v>
      </c>
    </row>
    <row r="68" spans="1:14" x14ac:dyDescent="0.25">
      <c r="A68" t="s">
        <v>106</v>
      </c>
      <c r="B68" s="1">
        <v>45290</v>
      </c>
      <c r="C68" t="s">
        <v>12</v>
      </c>
      <c r="D68" t="s">
        <v>27</v>
      </c>
      <c r="E68">
        <v>16200</v>
      </c>
      <c r="F68" t="s">
        <v>21</v>
      </c>
      <c r="G68" t="s">
        <v>28</v>
      </c>
      <c r="H68" t="s">
        <v>33</v>
      </c>
      <c r="I68" t="s">
        <v>34</v>
      </c>
      <c r="J68" t="s">
        <v>29</v>
      </c>
      <c r="K68">
        <v>0.1</v>
      </c>
      <c r="L6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68">
        <f>GhanaStream[[#This Row],[Subscription Fee]]-(GhanaStream[[#This Row],[Discount]]*GhanaStream[[#This Row],[Subscription Fee]])</f>
        <v>14580</v>
      </c>
      <c r="N68" t="str">
        <f>IF(GhanaStream[[#This Row],[Churn Flag]]="Yes","Churned","Retained")</f>
        <v>Retained</v>
      </c>
    </row>
    <row r="69" spans="1:14" x14ac:dyDescent="0.25">
      <c r="A69" t="s">
        <v>107</v>
      </c>
      <c r="B69" s="1">
        <v>45376</v>
      </c>
      <c r="C69" t="s">
        <v>12</v>
      </c>
      <c r="D69" t="s">
        <v>27</v>
      </c>
      <c r="E69">
        <v>16200</v>
      </c>
      <c r="F69" t="s">
        <v>14</v>
      </c>
      <c r="G69" t="s">
        <v>15</v>
      </c>
      <c r="H69" t="s">
        <v>16</v>
      </c>
      <c r="I69" t="s">
        <v>17</v>
      </c>
      <c r="J69" t="s">
        <v>18</v>
      </c>
      <c r="K69">
        <v>0.1</v>
      </c>
      <c r="L6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69">
        <f>GhanaStream[[#This Row],[Subscription Fee]]-(GhanaStream[[#This Row],[Discount]]*GhanaStream[[#This Row],[Subscription Fee]])</f>
        <v>14580</v>
      </c>
      <c r="N69" t="str">
        <f>IF(GhanaStream[[#This Row],[Churn Flag]]="Yes","Churned","Retained")</f>
        <v>Churned</v>
      </c>
    </row>
    <row r="70" spans="1:14" x14ac:dyDescent="0.25">
      <c r="A70" t="s">
        <v>108</v>
      </c>
      <c r="B70" s="1">
        <v>45240</v>
      </c>
      <c r="C70" t="s">
        <v>12</v>
      </c>
      <c r="D70" t="s">
        <v>27</v>
      </c>
      <c r="E70">
        <v>16200</v>
      </c>
      <c r="F70" t="s">
        <v>21</v>
      </c>
      <c r="G70" t="s">
        <v>28</v>
      </c>
      <c r="H70" t="s">
        <v>33</v>
      </c>
      <c r="I70" t="s">
        <v>34</v>
      </c>
      <c r="J70" t="s">
        <v>25</v>
      </c>
      <c r="K70">
        <v>0.1</v>
      </c>
      <c r="L7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70">
        <f>GhanaStream[[#This Row],[Subscription Fee]]-(GhanaStream[[#This Row],[Discount]]*GhanaStream[[#This Row],[Subscription Fee]])</f>
        <v>14580</v>
      </c>
      <c r="N70" t="str">
        <f>IF(GhanaStream[[#This Row],[Churn Flag]]="Yes","Churned","Retained")</f>
        <v>Retained</v>
      </c>
    </row>
    <row r="71" spans="1:14" x14ac:dyDescent="0.25">
      <c r="A71" t="s">
        <v>109</v>
      </c>
      <c r="B71" s="1">
        <v>45140</v>
      </c>
      <c r="C71" t="s">
        <v>20</v>
      </c>
      <c r="D71" t="s">
        <v>27</v>
      </c>
      <c r="E71">
        <v>5400</v>
      </c>
      <c r="F71" t="s">
        <v>21</v>
      </c>
      <c r="G71" t="s">
        <v>24</v>
      </c>
      <c r="H71" t="s">
        <v>16</v>
      </c>
      <c r="I71" t="s">
        <v>17</v>
      </c>
      <c r="J71" t="s">
        <v>29</v>
      </c>
      <c r="K71">
        <v>0.1</v>
      </c>
      <c r="L7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71">
        <f>GhanaStream[[#This Row],[Subscription Fee]]-(GhanaStream[[#This Row],[Discount]]*GhanaStream[[#This Row],[Subscription Fee]])</f>
        <v>4860</v>
      </c>
      <c r="N71" t="str">
        <f>IF(GhanaStream[[#This Row],[Churn Flag]]="Yes","Churned","Retained")</f>
        <v>Churned</v>
      </c>
    </row>
    <row r="72" spans="1:14" x14ac:dyDescent="0.25">
      <c r="A72" t="s">
        <v>110</v>
      </c>
      <c r="B72" s="1">
        <v>45460</v>
      </c>
      <c r="C72" t="s">
        <v>31</v>
      </c>
      <c r="D72" t="s">
        <v>13</v>
      </c>
      <c r="E72">
        <v>1000</v>
      </c>
      <c r="F72" t="s">
        <v>49</v>
      </c>
      <c r="G72" t="s">
        <v>24</v>
      </c>
      <c r="H72" t="s">
        <v>16</v>
      </c>
      <c r="I72" t="s">
        <v>17</v>
      </c>
      <c r="J72" t="s">
        <v>58</v>
      </c>
      <c r="K72">
        <v>0</v>
      </c>
      <c r="L7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72">
        <f>GhanaStream[[#This Row],[Subscription Fee]]-(GhanaStream[[#This Row],[Discount]]*GhanaStream[[#This Row],[Subscription Fee]])</f>
        <v>1000</v>
      </c>
      <c r="N72" t="str">
        <f>IF(GhanaStream[[#This Row],[Churn Flag]]="Yes","Churned","Retained")</f>
        <v>Churned</v>
      </c>
    </row>
    <row r="73" spans="1:14" x14ac:dyDescent="0.25">
      <c r="A73" t="s">
        <v>111</v>
      </c>
      <c r="B73" s="1">
        <v>45380</v>
      </c>
      <c r="C73" t="s">
        <v>12</v>
      </c>
      <c r="D73" t="s">
        <v>27</v>
      </c>
      <c r="E73">
        <v>16200</v>
      </c>
      <c r="F73" t="s">
        <v>32</v>
      </c>
      <c r="G73" t="s">
        <v>15</v>
      </c>
      <c r="H73" t="s">
        <v>16</v>
      </c>
      <c r="I73" t="s">
        <v>17</v>
      </c>
      <c r="J73" t="s">
        <v>39</v>
      </c>
      <c r="K73">
        <v>0.1</v>
      </c>
      <c r="L7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73">
        <f>GhanaStream[[#This Row],[Subscription Fee]]-(GhanaStream[[#This Row],[Discount]]*GhanaStream[[#This Row],[Subscription Fee]])</f>
        <v>14580</v>
      </c>
      <c r="N73" t="str">
        <f>IF(GhanaStream[[#This Row],[Churn Flag]]="Yes","Churned","Retained")</f>
        <v>Churned</v>
      </c>
    </row>
    <row r="74" spans="1:14" x14ac:dyDescent="0.25">
      <c r="A74" t="s">
        <v>112</v>
      </c>
      <c r="B74" s="1">
        <v>45302</v>
      </c>
      <c r="C74" t="s">
        <v>12</v>
      </c>
      <c r="D74" t="s">
        <v>13</v>
      </c>
      <c r="E74">
        <v>1500</v>
      </c>
      <c r="F74" t="s">
        <v>32</v>
      </c>
      <c r="G74" t="s">
        <v>28</v>
      </c>
      <c r="H74" t="s">
        <v>16</v>
      </c>
      <c r="I74" t="s">
        <v>17</v>
      </c>
      <c r="J74" t="s">
        <v>44</v>
      </c>
      <c r="K74">
        <v>0</v>
      </c>
      <c r="L7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74">
        <f>GhanaStream[[#This Row],[Subscription Fee]]-(GhanaStream[[#This Row],[Discount]]*GhanaStream[[#This Row],[Subscription Fee]])</f>
        <v>1500</v>
      </c>
      <c r="N74" t="str">
        <f>IF(GhanaStream[[#This Row],[Churn Flag]]="Yes","Churned","Retained")</f>
        <v>Churned</v>
      </c>
    </row>
    <row r="75" spans="1:14" x14ac:dyDescent="0.25">
      <c r="A75" t="s">
        <v>113</v>
      </c>
      <c r="B75" s="1">
        <v>45381</v>
      </c>
      <c r="C75" t="s">
        <v>12</v>
      </c>
      <c r="D75" t="s">
        <v>27</v>
      </c>
      <c r="E75">
        <v>16200</v>
      </c>
      <c r="F75" t="s">
        <v>49</v>
      </c>
      <c r="G75" t="s">
        <v>28</v>
      </c>
      <c r="H75" t="s">
        <v>16</v>
      </c>
      <c r="I75" t="s">
        <v>17</v>
      </c>
      <c r="J75" t="s">
        <v>35</v>
      </c>
      <c r="K75">
        <v>0.1</v>
      </c>
      <c r="L7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75">
        <f>GhanaStream[[#This Row],[Subscription Fee]]-(GhanaStream[[#This Row],[Discount]]*GhanaStream[[#This Row],[Subscription Fee]])</f>
        <v>14580</v>
      </c>
      <c r="N75" t="str">
        <f>IF(GhanaStream[[#This Row],[Churn Flag]]="Yes","Churned","Retained")</f>
        <v>Churned</v>
      </c>
    </row>
    <row r="76" spans="1:14" x14ac:dyDescent="0.25">
      <c r="A76" t="s">
        <v>114</v>
      </c>
      <c r="B76" s="1">
        <v>45535</v>
      </c>
      <c r="C76" t="s">
        <v>31</v>
      </c>
      <c r="D76" t="s">
        <v>13</v>
      </c>
      <c r="E76">
        <v>1000</v>
      </c>
      <c r="F76" t="s">
        <v>14</v>
      </c>
      <c r="G76" t="s">
        <v>28</v>
      </c>
      <c r="H76" t="s">
        <v>33</v>
      </c>
      <c r="I76" t="s">
        <v>34</v>
      </c>
      <c r="J76" t="s">
        <v>18</v>
      </c>
      <c r="K76">
        <v>0</v>
      </c>
      <c r="L7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76">
        <f>GhanaStream[[#This Row],[Subscription Fee]]-(GhanaStream[[#This Row],[Discount]]*GhanaStream[[#This Row],[Subscription Fee]])</f>
        <v>1000</v>
      </c>
      <c r="N76" t="str">
        <f>IF(GhanaStream[[#This Row],[Churn Flag]]="Yes","Churned","Retained")</f>
        <v>Retained</v>
      </c>
    </row>
    <row r="77" spans="1:14" x14ac:dyDescent="0.25">
      <c r="A77" t="s">
        <v>115</v>
      </c>
      <c r="B77" s="1">
        <v>45381</v>
      </c>
      <c r="C77" t="s">
        <v>20</v>
      </c>
      <c r="D77" t="s">
        <v>13</v>
      </c>
      <c r="E77">
        <v>500</v>
      </c>
      <c r="F77" t="s">
        <v>32</v>
      </c>
      <c r="G77" t="s">
        <v>24</v>
      </c>
      <c r="H77" t="s">
        <v>33</v>
      </c>
      <c r="I77" t="s">
        <v>34</v>
      </c>
      <c r="J77" t="s">
        <v>25</v>
      </c>
      <c r="K77">
        <v>0</v>
      </c>
      <c r="L7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77">
        <f>GhanaStream[[#This Row],[Subscription Fee]]-(GhanaStream[[#This Row],[Discount]]*GhanaStream[[#This Row],[Subscription Fee]])</f>
        <v>500</v>
      </c>
      <c r="N77" t="str">
        <f>IF(GhanaStream[[#This Row],[Churn Flag]]="Yes","Churned","Retained")</f>
        <v>Retained</v>
      </c>
    </row>
    <row r="78" spans="1:14" x14ac:dyDescent="0.25">
      <c r="A78" t="s">
        <v>116</v>
      </c>
      <c r="B78" s="1">
        <v>45330</v>
      </c>
      <c r="C78" t="s">
        <v>20</v>
      </c>
      <c r="D78" t="s">
        <v>13</v>
      </c>
      <c r="E78">
        <v>500</v>
      </c>
      <c r="F78" t="s">
        <v>14</v>
      </c>
      <c r="G78" t="s">
        <v>28</v>
      </c>
      <c r="H78" t="s">
        <v>16</v>
      </c>
      <c r="I78" t="s">
        <v>17</v>
      </c>
      <c r="J78" t="s">
        <v>55</v>
      </c>
      <c r="K78">
        <v>0</v>
      </c>
      <c r="L7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78">
        <f>GhanaStream[[#This Row],[Subscription Fee]]-(GhanaStream[[#This Row],[Discount]]*GhanaStream[[#This Row],[Subscription Fee]])</f>
        <v>500</v>
      </c>
      <c r="N78" t="str">
        <f>IF(GhanaStream[[#This Row],[Churn Flag]]="Yes","Churned","Retained")</f>
        <v>Churned</v>
      </c>
    </row>
    <row r="79" spans="1:14" x14ac:dyDescent="0.25">
      <c r="A79" t="s">
        <v>117</v>
      </c>
      <c r="B79" s="1">
        <v>45619</v>
      </c>
      <c r="C79" t="s">
        <v>12</v>
      </c>
      <c r="D79" t="s">
        <v>27</v>
      </c>
      <c r="E79">
        <v>16200</v>
      </c>
      <c r="F79" t="s">
        <v>21</v>
      </c>
      <c r="G79" t="s">
        <v>28</v>
      </c>
      <c r="H79" t="s">
        <v>33</v>
      </c>
      <c r="I79" t="s">
        <v>34</v>
      </c>
      <c r="J79" t="s">
        <v>22</v>
      </c>
      <c r="K79">
        <v>0.1</v>
      </c>
      <c r="L7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79">
        <f>GhanaStream[[#This Row],[Subscription Fee]]-(GhanaStream[[#This Row],[Discount]]*GhanaStream[[#This Row],[Subscription Fee]])</f>
        <v>14580</v>
      </c>
      <c r="N79" t="str">
        <f>IF(GhanaStream[[#This Row],[Churn Flag]]="Yes","Churned","Retained")</f>
        <v>Retained</v>
      </c>
    </row>
    <row r="80" spans="1:14" x14ac:dyDescent="0.25">
      <c r="A80" t="s">
        <v>118</v>
      </c>
      <c r="B80" s="1">
        <v>45068</v>
      </c>
      <c r="C80" t="s">
        <v>31</v>
      </c>
      <c r="D80" t="s">
        <v>27</v>
      </c>
      <c r="E80">
        <v>10800</v>
      </c>
      <c r="F80" t="s">
        <v>49</v>
      </c>
      <c r="G80" t="s">
        <v>28</v>
      </c>
      <c r="H80" t="s">
        <v>16</v>
      </c>
      <c r="I80" t="s">
        <v>17</v>
      </c>
      <c r="J80" t="s">
        <v>25</v>
      </c>
      <c r="K80">
        <v>0.1</v>
      </c>
      <c r="L8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80">
        <f>GhanaStream[[#This Row],[Subscription Fee]]-(GhanaStream[[#This Row],[Discount]]*GhanaStream[[#This Row],[Subscription Fee]])</f>
        <v>9720</v>
      </c>
      <c r="N80" t="str">
        <f>IF(GhanaStream[[#This Row],[Churn Flag]]="Yes","Churned","Retained")</f>
        <v>Churned</v>
      </c>
    </row>
    <row r="81" spans="1:14" x14ac:dyDescent="0.25">
      <c r="A81" t="s">
        <v>119</v>
      </c>
      <c r="B81" s="1">
        <v>45617</v>
      </c>
      <c r="C81" t="s">
        <v>31</v>
      </c>
      <c r="D81" t="s">
        <v>27</v>
      </c>
      <c r="E81">
        <v>10800</v>
      </c>
      <c r="F81" t="s">
        <v>14</v>
      </c>
      <c r="G81" t="s">
        <v>24</v>
      </c>
      <c r="H81" t="s">
        <v>33</v>
      </c>
      <c r="I81" t="s">
        <v>34</v>
      </c>
      <c r="J81" t="s">
        <v>37</v>
      </c>
      <c r="K81">
        <v>0.1</v>
      </c>
      <c r="L8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81">
        <f>GhanaStream[[#This Row],[Subscription Fee]]-(GhanaStream[[#This Row],[Discount]]*GhanaStream[[#This Row],[Subscription Fee]])</f>
        <v>9720</v>
      </c>
      <c r="N81" t="str">
        <f>IF(GhanaStream[[#This Row],[Churn Flag]]="Yes","Churned","Retained")</f>
        <v>Retained</v>
      </c>
    </row>
    <row r="82" spans="1:14" x14ac:dyDescent="0.25">
      <c r="A82" t="s">
        <v>120</v>
      </c>
      <c r="B82" s="1">
        <v>45249</v>
      </c>
      <c r="C82" t="s">
        <v>31</v>
      </c>
      <c r="D82" t="s">
        <v>27</v>
      </c>
      <c r="E82">
        <v>10800</v>
      </c>
      <c r="F82" t="s">
        <v>21</v>
      </c>
      <c r="G82" t="s">
        <v>28</v>
      </c>
      <c r="H82" t="s">
        <v>16</v>
      </c>
      <c r="I82" t="s">
        <v>17</v>
      </c>
      <c r="J82" t="s">
        <v>18</v>
      </c>
      <c r="K82">
        <v>0.1</v>
      </c>
      <c r="L8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82">
        <f>GhanaStream[[#This Row],[Subscription Fee]]-(GhanaStream[[#This Row],[Discount]]*GhanaStream[[#This Row],[Subscription Fee]])</f>
        <v>9720</v>
      </c>
      <c r="N82" t="str">
        <f>IF(GhanaStream[[#This Row],[Churn Flag]]="Yes","Churned","Retained")</f>
        <v>Churned</v>
      </c>
    </row>
    <row r="83" spans="1:14" x14ac:dyDescent="0.25">
      <c r="A83" t="s">
        <v>121</v>
      </c>
      <c r="B83" s="1">
        <v>45231</v>
      </c>
      <c r="C83" t="s">
        <v>20</v>
      </c>
      <c r="D83" t="s">
        <v>13</v>
      </c>
      <c r="E83">
        <v>500</v>
      </c>
      <c r="F83" t="s">
        <v>14</v>
      </c>
      <c r="G83" t="s">
        <v>24</v>
      </c>
      <c r="H83" t="s">
        <v>33</v>
      </c>
      <c r="I83" t="s">
        <v>34</v>
      </c>
      <c r="J83" t="s">
        <v>37</v>
      </c>
      <c r="K83">
        <v>0</v>
      </c>
      <c r="L8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83">
        <f>GhanaStream[[#This Row],[Subscription Fee]]-(GhanaStream[[#This Row],[Discount]]*GhanaStream[[#This Row],[Subscription Fee]])</f>
        <v>500</v>
      </c>
      <c r="N83" t="str">
        <f>IF(GhanaStream[[#This Row],[Churn Flag]]="Yes","Churned","Retained")</f>
        <v>Retained</v>
      </c>
    </row>
    <row r="84" spans="1:14" x14ac:dyDescent="0.25">
      <c r="A84" t="s">
        <v>122</v>
      </c>
      <c r="B84" s="1">
        <v>45035</v>
      </c>
      <c r="C84" t="s">
        <v>12</v>
      </c>
      <c r="D84" t="s">
        <v>27</v>
      </c>
      <c r="E84">
        <v>16200</v>
      </c>
      <c r="F84" t="s">
        <v>21</v>
      </c>
      <c r="G84" t="s">
        <v>24</v>
      </c>
      <c r="H84" t="s">
        <v>33</v>
      </c>
      <c r="I84" t="s">
        <v>34</v>
      </c>
      <c r="J84" t="s">
        <v>29</v>
      </c>
      <c r="K84">
        <v>0.1</v>
      </c>
      <c r="L8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84">
        <f>GhanaStream[[#This Row],[Subscription Fee]]-(GhanaStream[[#This Row],[Discount]]*GhanaStream[[#This Row],[Subscription Fee]])</f>
        <v>14580</v>
      </c>
      <c r="N84" t="str">
        <f>IF(GhanaStream[[#This Row],[Churn Flag]]="Yes","Churned","Retained")</f>
        <v>Retained</v>
      </c>
    </row>
    <row r="85" spans="1:14" x14ac:dyDescent="0.25">
      <c r="A85" t="s">
        <v>123</v>
      </c>
      <c r="B85" s="1">
        <v>45330</v>
      </c>
      <c r="C85" t="s">
        <v>12</v>
      </c>
      <c r="D85" t="s">
        <v>13</v>
      </c>
      <c r="E85">
        <v>1500</v>
      </c>
      <c r="F85" t="s">
        <v>14</v>
      </c>
      <c r="G85" t="s">
        <v>24</v>
      </c>
      <c r="H85" t="s">
        <v>33</v>
      </c>
      <c r="I85" t="s">
        <v>34</v>
      </c>
      <c r="J85" t="s">
        <v>55</v>
      </c>
      <c r="K85">
        <v>0</v>
      </c>
      <c r="L8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85">
        <f>GhanaStream[[#This Row],[Subscription Fee]]-(GhanaStream[[#This Row],[Discount]]*GhanaStream[[#This Row],[Subscription Fee]])</f>
        <v>1500</v>
      </c>
      <c r="N85" t="str">
        <f>IF(GhanaStream[[#This Row],[Churn Flag]]="Yes","Churned","Retained")</f>
        <v>Retained</v>
      </c>
    </row>
    <row r="86" spans="1:14" x14ac:dyDescent="0.25">
      <c r="A86" t="s">
        <v>124</v>
      </c>
      <c r="B86" s="1">
        <v>45211</v>
      </c>
      <c r="C86" t="s">
        <v>31</v>
      </c>
      <c r="D86" t="s">
        <v>27</v>
      </c>
      <c r="E86">
        <v>10800</v>
      </c>
      <c r="F86" t="s">
        <v>49</v>
      </c>
      <c r="G86" t="s">
        <v>28</v>
      </c>
      <c r="H86" t="s">
        <v>16</v>
      </c>
      <c r="I86" t="s">
        <v>17</v>
      </c>
      <c r="J86" t="s">
        <v>25</v>
      </c>
      <c r="K86">
        <v>0.1</v>
      </c>
      <c r="L8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86">
        <f>GhanaStream[[#This Row],[Subscription Fee]]-(GhanaStream[[#This Row],[Discount]]*GhanaStream[[#This Row],[Subscription Fee]])</f>
        <v>9720</v>
      </c>
      <c r="N86" t="str">
        <f>IF(GhanaStream[[#This Row],[Churn Flag]]="Yes","Churned","Retained")</f>
        <v>Churned</v>
      </c>
    </row>
    <row r="87" spans="1:14" x14ac:dyDescent="0.25">
      <c r="A87" t="s">
        <v>125</v>
      </c>
      <c r="B87" s="1">
        <v>45385</v>
      </c>
      <c r="C87" t="s">
        <v>31</v>
      </c>
      <c r="D87" t="s">
        <v>13</v>
      </c>
      <c r="E87">
        <v>1000</v>
      </c>
      <c r="F87" t="s">
        <v>49</v>
      </c>
      <c r="G87" t="s">
        <v>15</v>
      </c>
      <c r="H87" t="s">
        <v>16</v>
      </c>
      <c r="I87" t="s">
        <v>17</v>
      </c>
      <c r="J87" t="s">
        <v>35</v>
      </c>
      <c r="K87">
        <v>0</v>
      </c>
      <c r="L8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87">
        <f>GhanaStream[[#This Row],[Subscription Fee]]-(GhanaStream[[#This Row],[Discount]]*GhanaStream[[#This Row],[Subscription Fee]])</f>
        <v>1000</v>
      </c>
      <c r="N87" t="str">
        <f>IF(GhanaStream[[#This Row],[Churn Flag]]="Yes","Churned","Retained")</f>
        <v>Churned</v>
      </c>
    </row>
    <row r="88" spans="1:14" x14ac:dyDescent="0.25">
      <c r="A88" t="s">
        <v>126</v>
      </c>
      <c r="B88" s="1">
        <v>45648</v>
      </c>
      <c r="C88" t="s">
        <v>20</v>
      </c>
      <c r="D88" t="s">
        <v>13</v>
      </c>
      <c r="E88">
        <v>500</v>
      </c>
      <c r="F88" t="s">
        <v>14</v>
      </c>
      <c r="G88" t="s">
        <v>28</v>
      </c>
      <c r="H88" t="s">
        <v>16</v>
      </c>
      <c r="I88" t="s">
        <v>17</v>
      </c>
      <c r="J88" t="s">
        <v>55</v>
      </c>
      <c r="K88">
        <v>0</v>
      </c>
      <c r="L8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88">
        <f>GhanaStream[[#This Row],[Subscription Fee]]-(GhanaStream[[#This Row],[Discount]]*GhanaStream[[#This Row],[Subscription Fee]])</f>
        <v>500</v>
      </c>
      <c r="N88" t="str">
        <f>IF(GhanaStream[[#This Row],[Churn Flag]]="Yes","Churned","Retained")</f>
        <v>Churned</v>
      </c>
    </row>
    <row r="89" spans="1:14" x14ac:dyDescent="0.25">
      <c r="A89" t="s">
        <v>127</v>
      </c>
      <c r="B89" s="1">
        <v>45104</v>
      </c>
      <c r="C89" t="s">
        <v>12</v>
      </c>
      <c r="D89" t="s">
        <v>13</v>
      </c>
      <c r="E89">
        <v>1500</v>
      </c>
      <c r="F89" t="s">
        <v>49</v>
      </c>
      <c r="G89" t="s">
        <v>15</v>
      </c>
      <c r="H89" t="s">
        <v>16</v>
      </c>
      <c r="I89" t="s">
        <v>17</v>
      </c>
      <c r="J89" t="s">
        <v>35</v>
      </c>
      <c r="K89">
        <v>0</v>
      </c>
      <c r="L8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89">
        <f>GhanaStream[[#This Row],[Subscription Fee]]-(GhanaStream[[#This Row],[Discount]]*GhanaStream[[#This Row],[Subscription Fee]])</f>
        <v>1500</v>
      </c>
      <c r="N89" t="str">
        <f>IF(GhanaStream[[#This Row],[Churn Flag]]="Yes","Churned","Retained")</f>
        <v>Churned</v>
      </c>
    </row>
    <row r="90" spans="1:14" x14ac:dyDescent="0.25">
      <c r="A90" t="s">
        <v>128</v>
      </c>
      <c r="B90" s="1">
        <v>45370</v>
      </c>
      <c r="C90" t="s">
        <v>12</v>
      </c>
      <c r="D90" t="s">
        <v>27</v>
      </c>
      <c r="E90">
        <v>16200</v>
      </c>
      <c r="F90" t="s">
        <v>21</v>
      </c>
      <c r="G90" t="s">
        <v>24</v>
      </c>
      <c r="H90" t="s">
        <v>33</v>
      </c>
      <c r="I90" t="s">
        <v>34</v>
      </c>
      <c r="J90" t="s">
        <v>22</v>
      </c>
      <c r="K90">
        <v>0.1</v>
      </c>
      <c r="L9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90">
        <f>GhanaStream[[#This Row],[Subscription Fee]]-(GhanaStream[[#This Row],[Discount]]*GhanaStream[[#This Row],[Subscription Fee]])</f>
        <v>14580</v>
      </c>
      <c r="N90" t="str">
        <f>IF(GhanaStream[[#This Row],[Churn Flag]]="Yes","Churned","Retained")</f>
        <v>Retained</v>
      </c>
    </row>
    <row r="91" spans="1:14" x14ac:dyDescent="0.25">
      <c r="A91" t="s">
        <v>129</v>
      </c>
      <c r="B91" s="1">
        <v>45518</v>
      </c>
      <c r="C91" t="s">
        <v>12</v>
      </c>
      <c r="D91" t="s">
        <v>27</v>
      </c>
      <c r="E91">
        <v>16200</v>
      </c>
      <c r="F91" t="s">
        <v>21</v>
      </c>
      <c r="G91" t="s">
        <v>15</v>
      </c>
      <c r="H91" t="s">
        <v>16</v>
      </c>
      <c r="I91" t="s">
        <v>17</v>
      </c>
      <c r="J91" t="s">
        <v>25</v>
      </c>
      <c r="K91">
        <v>0.1</v>
      </c>
      <c r="L9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91">
        <f>GhanaStream[[#This Row],[Subscription Fee]]-(GhanaStream[[#This Row],[Discount]]*GhanaStream[[#This Row],[Subscription Fee]])</f>
        <v>14580</v>
      </c>
      <c r="N91" t="str">
        <f>IF(GhanaStream[[#This Row],[Churn Flag]]="Yes","Churned","Retained")</f>
        <v>Churned</v>
      </c>
    </row>
    <row r="92" spans="1:14" x14ac:dyDescent="0.25">
      <c r="A92" t="s">
        <v>130</v>
      </c>
      <c r="B92" s="1">
        <v>45324</v>
      </c>
      <c r="C92" t="s">
        <v>12</v>
      </c>
      <c r="D92" t="s">
        <v>13</v>
      </c>
      <c r="E92">
        <v>1500</v>
      </c>
      <c r="F92" t="s">
        <v>32</v>
      </c>
      <c r="G92" t="s">
        <v>24</v>
      </c>
      <c r="H92" t="s">
        <v>33</v>
      </c>
      <c r="I92" t="s">
        <v>34</v>
      </c>
      <c r="J92" t="s">
        <v>25</v>
      </c>
      <c r="K92">
        <v>0</v>
      </c>
      <c r="L9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92">
        <f>GhanaStream[[#This Row],[Subscription Fee]]-(GhanaStream[[#This Row],[Discount]]*GhanaStream[[#This Row],[Subscription Fee]])</f>
        <v>1500</v>
      </c>
      <c r="N92" t="str">
        <f>IF(GhanaStream[[#This Row],[Churn Flag]]="Yes","Churned","Retained")</f>
        <v>Retained</v>
      </c>
    </row>
    <row r="93" spans="1:14" x14ac:dyDescent="0.25">
      <c r="A93" t="s">
        <v>131</v>
      </c>
      <c r="B93" s="1">
        <v>45553</v>
      </c>
      <c r="C93" t="s">
        <v>20</v>
      </c>
      <c r="D93" t="s">
        <v>13</v>
      </c>
      <c r="E93">
        <v>500</v>
      </c>
      <c r="F93" t="s">
        <v>14</v>
      </c>
      <c r="G93" t="s">
        <v>24</v>
      </c>
      <c r="H93" t="s">
        <v>33</v>
      </c>
      <c r="I93" t="s">
        <v>34</v>
      </c>
      <c r="J93" t="s">
        <v>37</v>
      </c>
      <c r="K93">
        <v>0</v>
      </c>
      <c r="L9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93">
        <f>GhanaStream[[#This Row],[Subscription Fee]]-(GhanaStream[[#This Row],[Discount]]*GhanaStream[[#This Row],[Subscription Fee]])</f>
        <v>500</v>
      </c>
      <c r="N93" t="str">
        <f>IF(GhanaStream[[#This Row],[Churn Flag]]="Yes","Churned","Retained")</f>
        <v>Retained</v>
      </c>
    </row>
    <row r="94" spans="1:14" x14ac:dyDescent="0.25">
      <c r="A94" t="s">
        <v>132</v>
      </c>
      <c r="B94" s="1">
        <v>45188</v>
      </c>
      <c r="C94" t="s">
        <v>12</v>
      </c>
      <c r="D94" t="s">
        <v>27</v>
      </c>
      <c r="E94">
        <v>16200</v>
      </c>
      <c r="F94" t="s">
        <v>14</v>
      </c>
      <c r="G94" t="s">
        <v>28</v>
      </c>
      <c r="H94" t="s">
        <v>33</v>
      </c>
      <c r="I94" t="s">
        <v>34</v>
      </c>
      <c r="J94" t="s">
        <v>22</v>
      </c>
      <c r="K94">
        <v>0.1</v>
      </c>
      <c r="L9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94">
        <f>GhanaStream[[#This Row],[Subscription Fee]]-(GhanaStream[[#This Row],[Discount]]*GhanaStream[[#This Row],[Subscription Fee]])</f>
        <v>14580</v>
      </c>
      <c r="N94" t="str">
        <f>IF(GhanaStream[[#This Row],[Churn Flag]]="Yes","Churned","Retained")</f>
        <v>Retained</v>
      </c>
    </row>
    <row r="95" spans="1:14" x14ac:dyDescent="0.25">
      <c r="A95" t="s">
        <v>133</v>
      </c>
      <c r="B95" s="1">
        <v>45486</v>
      </c>
      <c r="C95" t="s">
        <v>20</v>
      </c>
      <c r="D95" t="s">
        <v>13</v>
      </c>
      <c r="E95">
        <v>500</v>
      </c>
      <c r="F95" t="s">
        <v>32</v>
      </c>
      <c r="G95" t="s">
        <v>28</v>
      </c>
      <c r="H95" t="s">
        <v>33</v>
      </c>
      <c r="I95" t="s">
        <v>34</v>
      </c>
      <c r="J95" t="s">
        <v>44</v>
      </c>
      <c r="K95">
        <v>0</v>
      </c>
      <c r="L9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95">
        <f>GhanaStream[[#This Row],[Subscription Fee]]-(GhanaStream[[#This Row],[Discount]]*GhanaStream[[#This Row],[Subscription Fee]])</f>
        <v>500</v>
      </c>
      <c r="N95" t="str">
        <f>IF(GhanaStream[[#This Row],[Churn Flag]]="Yes","Churned","Retained")</f>
        <v>Retained</v>
      </c>
    </row>
    <row r="96" spans="1:14" x14ac:dyDescent="0.25">
      <c r="A96" t="s">
        <v>134</v>
      </c>
      <c r="B96" s="1">
        <v>45189</v>
      </c>
      <c r="C96" t="s">
        <v>31</v>
      </c>
      <c r="D96" t="s">
        <v>27</v>
      </c>
      <c r="E96">
        <v>10800</v>
      </c>
      <c r="F96" t="s">
        <v>49</v>
      </c>
      <c r="G96" t="s">
        <v>28</v>
      </c>
      <c r="H96" t="s">
        <v>16</v>
      </c>
      <c r="I96" t="s">
        <v>17</v>
      </c>
      <c r="J96" t="s">
        <v>22</v>
      </c>
      <c r="K96">
        <v>0.1</v>
      </c>
      <c r="L9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96">
        <f>GhanaStream[[#This Row],[Subscription Fee]]-(GhanaStream[[#This Row],[Discount]]*GhanaStream[[#This Row],[Subscription Fee]])</f>
        <v>9720</v>
      </c>
      <c r="N96" t="str">
        <f>IF(GhanaStream[[#This Row],[Churn Flag]]="Yes","Churned","Retained")</f>
        <v>Churned</v>
      </c>
    </row>
    <row r="97" spans="1:14" x14ac:dyDescent="0.25">
      <c r="A97" t="s">
        <v>135</v>
      </c>
      <c r="B97" s="1">
        <v>45020</v>
      </c>
      <c r="C97" t="s">
        <v>20</v>
      </c>
      <c r="D97" t="s">
        <v>13</v>
      </c>
      <c r="E97">
        <v>500</v>
      </c>
      <c r="F97" t="s">
        <v>14</v>
      </c>
      <c r="G97" t="s">
        <v>28</v>
      </c>
      <c r="H97" t="s">
        <v>33</v>
      </c>
      <c r="I97" t="s">
        <v>34</v>
      </c>
      <c r="J97" t="s">
        <v>55</v>
      </c>
      <c r="K97">
        <v>0</v>
      </c>
      <c r="L9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97">
        <f>GhanaStream[[#This Row],[Subscription Fee]]-(GhanaStream[[#This Row],[Discount]]*GhanaStream[[#This Row],[Subscription Fee]])</f>
        <v>500</v>
      </c>
      <c r="N97" t="str">
        <f>IF(GhanaStream[[#This Row],[Churn Flag]]="Yes","Churned","Retained")</f>
        <v>Retained</v>
      </c>
    </row>
    <row r="98" spans="1:14" x14ac:dyDescent="0.25">
      <c r="A98" t="s">
        <v>136</v>
      </c>
      <c r="B98" s="1">
        <v>45228</v>
      </c>
      <c r="C98" t="s">
        <v>31</v>
      </c>
      <c r="D98" t="s">
        <v>13</v>
      </c>
      <c r="E98">
        <v>1000</v>
      </c>
      <c r="F98" t="s">
        <v>49</v>
      </c>
      <c r="G98" t="s">
        <v>24</v>
      </c>
      <c r="H98" t="s">
        <v>33</v>
      </c>
      <c r="I98" t="s">
        <v>34</v>
      </c>
      <c r="J98" t="s">
        <v>50</v>
      </c>
      <c r="K98">
        <v>0</v>
      </c>
      <c r="L9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98">
        <f>GhanaStream[[#This Row],[Subscription Fee]]-(GhanaStream[[#This Row],[Discount]]*GhanaStream[[#This Row],[Subscription Fee]])</f>
        <v>1000</v>
      </c>
      <c r="N98" t="str">
        <f>IF(GhanaStream[[#This Row],[Churn Flag]]="Yes","Churned","Retained")</f>
        <v>Retained</v>
      </c>
    </row>
    <row r="99" spans="1:14" x14ac:dyDescent="0.25">
      <c r="A99" t="s">
        <v>137</v>
      </c>
      <c r="B99" s="1">
        <v>45532</v>
      </c>
      <c r="C99" t="s">
        <v>31</v>
      </c>
      <c r="D99" t="s">
        <v>27</v>
      </c>
      <c r="E99">
        <v>10800</v>
      </c>
      <c r="F99" t="s">
        <v>14</v>
      </c>
      <c r="G99" t="s">
        <v>28</v>
      </c>
      <c r="H99" t="s">
        <v>33</v>
      </c>
      <c r="I99" t="s">
        <v>34</v>
      </c>
      <c r="J99" t="s">
        <v>55</v>
      </c>
      <c r="K99">
        <v>0.1</v>
      </c>
      <c r="L9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99">
        <f>GhanaStream[[#This Row],[Subscription Fee]]-(GhanaStream[[#This Row],[Discount]]*GhanaStream[[#This Row],[Subscription Fee]])</f>
        <v>9720</v>
      </c>
      <c r="N99" t="str">
        <f>IF(GhanaStream[[#This Row],[Churn Flag]]="Yes","Churned","Retained")</f>
        <v>Retained</v>
      </c>
    </row>
    <row r="100" spans="1:14" x14ac:dyDescent="0.25">
      <c r="A100" t="s">
        <v>138</v>
      </c>
      <c r="B100" s="1">
        <v>45227</v>
      </c>
      <c r="C100" t="s">
        <v>12</v>
      </c>
      <c r="D100" t="s">
        <v>13</v>
      </c>
      <c r="E100">
        <v>1500</v>
      </c>
      <c r="F100" t="s">
        <v>21</v>
      </c>
      <c r="G100" t="s">
        <v>28</v>
      </c>
      <c r="H100" t="s">
        <v>16</v>
      </c>
      <c r="I100" t="s">
        <v>17</v>
      </c>
      <c r="J100" t="s">
        <v>18</v>
      </c>
      <c r="K100">
        <v>0</v>
      </c>
      <c r="L10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00">
        <f>GhanaStream[[#This Row],[Subscription Fee]]-(GhanaStream[[#This Row],[Discount]]*GhanaStream[[#This Row],[Subscription Fee]])</f>
        <v>1500</v>
      </c>
      <c r="N100" t="str">
        <f>IF(GhanaStream[[#This Row],[Churn Flag]]="Yes","Churned","Retained")</f>
        <v>Churned</v>
      </c>
    </row>
    <row r="101" spans="1:14" x14ac:dyDescent="0.25">
      <c r="A101" t="s">
        <v>139</v>
      </c>
      <c r="B101" s="1">
        <v>45094</v>
      </c>
      <c r="C101" t="s">
        <v>20</v>
      </c>
      <c r="D101" t="s">
        <v>27</v>
      </c>
      <c r="E101">
        <v>5400</v>
      </c>
      <c r="F101" t="s">
        <v>32</v>
      </c>
      <c r="G101" t="s">
        <v>28</v>
      </c>
      <c r="H101" t="s">
        <v>16</v>
      </c>
      <c r="I101" t="s">
        <v>17</v>
      </c>
      <c r="J101" t="s">
        <v>25</v>
      </c>
      <c r="K101">
        <v>0.1</v>
      </c>
      <c r="L10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01">
        <f>GhanaStream[[#This Row],[Subscription Fee]]-(GhanaStream[[#This Row],[Discount]]*GhanaStream[[#This Row],[Subscription Fee]])</f>
        <v>4860</v>
      </c>
      <c r="N101" t="str">
        <f>IF(GhanaStream[[#This Row],[Churn Flag]]="Yes","Churned","Retained")</f>
        <v>Churned</v>
      </c>
    </row>
    <row r="102" spans="1:14" x14ac:dyDescent="0.25">
      <c r="A102" t="s">
        <v>140</v>
      </c>
      <c r="B102" s="1">
        <v>45022</v>
      </c>
      <c r="C102" t="s">
        <v>31</v>
      </c>
      <c r="D102" t="s">
        <v>27</v>
      </c>
      <c r="E102">
        <v>10800</v>
      </c>
      <c r="F102" t="s">
        <v>32</v>
      </c>
      <c r="G102" t="s">
        <v>28</v>
      </c>
      <c r="H102" t="s">
        <v>16</v>
      </c>
      <c r="I102" t="s">
        <v>17</v>
      </c>
      <c r="J102" t="s">
        <v>25</v>
      </c>
      <c r="K102">
        <v>0.1</v>
      </c>
      <c r="L10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02">
        <f>GhanaStream[[#This Row],[Subscription Fee]]-(GhanaStream[[#This Row],[Discount]]*GhanaStream[[#This Row],[Subscription Fee]])</f>
        <v>9720</v>
      </c>
      <c r="N102" t="str">
        <f>IF(GhanaStream[[#This Row],[Churn Flag]]="Yes","Churned","Retained")</f>
        <v>Churned</v>
      </c>
    </row>
    <row r="103" spans="1:14" x14ac:dyDescent="0.25">
      <c r="A103" t="s">
        <v>141</v>
      </c>
      <c r="B103" s="1">
        <v>44999</v>
      </c>
      <c r="C103" t="s">
        <v>12</v>
      </c>
      <c r="D103" t="s">
        <v>27</v>
      </c>
      <c r="E103">
        <v>16200</v>
      </c>
      <c r="F103" t="s">
        <v>32</v>
      </c>
      <c r="G103" t="s">
        <v>28</v>
      </c>
      <c r="H103" t="s">
        <v>16</v>
      </c>
      <c r="I103" t="s">
        <v>17</v>
      </c>
      <c r="J103" t="s">
        <v>66</v>
      </c>
      <c r="K103">
        <v>0.1</v>
      </c>
      <c r="L10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03">
        <f>GhanaStream[[#This Row],[Subscription Fee]]-(GhanaStream[[#This Row],[Discount]]*GhanaStream[[#This Row],[Subscription Fee]])</f>
        <v>14580</v>
      </c>
      <c r="N103" t="str">
        <f>IF(GhanaStream[[#This Row],[Churn Flag]]="Yes","Churned","Retained")</f>
        <v>Churned</v>
      </c>
    </row>
    <row r="104" spans="1:14" x14ac:dyDescent="0.25">
      <c r="A104" t="s">
        <v>142</v>
      </c>
      <c r="B104" s="1">
        <v>45496</v>
      </c>
      <c r="C104" t="s">
        <v>12</v>
      </c>
      <c r="D104" t="s">
        <v>13</v>
      </c>
      <c r="E104">
        <v>1500</v>
      </c>
      <c r="F104" t="s">
        <v>21</v>
      </c>
      <c r="G104" t="s">
        <v>24</v>
      </c>
      <c r="H104" t="s">
        <v>33</v>
      </c>
      <c r="I104" t="s">
        <v>34</v>
      </c>
      <c r="J104" t="s">
        <v>22</v>
      </c>
      <c r="K104">
        <v>0</v>
      </c>
      <c r="L10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04">
        <f>GhanaStream[[#This Row],[Subscription Fee]]-(GhanaStream[[#This Row],[Discount]]*GhanaStream[[#This Row],[Subscription Fee]])</f>
        <v>1500</v>
      </c>
      <c r="N104" t="str">
        <f>IF(GhanaStream[[#This Row],[Churn Flag]]="Yes","Churned","Retained")</f>
        <v>Retained</v>
      </c>
    </row>
    <row r="105" spans="1:14" x14ac:dyDescent="0.25">
      <c r="A105" t="s">
        <v>143</v>
      </c>
      <c r="B105" s="1">
        <v>44954</v>
      </c>
      <c r="C105" t="s">
        <v>31</v>
      </c>
      <c r="D105" t="s">
        <v>27</v>
      </c>
      <c r="E105">
        <v>10800</v>
      </c>
      <c r="F105" t="s">
        <v>21</v>
      </c>
      <c r="G105" t="s">
        <v>28</v>
      </c>
      <c r="H105" t="s">
        <v>16</v>
      </c>
      <c r="I105" t="s">
        <v>17</v>
      </c>
      <c r="J105" t="s">
        <v>18</v>
      </c>
      <c r="K105">
        <v>0.1</v>
      </c>
      <c r="L10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05">
        <f>GhanaStream[[#This Row],[Subscription Fee]]-(GhanaStream[[#This Row],[Discount]]*GhanaStream[[#This Row],[Subscription Fee]])</f>
        <v>9720</v>
      </c>
      <c r="N105" t="str">
        <f>IF(GhanaStream[[#This Row],[Churn Flag]]="Yes","Churned","Retained")</f>
        <v>Churned</v>
      </c>
    </row>
    <row r="106" spans="1:14" x14ac:dyDescent="0.25">
      <c r="A106" t="s">
        <v>144</v>
      </c>
      <c r="B106" s="1">
        <v>45162</v>
      </c>
      <c r="C106" t="s">
        <v>12</v>
      </c>
      <c r="D106" t="s">
        <v>13</v>
      </c>
      <c r="E106">
        <v>1500</v>
      </c>
      <c r="F106" t="s">
        <v>49</v>
      </c>
      <c r="G106" t="s">
        <v>28</v>
      </c>
      <c r="H106" t="s">
        <v>16</v>
      </c>
      <c r="I106" t="s">
        <v>17</v>
      </c>
      <c r="J106" t="s">
        <v>18</v>
      </c>
      <c r="K106">
        <v>0</v>
      </c>
      <c r="L10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06">
        <f>GhanaStream[[#This Row],[Subscription Fee]]-(GhanaStream[[#This Row],[Discount]]*GhanaStream[[#This Row],[Subscription Fee]])</f>
        <v>1500</v>
      </c>
      <c r="N106" t="str">
        <f>IF(GhanaStream[[#This Row],[Churn Flag]]="Yes","Churned","Retained")</f>
        <v>Churned</v>
      </c>
    </row>
    <row r="107" spans="1:14" x14ac:dyDescent="0.25">
      <c r="A107" t="s">
        <v>145</v>
      </c>
      <c r="B107" s="1">
        <v>45536</v>
      </c>
      <c r="C107" t="s">
        <v>20</v>
      </c>
      <c r="D107" t="s">
        <v>13</v>
      </c>
      <c r="E107">
        <v>500</v>
      </c>
      <c r="F107" t="s">
        <v>32</v>
      </c>
      <c r="G107" t="s">
        <v>24</v>
      </c>
      <c r="H107" t="s">
        <v>33</v>
      </c>
      <c r="I107" t="s">
        <v>34</v>
      </c>
      <c r="J107" t="s">
        <v>39</v>
      </c>
      <c r="K107">
        <v>0</v>
      </c>
      <c r="L10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07">
        <f>GhanaStream[[#This Row],[Subscription Fee]]-(GhanaStream[[#This Row],[Discount]]*GhanaStream[[#This Row],[Subscription Fee]])</f>
        <v>500</v>
      </c>
      <c r="N107" t="str">
        <f>IF(GhanaStream[[#This Row],[Churn Flag]]="Yes","Churned","Retained")</f>
        <v>Retained</v>
      </c>
    </row>
    <row r="108" spans="1:14" x14ac:dyDescent="0.25">
      <c r="A108" t="s">
        <v>146</v>
      </c>
      <c r="B108" s="1">
        <v>45473</v>
      </c>
      <c r="C108" t="s">
        <v>31</v>
      </c>
      <c r="D108" t="s">
        <v>13</v>
      </c>
      <c r="E108">
        <v>1000</v>
      </c>
      <c r="F108" t="s">
        <v>14</v>
      </c>
      <c r="G108" t="s">
        <v>24</v>
      </c>
      <c r="H108" t="s">
        <v>33</v>
      </c>
      <c r="I108" t="s">
        <v>34</v>
      </c>
      <c r="J108" t="s">
        <v>37</v>
      </c>
      <c r="K108">
        <v>0</v>
      </c>
      <c r="L10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08">
        <f>GhanaStream[[#This Row],[Subscription Fee]]-(GhanaStream[[#This Row],[Discount]]*GhanaStream[[#This Row],[Subscription Fee]])</f>
        <v>1000</v>
      </c>
      <c r="N108" t="str">
        <f>IF(GhanaStream[[#This Row],[Churn Flag]]="Yes","Churned","Retained")</f>
        <v>Retained</v>
      </c>
    </row>
    <row r="109" spans="1:14" x14ac:dyDescent="0.25">
      <c r="A109" t="s">
        <v>147</v>
      </c>
      <c r="B109" s="1">
        <v>45011</v>
      </c>
      <c r="C109" t="s">
        <v>20</v>
      </c>
      <c r="D109" t="s">
        <v>13</v>
      </c>
      <c r="E109">
        <v>500</v>
      </c>
      <c r="F109" t="s">
        <v>32</v>
      </c>
      <c r="G109" t="s">
        <v>24</v>
      </c>
      <c r="H109" t="s">
        <v>33</v>
      </c>
      <c r="I109" t="s">
        <v>34</v>
      </c>
      <c r="J109" t="s">
        <v>25</v>
      </c>
      <c r="K109">
        <v>0</v>
      </c>
      <c r="L10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09">
        <f>GhanaStream[[#This Row],[Subscription Fee]]-(GhanaStream[[#This Row],[Discount]]*GhanaStream[[#This Row],[Subscription Fee]])</f>
        <v>500</v>
      </c>
      <c r="N109" t="str">
        <f>IF(GhanaStream[[#This Row],[Churn Flag]]="Yes","Churned","Retained")</f>
        <v>Retained</v>
      </c>
    </row>
    <row r="110" spans="1:14" x14ac:dyDescent="0.25">
      <c r="A110" t="s">
        <v>148</v>
      </c>
      <c r="B110" s="1">
        <v>44992</v>
      </c>
      <c r="C110" t="s">
        <v>31</v>
      </c>
      <c r="D110" t="s">
        <v>13</v>
      </c>
      <c r="E110">
        <v>1000</v>
      </c>
      <c r="F110" t="s">
        <v>49</v>
      </c>
      <c r="G110" t="s">
        <v>28</v>
      </c>
      <c r="H110" t="s">
        <v>33</v>
      </c>
      <c r="I110" t="s">
        <v>34</v>
      </c>
      <c r="J110" t="s">
        <v>22</v>
      </c>
      <c r="K110">
        <v>0</v>
      </c>
      <c r="L11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10">
        <f>GhanaStream[[#This Row],[Subscription Fee]]-(GhanaStream[[#This Row],[Discount]]*GhanaStream[[#This Row],[Subscription Fee]])</f>
        <v>1000</v>
      </c>
      <c r="N110" t="str">
        <f>IF(GhanaStream[[#This Row],[Churn Flag]]="Yes","Churned","Retained")</f>
        <v>Retained</v>
      </c>
    </row>
    <row r="111" spans="1:14" x14ac:dyDescent="0.25">
      <c r="A111" t="s">
        <v>149</v>
      </c>
      <c r="B111" s="1">
        <v>45605</v>
      </c>
      <c r="C111" t="s">
        <v>20</v>
      </c>
      <c r="D111" t="s">
        <v>13</v>
      </c>
      <c r="E111">
        <v>500</v>
      </c>
      <c r="F111" t="s">
        <v>21</v>
      </c>
      <c r="G111" t="s">
        <v>24</v>
      </c>
      <c r="H111" t="s">
        <v>33</v>
      </c>
      <c r="I111" t="s">
        <v>34</v>
      </c>
      <c r="J111" t="s">
        <v>18</v>
      </c>
      <c r="K111">
        <v>0</v>
      </c>
      <c r="L11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11">
        <f>GhanaStream[[#This Row],[Subscription Fee]]-(GhanaStream[[#This Row],[Discount]]*GhanaStream[[#This Row],[Subscription Fee]])</f>
        <v>500</v>
      </c>
      <c r="N111" t="str">
        <f>IF(GhanaStream[[#This Row],[Churn Flag]]="Yes","Churned","Retained")</f>
        <v>Retained</v>
      </c>
    </row>
    <row r="112" spans="1:14" x14ac:dyDescent="0.25">
      <c r="A112" t="s">
        <v>150</v>
      </c>
      <c r="B112" s="1">
        <v>44969</v>
      </c>
      <c r="C112" t="s">
        <v>12</v>
      </c>
      <c r="D112" t="s">
        <v>13</v>
      </c>
      <c r="E112">
        <v>1500</v>
      </c>
      <c r="F112" t="s">
        <v>21</v>
      </c>
      <c r="G112" t="s">
        <v>24</v>
      </c>
      <c r="H112" t="s">
        <v>16</v>
      </c>
      <c r="I112" t="s">
        <v>17</v>
      </c>
      <c r="J112" t="s">
        <v>22</v>
      </c>
      <c r="K112">
        <v>0</v>
      </c>
      <c r="L11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12">
        <f>GhanaStream[[#This Row],[Subscription Fee]]-(GhanaStream[[#This Row],[Discount]]*GhanaStream[[#This Row],[Subscription Fee]])</f>
        <v>1500</v>
      </c>
      <c r="N112" t="str">
        <f>IF(GhanaStream[[#This Row],[Churn Flag]]="Yes","Churned","Retained")</f>
        <v>Churned</v>
      </c>
    </row>
    <row r="113" spans="1:14" x14ac:dyDescent="0.25">
      <c r="A113" t="s">
        <v>151</v>
      </c>
      <c r="B113" s="1">
        <v>45369</v>
      </c>
      <c r="C113" t="s">
        <v>12</v>
      </c>
      <c r="D113" t="s">
        <v>27</v>
      </c>
      <c r="E113">
        <v>16200</v>
      </c>
      <c r="F113" t="s">
        <v>32</v>
      </c>
      <c r="G113" t="s">
        <v>15</v>
      </c>
      <c r="H113" t="s">
        <v>16</v>
      </c>
      <c r="I113" t="s">
        <v>17</v>
      </c>
      <c r="J113" t="s">
        <v>25</v>
      </c>
      <c r="K113">
        <v>0.1</v>
      </c>
      <c r="L11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13">
        <f>GhanaStream[[#This Row],[Subscription Fee]]-(GhanaStream[[#This Row],[Discount]]*GhanaStream[[#This Row],[Subscription Fee]])</f>
        <v>14580</v>
      </c>
      <c r="N113" t="str">
        <f>IF(GhanaStream[[#This Row],[Churn Flag]]="Yes","Churned","Retained")</f>
        <v>Churned</v>
      </c>
    </row>
    <row r="114" spans="1:14" x14ac:dyDescent="0.25">
      <c r="A114" t="s">
        <v>152</v>
      </c>
      <c r="B114" s="1">
        <v>45199</v>
      </c>
      <c r="C114" t="s">
        <v>12</v>
      </c>
      <c r="D114" t="s">
        <v>13</v>
      </c>
      <c r="E114">
        <v>1500</v>
      </c>
      <c r="F114" t="s">
        <v>49</v>
      </c>
      <c r="G114" t="s">
        <v>15</v>
      </c>
      <c r="H114" t="s">
        <v>16</v>
      </c>
      <c r="I114" t="s">
        <v>17</v>
      </c>
      <c r="J114" t="s">
        <v>35</v>
      </c>
      <c r="K114">
        <v>0</v>
      </c>
      <c r="L11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14">
        <f>GhanaStream[[#This Row],[Subscription Fee]]-(GhanaStream[[#This Row],[Discount]]*GhanaStream[[#This Row],[Subscription Fee]])</f>
        <v>1500</v>
      </c>
      <c r="N114" t="str">
        <f>IF(GhanaStream[[#This Row],[Churn Flag]]="Yes","Churned","Retained")</f>
        <v>Churned</v>
      </c>
    </row>
    <row r="115" spans="1:14" x14ac:dyDescent="0.25">
      <c r="A115" t="s">
        <v>153</v>
      </c>
      <c r="B115" s="1">
        <v>45406</v>
      </c>
      <c r="C115" t="s">
        <v>20</v>
      </c>
      <c r="D115" t="s">
        <v>27</v>
      </c>
      <c r="E115">
        <v>5400</v>
      </c>
      <c r="F115" t="s">
        <v>32</v>
      </c>
      <c r="G115" t="s">
        <v>24</v>
      </c>
      <c r="H115" t="s">
        <v>33</v>
      </c>
      <c r="I115" t="s">
        <v>34</v>
      </c>
      <c r="J115" t="s">
        <v>44</v>
      </c>
      <c r="K115">
        <v>0.1</v>
      </c>
      <c r="L11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15">
        <f>GhanaStream[[#This Row],[Subscription Fee]]-(GhanaStream[[#This Row],[Discount]]*GhanaStream[[#This Row],[Subscription Fee]])</f>
        <v>4860</v>
      </c>
      <c r="N115" t="str">
        <f>IF(GhanaStream[[#This Row],[Churn Flag]]="Yes","Churned","Retained")</f>
        <v>Retained</v>
      </c>
    </row>
    <row r="116" spans="1:14" x14ac:dyDescent="0.25">
      <c r="A116" t="s">
        <v>154</v>
      </c>
      <c r="B116" s="1">
        <v>45059</v>
      </c>
      <c r="C116" t="s">
        <v>20</v>
      </c>
      <c r="D116" t="s">
        <v>27</v>
      </c>
      <c r="E116">
        <v>5400</v>
      </c>
      <c r="F116" t="s">
        <v>21</v>
      </c>
      <c r="G116" t="s">
        <v>28</v>
      </c>
      <c r="H116" t="s">
        <v>33</v>
      </c>
      <c r="I116" t="s">
        <v>34</v>
      </c>
      <c r="J116" t="s">
        <v>29</v>
      </c>
      <c r="K116">
        <v>0.1</v>
      </c>
      <c r="L11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16">
        <f>GhanaStream[[#This Row],[Subscription Fee]]-(GhanaStream[[#This Row],[Discount]]*GhanaStream[[#This Row],[Subscription Fee]])</f>
        <v>4860</v>
      </c>
      <c r="N116" t="str">
        <f>IF(GhanaStream[[#This Row],[Churn Flag]]="Yes","Churned","Retained")</f>
        <v>Retained</v>
      </c>
    </row>
    <row r="117" spans="1:14" x14ac:dyDescent="0.25">
      <c r="A117" t="s">
        <v>155</v>
      </c>
      <c r="B117" s="1">
        <v>45325</v>
      </c>
      <c r="C117" t="s">
        <v>31</v>
      </c>
      <c r="D117" t="s">
        <v>13</v>
      </c>
      <c r="E117">
        <v>1000</v>
      </c>
      <c r="F117" t="s">
        <v>32</v>
      </c>
      <c r="G117" t="s">
        <v>24</v>
      </c>
      <c r="H117" t="s">
        <v>33</v>
      </c>
      <c r="I117" t="s">
        <v>34</v>
      </c>
      <c r="J117" t="s">
        <v>35</v>
      </c>
      <c r="K117">
        <v>0</v>
      </c>
      <c r="L11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17">
        <f>GhanaStream[[#This Row],[Subscription Fee]]-(GhanaStream[[#This Row],[Discount]]*GhanaStream[[#This Row],[Subscription Fee]])</f>
        <v>1000</v>
      </c>
      <c r="N117" t="str">
        <f>IF(GhanaStream[[#This Row],[Churn Flag]]="Yes","Churned","Retained")</f>
        <v>Retained</v>
      </c>
    </row>
    <row r="118" spans="1:14" x14ac:dyDescent="0.25">
      <c r="A118" t="s">
        <v>156</v>
      </c>
      <c r="B118" s="1">
        <v>44957</v>
      </c>
      <c r="C118" t="s">
        <v>20</v>
      </c>
      <c r="D118" t="s">
        <v>27</v>
      </c>
      <c r="E118">
        <v>5400</v>
      </c>
      <c r="F118" t="s">
        <v>21</v>
      </c>
      <c r="G118" t="s">
        <v>24</v>
      </c>
      <c r="H118" t="s">
        <v>33</v>
      </c>
      <c r="I118" t="s">
        <v>34</v>
      </c>
      <c r="J118" t="s">
        <v>18</v>
      </c>
      <c r="K118">
        <v>0.1</v>
      </c>
      <c r="L11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18">
        <f>GhanaStream[[#This Row],[Subscription Fee]]-(GhanaStream[[#This Row],[Discount]]*GhanaStream[[#This Row],[Subscription Fee]])</f>
        <v>4860</v>
      </c>
      <c r="N118" t="str">
        <f>IF(GhanaStream[[#This Row],[Churn Flag]]="Yes","Churned","Retained")</f>
        <v>Retained</v>
      </c>
    </row>
    <row r="119" spans="1:14" x14ac:dyDescent="0.25">
      <c r="A119" t="s">
        <v>157</v>
      </c>
      <c r="B119" s="1">
        <v>45376</v>
      </c>
      <c r="C119" t="s">
        <v>12</v>
      </c>
      <c r="D119" t="s">
        <v>27</v>
      </c>
      <c r="E119">
        <v>16200</v>
      </c>
      <c r="F119" t="s">
        <v>49</v>
      </c>
      <c r="G119" t="s">
        <v>15</v>
      </c>
      <c r="H119" t="s">
        <v>16</v>
      </c>
      <c r="I119" t="s">
        <v>17</v>
      </c>
      <c r="J119" t="s">
        <v>22</v>
      </c>
      <c r="K119">
        <v>0.1</v>
      </c>
      <c r="L11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19">
        <f>GhanaStream[[#This Row],[Subscription Fee]]-(GhanaStream[[#This Row],[Discount]]*GhanaStream[[#This Row],[Subscription Fee]])</f>
        <v>14580</v>
      </c>
      <c r="N119" t="str">
        <f>IF(GhanaStream[[#This Row],[Churn Flag]]="Yes","Churned","Retained")</f>
        <v>Churned</v>
      </c>
    </row>
    <row r="120" spans="1:14" x14ac:dyDescent="0.25">
      <c r="A120" t="s">
        <v>158</v>
      </c>
      <c r="B120" s="1">
        <v>45018</v>
      </c>
      <c r="C120" t="s">
        <v>20</v>
      </c>
      <c r="D120" t="s">
        <v>27</v>
      </c>
      <c r="E120">
        <v>5400</v>
      </c>
      <c r="F120" t="s">
        <v>21</v>
      </c>
      <c r="G120" t="s">
        <v>24</v>
      </c>
      <c r="H120" t="s">
        <v>16</v>
      </c>
      <c r="I120" t="s">
        <v>17</v>
      </c>
      <c r="J120" t="s">
        <v>18</v>
      </c>
      <c r="K120">
        <v>0.1</v>
      </c>
      <c r="L12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20">
        <f>GhanaStream[[#This Row],[Subscription Fee]]-(GhanaStream[[#This Row],[Discount]]*GhanaStream[[#This Row],[Subscription Fee]])</f>
        <v>4860</v>
      </c>
      <c r="N120" t="str">
        <f>IF(GhanaStream[[#This Row],[Churn Flag]]="Yes","Churned","Retained")</f>
        <v>Churned</v>
      </c>
    </row>
    <row r="121" spans="1:14" x14ac:dyDescent="0.25">
      <c r="A121" t="s">
        <v>159</v>
      </c>
      <c r="B121" s="1">
        <v>44953</v>
      </c>
      <c r="C121" t="s">
        <v>20</v>
      </c>
      <c r="D121" t="s">
        <v>27</v>
      </c>
      <c r="E121">
        <v>5400</v>
      </c>
      <c r="F121" t="s">
        <v>14</v>
      </c>
      <c r="G121" t="s">
        <v>28</v>
      </c>
      <c r="H121" t="s">
        <v>33</v>
      </c>
      <c r="I121" t="s">
        <v>34</v>
      </c>
      <c r="J121" t="s">
        <v>41</v>
      </c>
      <c r="K121">
        <v>0.1</v>
      </c>
      <c r="L12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21">
        <f>GhanaStream[[#This Row],[Subscription Fee]]-(GhanaStream[[#This Row],[Discount]]*GhanaStream[[#This Row],[Subscription Fee]])</f>
        <v>4860</v>
      </c>
      <c r="N121" t="str">
        <f>IF(GhanaStream[[#This Row],[Churn Flag]]="Yes","Churned","Retained")</f>
        <v>Retained</v>
      </c>
    </row>
    <row r="122" spans="1:14" x14ac:dyDescent="0.25">
      <c r="A122" t="s">
        <v>160</v>
      </c>
      <c r="B122" s="1">
        <v>45152</v>
      </c>
      <c r="C122" t="s">
        <v>20</v>
      </c>
      <c r="D122" t="s">
        <v>13</v>
      </c>
      <c r="E122">
        <v>500</v>
      </c>
      <c r="F122" t="s">
        <v>49</v>
      </c>
      <c r="G122" t="s">
        <v>24</v>
      </c>
      <c r="H122" t="s">
        <v>33</v>
      </c>
      <c r="I122" t="s">
        <v>34</v>
      </c>
      <c r="J122" t="s">
        <v>50</v>
      </c>
      <c r="K122">
        <v>0</v>
      </c>
      <c r="L12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22">
        <f>GhanaStream[[#This Row],[Subscription Fee]]-(GhanaStream[[#This Row],[Discount]]*GhanaStream[[#This Row],[Subscription Fee]])</f>
        <v>500</v>
      </c>
      <c r="N122" t="str">
        <f>IF(GhanaStream[[#This Row],[Churn Flag]]="Yes","Churned","Retained")</f>
        <v>Retained</v>
      </c>
    </row>
    <row r="123" spans="1:14" x14ac:dyDescent="0.25">
      <c r="A123" t="s">
        <v>161</v>
      </c>
      <c r="B123" s="1">
        <v>45150</v>
      </c>
      <c r="C123" t="s">
        <v>12</v>
      </c>
      <c r="D123" t="s">
        <v>27</v>
      </c>
      <c r="E123">
        <v>16200</v>
      </c>
      <c r="F123" t="s">
        <v>32</v>
      </c>
      <c r="G123" t="s">
        <v>28</v>
      </c>
      <c r="H123" t="s">
        <v>33</v>
      </c>
      <c r="I123" t="s">
        <v>34</v>
      </c>
      <c r="J123" t="s">
        <v>66</v>
      </c>
      <c r="K123">
        <v>0.1</v>
      </c>
      <c r="L12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23">
        <f>GhanaStream[[#This Row],[Subscription Fee]]-(GhanaStream[[#This Row],[Discount]]*GhanaStream[[#This Row],[Subscription Fee]])</f>
        <v>14580</v>
      </c>
      <c r="N123" t="str">
        <f>IF(GhanaStream[[#This Row],[Churn Flag]]="Yes","Churned","Retained")</f>
        <v>Retained</v>
      </c>
    </row>
    <row r="124" spans="1:14" x14ac:dyDescent="0.25">
      <c r="A124" t="s">
        <v>162</v>
      </c>
      <c r="B124" s="1">
        <v>45099</v>
      </c>
      <c r="C124" t="s">
        <v>20</v>
      </c>
      <c r="D124" t="s">
        <v>13</v>
      </c>
      <c r="E124">
        <v>500</v>
      </c>
      <c r="F124" t="s">
        <v>32</v>
      </c>
      <c r="G124" t="s">
        <v>28</v>
      </c>
      <c r="H124" t="s">
        <v>16</v>
      </c>
      <c r="I124" t="s">
        <v>17</v>
      </c>
      <c r="J124" t="s">
        <v>44</v>
      </c>
      <c r="K124">
        <v>0</v>
      </c>
      <c r="L12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24">
        <f>GhanaStream[[#This Row],[Subscription Fee]]-(GhanaStream[[#This Row],[Discount]]*GhanaStream[[#This Row],[Subscription Fee]])</f>
        <v>500</v>
      </c>
      <c r="N124" t="str">
        <f>IF(GhanaStream[[#This Row],[Churn Flag]]="Yes","Churned","Retained")</f>
        <v>Churned</v>
      </c>
    </row>
    <row r="125" spans="1:14" x14ac:dyDescent="0.25">
      <c r="A125" t="s">
        <v>163</v>
      </c>
      <c r="B125" s="1">
        <v>45242</v>
      </c>
      <c r="C125" t="s">
        <v>12</v>
      </c>
      <c r="D125" t="s">
        <v>27</v>
      </c>
      <c r="E125">
        <v>16200</v>
      </c>
      <c r="F125" t="s">
        <v>32</v>
      </c>
      <c r="G125" t="s">
        <v>28</v>
      </c>
      <c r="H125" t="s">
        <v>33</v>
      </c>
      <c r="I125" t="s">
        <v>34</v>
      </c>
      <c r="J125" t="s">
        <v>35</v>
      </c>
      <c r="K125">
        <v>0.1</v>
      </c>
      <c r="L12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25">
        <f>GhanaStream[[#This Row],[Subscription Fee]]-(GhanaStream[[#This Row],[Discount]]*GhanaStream[[#This Row],[Subscription Fee]])</f>
        <v>14580</v>
      </c>
      <c r="N125" t="str">
        <f>IF(GhanaStream[[#This Row],[Churn Flag]]="Yes","Churned","Retained")</f>
        <v>Retained</v>
      </c>
    </row>
    <row r="126" spans="1:14" x14ac:dyDescent="0.25">
      <c r="A126" t="s">
        <v>164</v>
      </c>
      <c r="B126" s="1">
        <v>45463</v>
      </c>
      <c r="C126" t="s">
        <v>31</v>
      </c>
      <c r="D126" t="s">
        <v>27</v>
      </c>
      <c r="E126">
        <v>10800</v>
      </c>
      <c r="F126" t="s">
        <v>21</v>
      </c>
      <c r="G126" t="s">
        <v>24</v>
      </c>
      <c r="H126" t="s">
        <v>16</v>
      </c>
      <c r="I126" t="s">
        <v>17</v>
      </c>
      <c r="J126" t="s">
        <v>18</v>
      </c>
      <c r="K126">
        <v>0.1</v>
      </c>
      <c r="L12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26">
        <f>GhanaStream[[#This Row],[Subscription Fee]]-(GhanaStream[[#This Row],[Discount]]*GhanaStream[[#This Row],[Subscription Fee]])</f>
        <v>9720</v>
      </c>
      <c r="N126" t="str">
        <f>IF(GhanaStream[[#This Row],[Churn Flag]]="Yes","Churned","Retained")</f>
        <v>Churned</v>
      </c>
    </row>
    <row r="127" spans="1:14" x14ac:dyDescent="0.25">
      <c r="A127" t="s">
        <v>165</v>
      </c>
      <c r="B127" s="1">
        <v>45356</v>
      </c>
      <c r="C127" t="s">
        <v>12</v>
      </c>
      <c r="D127" t="s">
        <v>13</v>
      </c>
      <c r="E127">
        <v>1500</v>
      </c>
      <c r="F127" t="s">
        <v>49</v>
      </c>
      <c r="G127" t="s">
        <v>24</v>
      </c>
      <c r="H127" t="s">
        <v>33</v>
      </c>
      <c r="I127" t="s">
        <v>34</v>
      </c>
      <c r="J127" t="s">
        <v>18</v>
      </c>
      <c r="K127">
        <v>0</v>
      </c>
      <c r="L12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27">
        <f>GhanaStream[[#This Row],[Subscription Fee]]-(GhanaStream[[#This Row],[Discount]]*GhanaStream[[#This Row],[Subscription Fee]])</f>
        <v>1500</v>
      </c>
      <c r="N127" t="str">
        <f>IF(GhanaStream[[#This Row],[Churn Flag]]="Yes","Churned","Retained")</f>
        <v>Retained</v>
      </c>
    </row>
    <row r="128" spans="1:14" x14ac:dyDescent="0.25">
      <c r="A128" t="s">
        <v>166</v>
      </c>
      <c r="B128" s="1">
        <v>45566</v>
      </c>
      <c r="C128" t="s">
        <v>12</v>
      </c>
      <c r="D128" t="s">
        <v>13</v>
      </c>
      <c r="E128">
        <v>1500</v>
      </c>
      <c r="F128" t="s">
        <v>49</v>
      </c>
      <c r="G128" t="s">
        <v>28</v>
      </c>
      <c r="H128" t="s">
        <v>33</v>
      </c>
      <c r="I128" t="s">
        <v>34</v>
      </c>
      <c r="J128" t="s">
        <v>18</v>
      </c>
      <c r="K128">
        <v>0</v>
      </c>
      <c r="L12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28">
        <f>GhanaStream[[#This Row],[Subscription Fee]]-(GhanaStream[[#This Row],[Discount]]*GhanaStream[[#This Row],[Subscription Fee]])</f>
        <v>1500</v>
      </c>
      <c r="N128" t="str">
        <f>IF(GhanaStream[[#This Row],[Churn Flag]]="Yes","Churned","Retained")</f>
        <v>Retained</v>
      </c>
    </row>
    <row r="129" spans="1:14" x14ac:dyDescent="0.25">
      <c r="A129" t="s">
        <v>167</v>
      </c>
      <c r="B129" s="1">
        <v>45470</v>
      </c>
      <c r="C129" t="s">
        <v>31</v>
      </c>
      <c r="D129" t="s">
        <v>13</v>
      </c>
      <c r="E129">
        <v>1000</v>
      </c>
      <c r="F129" t="s">
        <v>32</v>
      </c>
      <c r="G129" t="s">
        <v>28</v>
      </c>
      <c r="H129" t="s">
        <v>33</v>
      </c>
      <c r="I129" t="s">
        <v>34</v>
      </c>
      <c r="J129" t="s">
        <v>25</v>
      </c>
      <c r="K129">
        <v>0</v>
      </c>
      <c r="L12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29">
        <f>GhanaStream[[#This Row],[Subscription Fee]]-(GhanaStream[[#This Row],[Discount]]*GhanaStream[[#This Row],[Subscription Fee]])</f>
        <v>1000</v>
      </c>
      <c r="N129" t="str">
        <f>IF(GhanaStream[[#This Row],[Churn Flag]]="Yes","Churned","Retained")</f>
        <v>Retained</v>
      </c>
    </row>
    <row r="130" spans="1:14" x14ac:dyDescent="0.25">
      <c r="A130" t="s">
        <v>168</v>
      </c>
      <c r="B130" s="1">
        <v>45029</v>
      </c>
      <c r="C130" t="s">
        <v>20</v>
      </c>
      <c r="D130" t="s">
        <v>27</v>
      </c>
      <c r="E130">
        <v>5400</v>
      </c>
      <c r="F130" t="s">
        <v>14</v>
      </c>
      <c r="G130" t="s">
        <v>15</v>
      </c>
      <c r="H130" t="s">
        <v>16</v>
      </c>
      <c r="I130" t="s">
        <v>17</v>
      </c>
      <c r="J130" t="s">
        <v>37</v>
      </c>
      <c r="K130">
        <v>0.1</v>
      </c>
      <c r="L13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30">
        <f>GhanaStream[[#This Row],[Subscription Fee]]-(GhanaStream[[#This Row],[Discount]]*GhanaStream[[#This Row],[Subscription Fee]])</f>
        <v>4860</v>
      </c>
      <c r="N130" t="str">
        <f>IF(GhanaStream[[#This Row],[Churn Flag]]="Yes","Churned","Retained")</f>
        <v>Churned</v>
      </c>
    </row>
    <row r="131" spans="1:14" x14ac:dyDescent="0.25">
      <c r="A131" t="s">
        <v>169</v>
      </c>
      <c r="B131" s="1">
        <v>45424</v>
      </c>
      <c r="C131" t="s">
        <v>20</v>
      </c>
      <c r="D131" t="s">
        <v>27</v>
      </c>
      <c r="E131">
        <v>5400</v>
      </c>
      <c r="F131" t="s">
        <v>14</v>
      </c>
      <c r="G131" t="s">
        <v>24</v>
      </c>
      <c r="H131" t="s">
        <v>33</v>
      </c>
      <c r="I131" t="s">
        <v>34</v>
      </c>
      <c r="J131" t="s">
        <v>18</v>
      </c>
      <c r="K131">
        <v>0.1</v>
      </c>
      <c r="L13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31">
        <f>GhanaStream[[#This Row],[Subscription Fee]]-(GhanaStream[[#This Row],[Discount]]*GhanaStream[[#This Row],[Subscription Fee]])</f>
        <v>4860</v>
      </c>
      <c r="N131" t="str">
        <f>IF(GhanaStream[[#This Row],[Churn Flag]]="Yes","Churned","Retained")</f>
        <v>Retained</v>
      </c>
    </row>
    <row r="132" spans="1:14" x14ac:dyDescent="0.25">
      <c r="A132" t="s">
        <v>170</v>
      </c>
      <c r="B132" s="1">
        <v>45653</v>
      </c>
      <c r="C132" t="s">
        <v>31</v>
      </c>
      <c r="D132" t="s">
        <v>27</v>
      </c>
      <c r="E132">
        <v>10800</v>
      </c>
      <c r="F132" t="s">
        <v>14</v>
      </c>
      <c r="G132" t="s">
        <v>28</v>
      </c>
      <c r="H132" t="s">
        <v>16</v>
      </c>
      <c r="I132" t="s">
        <v>17</v>
      </c>
      <c r="J132" t="s">
        <v>18</v>
      </c>
      <c r="K132">
        <v>0.1</v>
      </c>
      <c r="L13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32">
        <f>GhanaStream[[#This Row],[Subscription Fee]]-(GhanaStream[[#This Row],[Discount]]*GhanaStream[[#This Row],[Subscription Fee]])</f>
        <v>9720</v>
      </c>
      <c r="N132" t="str">
        <f>IF(GhanaStream[[#This Row],[Churn Flag]]="Yes","Churned","Retained")</f>
        <v>Churned</v>
      </c>
    </row>
    <row r="133" spans="1:14" x14ac:dyDescent="0.25">
      <c r="A133" t="s">
        <v>171</v>
      </c>
      <c r="B133" s="1">
        <v>45519</v>
      </c>
      <c r="C133" t="s">
        <v>20</v>
      </c>
      <c r="D133" t="s">
        <v>13</v>
      </c>
      <c r="E133">
        <v>500</v>
      </c>
      <c r="F133" t="s">
        <v>21</v>
      </c>
      <c r="G133" t="s">
        <v>28</v>
      </c>
      <c r="H133" t="s">
        <v>16</v>
      </c>
      <c r="I133" t="s">
        <v>17</v>
      </c>
      <c r="J133" t="s">
        <v>22</v>
      </c>
      <c r="K133">
        <v>0</v>
      </c>
      <c r="L13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33">
        <f>GhanaStream[[#This Row],[Subscription Fee]]-(GhanaStream[[#This Row],[Discount]]*GhanaStream[[#This Row],[Subscription Fee]])</f>
        <v>500</v>
      </c>
      <c r="N133" t="str">
        <f>IF(GhanaStream[[#This Row],[Churn Flag]]="Yes","Churned","Retained")</f>
        <v>Churned</v>
      </c>
    </row>
    <row r="134" spans="1:14" x14ac:dyDescent="0.25">
      <c r="A134" t="s">
        <v>172</v>
      </c>
      <c r="B134" s="1">
        <v>45258</v>
      </c>
      <c r="C134" t="s">
        <v>12</v>
      </c>
      <c r="D134" t="s">
        <v>27</v>
      </c>
      <c r="E134">
        <v>16200</v>
      </c>
      <c r="F134" t="s">
        <v>14</v>
      </c>
      <c r="G134" t="s">
        <v>28</v>
      </c>
      <c r="H134" t="s">
        <v>33</v>
      </c>
      <c r="I134" t="s">
        <v>34</v>
      </c>
      <c r="J134" t="s">
        <v>22</v>
      </c>
      <c r="K134">
        <v>0.1</v>
      </c>
      <c r="L13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34">
        <f>GhanaStream[[#This Row],[Subscription Fee]]-(GhanaStream[[#This Row],[Discount]]*GhanaStream[[#This Row],[Subscription Fee]])</f>
        <v>14580</v>
      </c>
      <c r="N134" t="str">
        <f>IF(GhanaStream[[#This Row],[Churn Flag]]="Yes","Churned","Retained")</f>
        <v>Retained</v>
      </c>
    </row>
    <row r="135" spans="1:14" x14ac:dyDescent="0.25">
      <c r="A135" t="s">
        <v>173</v>
      </c>
      <c r="B135" s="1">
        <v>44995</v>
      </c>
      <c r="C135" t="s">
        <v>12</v>
      </c>
      <c r="D135" t="s">
        <v>27</v>
      </c>
      <c r="E135">
        <v>16200</v>
      </c>
      <c r="F135" t="s">
        <v>32</v>
      </c>
      <c r="G135" t="s">
        <v>24</v>
      </c>
      <c r="H135" t="s">
        <v>33</v>
      </c>
      <c r="I135" t="s">
        <v>34</v>
      </c>
      <c r="J135" t="s">
        <v>25</v>
      </c>
      <c r="K135">
        <v>0.1</v>
      </c>
      <c r="L13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35">
        <f>GhanaStream[[#This Row],[Subscription Fee]]-(GhanaStream[[#This Row],[Discount]]*GhanaStream[[#This Row],[Subscription Fee]])</f>
        <v>14580</v>
      </c>
      <c r="N135" t="str">
        <f>IF(GhanaStream[[#This Row],[Churn Flag]]="Yes","Churned","Retained")</f>
        <v>Retained</v>
      </c>
    </row>
    <row r="136" spans="1:14" x14ac:dyDescent="0.25">
      <c r="A136" t="s">
        <v>174</v>
      </c>
      <c r="B136" s="1">
        <v>45320</v>
      </c>
      <c r="C136" t="s">
        <v>12</v>
      </c>
      <c r="D136" t="s">
        <v>27</v>
      </c>
      <c r="E136">
        <v>16200</v>
      </c>
      <c r="F136" t="s">
        <v>49</v>
      </c>
      <c r="G136" t="s">
        <v>24</v>
      </c>
      <c r="H136" t="s">
        <v>16</v>
      </c>
      <c r="I136" t="s">
        <v>17</v>
      </c>
      <c r="J136" t="s">
        <v>35</v>
      </c>
      <c r="K136">
        <v>0.1</v>
      </c>
      <c r="L13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36">
        <f>GhanaStream[[#This Row],[Subscription Fee]]-(GhanaStream[[#This Row],[Discount]]*GhanaStream[[#This Row],[Subscription Fee]])</f>
        <v>14580</v>
      </c>
      <c r="N136" t="str">
        <f>IF(GhanaStream[[#This Row],[Churn Flag]]="Yes","Churned","Retained")</f>
        <v>Churned</v>
      </c>
    </row>
    <row r="137" spans="1:14" x14ac:dyDescent="0.25">
      <c r="A137" t="s">
        <v>175</v>
      </c>
      <c r="B137" s="1">
        <v>45174</v>
      </c>
      <c r="C137" t="s">
        <v>31</v>
      </c>
      <c r="D137" t="s">
        <v>13</v>
      </c>
      <c r="E137">
        <v>1000</v>
      </c>
      <c r="F137" t="s">
        <v>32</v>
      </c>
      <c r="G137" t="s">
        <v>28</v>
      </c>
      <c r="H137" t="s">
        <v>33</v>
      </c>
      <c r="I137" t="s">
        <v>34</v>
      </c>
      <c r="J137" t="s">
        <v>66</v>
      </c>
      <c r="K137">
        <v>0</v>
      </c>
      <c r="L13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37">
        <f>GhanaStream[[#This Row],[Subscription Fee]]-(GhanaStream[[#This Row],[Discount]]*GhanaStream[[#This Row],[Subscription Fee]])</f>
        <v>1000</v>
      </c>
      <c r="N137" t="str">
        <f>IF(GhanaStream[[#This Row],[Churn Flag]]="Yes","Churned","Retained")</f>
        <v>Retained</v>
      </c>
    </row>
    <row r="138" spans="1:14" x14ac:dyDescent="0.25">
      <c r="A138" t="s">
        <v>176</v>
      </c>
      <c r="B138" s="1">
        <v>45018</v>
      </c>
      <c r="C138" t="s">
        <v>12</v>
      </c>
      <c r="D138" t="s">
        <v>27</v>
      </c>
      <c r="E138">
        <v>16200</v>
      </c>
      <c r="F138" t="s">
        <v>49</v>
      </c>
      <c r="G138" t="s">
        <v>24</v>
      </c>
      <c r="H138" t="s">
        <v>16</v>
      </c>
      <c r="I138" t="s">
        <v>17</v>
      </c>
      <c r="J138" t="s">
        <v>50</v>
      </c>
      <c r="K138">
        <v>0.1</v>
      </c>
      <c r="L13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38">
        <f>GhanaStream[[#This Row],[Subscription Fee]]-(GhanaStream[[#This Row],[Discount]]*GhanaStream[[#This Row],[Subscription Fee]])</f>
        <v>14580</v>
      </c>
      <c r="N138" t="str">
        <f>IF(GhanaStream[[#This Row],[Churn Flag]]="Yes","Churned","Retained")</f>
        <v>Churned</v>
      </c>
    </row>
    <row r="139" spans="1:14" x14ac:dyDescent="0.25">
      <c r="A139" t="s">
        <v>177</v>
      </c>
      <c r="B139" s="1">
        <v>45339</v>
      </c>
      <c r="C139" t="s">
        <v>31</v>
      </c>
      <c r="D139" t="s">
        <v>13</v>
      </c>
      <c r="E139">
        <v>1000</v>
      </c>
      <c r="F139" t="s">
        <v>32</v>
      </c>
      <c r="G139" t="s">
        <v>24</v>
      </c>
      <c r="H139" t="s">
        <v>33</v>
      </c>
      <c r="I139" t="s">
        <v>34</v>
      </c>
      <c r="J139" t="s">
        <v>66</v>
      </c>
      <c r="K139">
        <v>0</v>
      </c>
      <c r="L13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39">
        <f>GhanaStream[[#This Row],[Subscription Fee]]-(GhanaStream[[#This Row],[Discount]]*GhanaStream[[#This Row],[Subscription Fee]])</f>
        <v>1000</v>
      </c>
      <c r="N139" t="str">
        <f>IF(GhanaStream[[#This Row],[Churn Flag]]="Yes","Churned","Retained")</f>
        <v>Retained</v>
      </c>
    </row>
    <row r="140" spans="1:14" x14ac:dyDescent="0.25">
      <c r="A140" t="s">
        <v>178</v>
      </c>
      <c r="B140" s="1">
        <v>45545</v>
      </c>
      <c r="C140" t="s">
        <v>31</v>
      </c>
      <c r="D140" t="s">
        <v>13</v>
      </c>
      <c r="E140">
        <v>1000</v>
      </c>
      <c r="F140" t="s">
        <v>32</v>
      </c>
      <c r="G140" t="s">
        <v>15</v>
      </c>
      <c r="H140" t="s">
        <v>16</v>
      </c>
      <c r="I140" t="s">
        <v>17</v>
      </c>
      <c r="J140" t="s">
        <v>39</v>
      </c>
      <c r="K140">
        <v>0</v>
      </c>
      <c r="L14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40">
        <f>GhanaStream[[#This Row],[Subscription Fee]]-(GhanaStream[[#This Row],[Discount]]*GhanaStream[[#This Row],[Subscription Fee]])</f>
        <v>1000</v>
      </c>
      <c r="N140" t="str">
        <f>IF(GhanaStream[[#This Row],[Churn Flag]]="Yes","Churned","Retained")</f>
        <v>Churned</v>
      </c>
    </row>
    <row r="141" spans="1:14" x14ac:dyDescent="0.25">
      <c r="A141" t="s">
        <v>179</v>
      </c>
      <c r="B141" s="1">
        <v>45509</v>
      </c>
      <c r="C141" t="s">
        <v>20</v>
      </c>
      <c r="D141" t="s">
        <v>13</v>
      </c>
      <c r="E141">
        <v>500</v>
      </c>
      <c r="F141" t="s">
        <v>14</v>
      </c>
      <c r="G141" t="s">
        <v>24</v>
      </c>
      <c r="H141" t="s">
        <v>33</v>
      </c>
      <c r="I141" t="s">
        <v>34</v>
      </c>
      <c r="J141" t="s">
        <v>37</v>
      </c>
      <c r="K141">
        <v>0</v>
      </c>
      <c r="L14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41">
        <f>GhanaStream[[#This Row],[Subscription Fee]]-(GhanaStream[[#This Row],[Discount]]*GhanaStream[[#This Row],[Subscription Fee]])</f>
        <v>500</v>
      </c>
      <c r="N141" t="str">
        <f>IF(GhanaStream[[#This Row],[Churn Flag]]="Yes","Churned","Retained")</f>
        <v>Retained</v>
      </c>
    </row>
    <row r="142" spans="1:14" x14ac:dyDescent="0.25">
      <c r="A142" t="s">
        <v>180</v>
      </c>
      <c r="B142" s="1">
        <v>45283</v>
      </c>
      <c r="C142" t="s">
        <v>20</v>
      </c>
      <c r="D142" t="s">
        <v>13</v>
      </c>
      <c r="E142">
        <v>500</v>
      </c>
      <c r="F142" t="s">
        <v>14</v>
      </c>
      <c r="G142" t="s">
        <v>24</v>
      </c>
      <c r="H142" t="s">
        <v>16</v>
      </c>
      <c r="I142" t="s">
        <v>17</v>
      </c>
      <c r="J142" t="s">
        <v>37</v>
      </c>
      <c r="K142">
        <v>0</v>
      </c>
      <c r="L14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42">
        <f>GhanaStream[[#This Row],[Subscription Fee]]-(GhanaStream[[#This Row],[Discount]]*GhanaStream[[#This Row],[Subscription Fee]])</f>
        <v>500</v>
      </c>
      <c r="N142" t="str">
        <f>IF(GhanaStream[[#This Row],[Churn Flag]]="Yes","Churned","Retained")</f>
        <v>Churned</v>
      </c>
    </row>
    <row r="143" spans="1:14" x14ac:dyDescent="0.25">
      <c r="A143" t="s">
        <v>181</v>
      </c>
      <c r="B143" s="1">
        <v>45645</v>
      </c>
      <c r="C143" t="s">
        <v>12</v>
      </c>
      <c r="D143" t="s">
        <v>27</v>
      </c>
      <c r="E143">
        <v>16200</v>
      </c>
      <c r="F143" t="s">
        <v>21</v>
      </c>
      <c r="G143" t="s">
        <v>24</v>
      </c>
      <c r="H143" t="s">
        <v>16</v>
      </c>
      <c r="I143" t="s">
        <v>17</v>
      </c>
      <c r="J143" t="s">
        <v>29</v>
      </c>
      <c r="K143">
        <v>0.1</v>
      </c>
      <c r="L14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43">
        <f>GhanaStream[[#This Row],[Subscription Fee]]-(GhanaStream[[#This Row],[Discount]]*GhanaStream[[#This Row],[Subscription Fee]])</f>
        <v>14580</v>
      </c>
      <c r="N143" t="str">
        <f>IF(GhanaStream[[#This Row],[Churn Flag]]="Yes","Churned","Retained")</f>
        <v>Churned</v>
      </c>
    </row>
    <row r="144" spans="1:14" x14ac:dyDescent="0.25">
      <c r="A144" t="s">
        <v>182</v>
      </c>
      <c r="B144" s="1">
        <v>45544</v>
      </c>
      <c r="C144" t="s">
        <v>12</v>
      </c>
      <c r="D144" t="s">
        <v>13</v>
      </c>
      <c r="E144">
        <v>1500</v>
      </c>
      <c r="F144" t="s">
        <v>21</v>
      </c>
      <c r="G144" t="s">
        <v>24</v>
      </c>
      <c r="H144" t="s">
        <v>33</v>
      </c>
      <c r="I144" t="s">
        <v>34</v>
      </c>
      <c r="J144" t="s">
        <v>29</v>
      </c>
      <c r="K144">
        <v>0</v>
      </c>
      <c r="L14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44">
        <f>GhanaStream[[#This Row],[Subscription Fee]]-(GhanaStream[[#This Row],[Discount]]*GhanaStream[[#This Row],[Subscription Fee]])</f>
        <v>1500</v>
      </c>
      <c r="N144" t="str">
        <f>IF(GhanaStream[[#This Row],[Churn Flag]]="Yes","Churned","Retained")</f>
        <v>Retained</v>
      </c>
    </row>
    <row r="145" spans="1:14" x14ac:dyDescent="0.25">
      <c r="A145" t="s">
        <v>183</v>
      </c>
      <c r="B145" s="1">
        <v>45401</v>
      </c>
      <c r="C145" t="s">
        <v>20</v>
      </c>
      <c r="D145" t="s">
        <v>13</v>
      </c>
      <c r="E145">
        <v>500</v>
      </c>
      <c r="F145" t="s">
        <v>21</v>
      </c>
      <c r="G145" t="s">
        <v>28</v>
      </c>
      <c r="H145" t="s">
        <v>33</v>
      </c>
      <c r="I145" t="s">
        <v>34</v>
      </c>
      <c r="J145" t="s">
        <v>18</v>
      </c>
      <c r="K145">
        <v>0</v>
      </c>
      <c r="L14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45">
        <f>GhanaStream[[#This Row],[Subscription Fee]]-(GhanaStream[[#This Row],[Discount]]*GhanaStream[[#This Row],[Subscription Fee]])</f>
        <v>500</v>
      </c>
      <c r="N145" t="str">
        <f>IF(GhanaStream[[#This Row],[Churn Flag]]="Yes","Churned","Retained")</f>
        <v>Retained</v>
      </c>
    </row>
    <row r="146" spans="1:14" x14ac:dyDescent="0.25">
      <c r="A146" t="s">
        <v>184</v>
      </c>
      <c r="B146" s="1">
        <v>45348</v>
      </c>
      <c r="C146" t="s">
        <v>31</v>
      </c>
      <c r="D146" t="s">
        <v>13</v>
      </c>
      <c r="E146">
        <v>1000</v>
      </c>
      <c r="F146" t="s">
        <v>49</v>
      </c>
      <c r="G146" t="s">
        <v>24</v>
      </c>
      <c r="H146" t="s">
        <v>33</v>
      </c>
      <c r="I146" t="s">
        <v>34</v>
      </c>
      <c r="J146" t="s">
        <v>25</v>
      </c>
      <c r="K146">
        <v>0</v>
      </c>
      <c r="L14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46">
        <f>GhanaStream[[#This Row],[Subscription Fee]]-(GhanaStream[[#This Row],[Discount]]*GhanaStream[[#This Row],[Subscription Fee]])</f>
        <v>1000</v>
      </c>
      <c r="N146" t="str">
        <f>IF(GhanaStream[[#This Row],[Churn Flag]]="Yes","Churned","Retained")</f>
        <v>Retained</v>
      </c>
    </row>
    <row r="147" spans="1:14" x14ac:dyDescent="0.25">
      <c r="A147" t="s">
        <v>185</v>
      </c>
      <c r="B147" s="1">
        <v>45605</v>
      </c>
      <c r="C147" t="s">
        <v>20</v>
      </c>
      <c r="D147" t="s">
        <v>13</v>
      </c>
      <c r="E147">
        <v>500</v>
      </c>
      <c r="F147" t="s">
        <v>14</v>
      </c>
      <c r="G147" t="s">
        <v>24</v>
      </c>
      <c r="H147" t="s">
        <v>33</v>
      </c>
      <c r="I147" t="s">
        <v>34</v>
      </c>
      <c r="J147" t="s">
        <v>55</v>
      </c>
      <c r="K147">
        <v>0</v>
      </c>
      <c r="L14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47">
        <f>GhanaStream[[#This Row],[Subscription Fee]]-(GhanaStream[[#This Row],[Discount]]*GhanaStream[[#This Row],[Subscription Fee]])</f>
        <v>500</v>
      </c>
      <c r="N147" t="str">
        <f>IF(GhanaStream[[#This Row],[Churn Flag]]="Yes","Churned","Retained")</f>
        <v>Retained</v>
      </c>
    </row>
    <row r="148" spans="1:14" x14ac:dyDescent="0.25">
      <c r="A148" t="s">
        <v>186</v>
      </c>
      <c r="B148" s="1">
        <v>45177</v>
      </c>
      <c r="C148" t="s">
        <v>31</v>
      </c>
      <c r="D148" t="s">
        <v>13</v>
      </c>
      <c r="E148">
        <v>1000</v>
      </c>
      <c r="F148" t="s">
        <v>21</v>
      </c>
      <c r="G148" t="s">
        <v>24</v>
      </c>
      <c r="H148" t="s">
        <v>33</v>
      </c>
      <c r="I148" t="s">
        <v>34</v>
      </c>
      <c r="J148" t="s">
        <v>18</v>
      </c>
      <c r="K148">
        <v>0</v>
      </c>
      <c r="L14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48">
        <f>GhanaStream[[#This Row],[Subscription Fee]]-(GhanaStream[[#This Row],[Discount]]*GhanaStream[[#This Row],[Subscription Fee]])</f>
        <v>1000</v>
      </c>
      <c r="N148" t="str">
        <f>IF(GhanaStream[[#This Row],[Churn Flag]]="Yes","Churned","Retained")</f>
        <v>Retained</v>
      </c>
    </row>
    <row r="149" spans="1:14" x14ac:dyDescent="0.25">
      <c r="A149" t="s">
        <v>187</v>
      </c>
      <c r="B149" s="1">
        <v>45132</v>
      </c>
      <c r="C149" t="s">
        <v>12</v>
      </c>
      <c r="D149" t="s">
        <v>27</v>
      </c>
      <c r="E149">
        <v>16200</v>
      </c>
      <c r="F149" t="s">
        <v>49</v>
      </c>
      <c r="G149" t="s">
        <v>24</v>
      </c>
      <c r="H149" t="s">
        <v>16</v>
      </c>
      <c r="I149" t="s">
        <v>17</v>
      </c>
      <c r="J149" t="s">
        <v>58</v>
      </c>
      <c r="K149">
        <v>0.1</v>
      </c>
      <c r="L14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49">
        <f>GhanaStream[[#This Row],[Subscription Fee]]-(GhanaStream[[#This Row],[Discount]]*GhanaStream[[#This Row],[Subscription Fee]])</f>
        <v>14580</v>
      </c>
      <c r="N149" t="str">
        <f>IF(GhanaStream[[#This Row],[Churn Flag]]="Yes","Churned","Retained")</f>
        <v>Churned</v>
      </c>
    </row>
    <row r="150" spans="1:14" x14ac:dyDescent="0.25">
      <c r="A150" t="s">
        <v>188</v>
      </c>
      <c r="B150" s="1">
        <v>45380</v>
      </c>
      <c r="C150" t="s">
        <v>12</v>
      </c>
      <c r="D150" t="s">
        <v>13</v>
      </c>
      <c r="E150">
        <v>1500</v>
      </c>
      <c r="F150" t="s">
        <v>49</v>
      </c>
      <c r="G150" t="s">
        <v>24</v>
      </c>
      <c r="H150" t="s">
        <v>33</v>
      </c>
      <c r="I150" t="s">
        <v>34</v>
      </c>
      <c r="J150" t="s">
        <v>18</v>
      </c>
      <c r="K150">
        <v>0</v>
      </c>
      <c r="L15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50">
        <f>GhanaStream[[#This Row],[Subscription Fee]]-(GhanaStream[[#This Row],[Discount]]*GhanaStream[[#This Row],[Subscription Fee]])</f>
        <v>1500</v>
      </c>
      <c r="N150" t="str">
        <f>IF(GhanaStream[[#This Row],[Churn Flag]]="Yes","Churned","Retained")</f>
        <v>Retained</v>
      </c>
    </row>
    <row r="151" spans="1:14" x14ac:dyDescent="0.25">
      <c r="A151" t="s">
        <v>189</v>
      </c>
      <c r="B151" s="1">
        <v>45383</v>
      </c>
      <c r="C151" t="s">
        <v>12</v>
      </c>
      <c r="D151" t="s">
        <v>13</v>
      </c>
      <c r="E151">
        <v>1500</v>
      </c>
      <c r="F151" t="s">
        <v>21</v>
      </c>
      <c r="G151" t="s">
        <v>24</v>
      </c>
      <c r="H151" t="s">
        <v>33</v>
      </c>
      <c r="I151" t="s">
        <v>34</v>
      </c>
      <c r="J151" t="s">
        <v>25</v>
      </c>
      <c r="K151">
        <v>0</v>
      </c>
      <c r="L15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51">
        <f>GhanaStream[[#This Row],[Subscription Fee]]-(GhanaStream[[#This Row],[Discount]]*GhanaStream[[#This Row],[Subscription Fee]])</f>
        <v>1500</v>
      </c>
      <c r="N151" t="str">
        <f>IF(GhanaStream[[#This Row],[Churn Flag]]="Yes","Churned","Retained")</f>
        <v>Retained</v>
      </c>
    </row>
    <row r="152" spans="1:14" x14ac:dyDescent="0.25">
      <c r="A152" t="s">
        <v>190</v>
      </c>
      <c r="B152" s="1">
        <v>44988</v>
      </c>
      <c r="C152" t="s">
        <v>31</v>
      </c>
      <c r="D152" t="s">
        <v>27</v>
      </c>
      <c r="E152">
        <v>10800</v>
      </c>
      <c r="F152" t="s">
        <v>32</v>
      </c>
      <c r="G152" t="s">
        <v>24</v>
      </c>
      <c r="H152" t="s">
        <v>16</v>
      </c>
      <c r="I152" t="s">
        <v>17</v>
      </c>
      <c r="J152" t="s">
        <v>25</v>
      </c>
      <c r="K152">
        <v>0.1</v>
      </c>
      <c r="L15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52">
        <f>GhanaStream[[#This Row],[Subscription Fee]]-(GhanaStream[[#This Row],[Discount]]*GhanaStream[[#This Row],[Subscription Fee]])</f>
        <v>9720</v>
      </c>
      <c r="N152" t="str">
        <f>IF(GhanaStream[[#This Row],[Churn Flag]]="Yes","Churned","Retained")</f>
        <v>Churned</v>
      </c>
    </row>
    <row r="153" spans="1:14" x14ac:dyDescent="0.25">
      <c r="A153" t="s">
        <v>191</v>
      </c>
      <c r="B153" s="1">
        <v>45367</v>
      </c>
      <c r="C153" t="s">
        <v>31</v>
      </c>
      <c r="D153" t="s">
        <v>27</v>
      </c>
      <c r="E153">
        <v>10800</v>
      </c>
      <c r="F153" t="s">
        <v>32</v>
      </c>
      <c r="G153" t="s">
        <v>15</v>
      </c>
      <c r="H153" t="s">
        <v>16</v>
      </c>
      <c r="I153" t="s">
        <v>17</v>
      </c>
      <c r="J153" t="s">
        <v>25</v>
      </c>
      <c r="K153">
        <v>0.1</v>
      </c>
      <c r="L15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53">
        <f>GhanaStream[[#This Row],[Subscription Fee]]-(GhanaStream[[#This Row],[Discount]]*GhanaStream[[#This Row],[Subscription Fee]])</f>
        <v>9720</v>
      </c>
      <c r="N153" t="str">
        <f>IF(GhanaStream[[#This Row],[Churn Flag]]="Yes","Churned","Retained")</f>
        <v>Churned</v>
      </c>
    </row>
    <row r="154" spans="1:14" x14ac:dyDescent="0.25">
      <c r="A154" t="s">
        <v>192</v>
      </c>
      <c r="B154" s="1">
        <v>45300</v>
      </c>
      <c r="C154" t="s">
        <v>12</v>
      </c>
      <c r="D154" t="s">
        <v>27</v>
      </c>
      <c r="E154">
        <v>16200</v>
      </c>
      <c r="F154" t="s">
        <v>14</v>
      </c>
      <c r="G154" t="s">
        <v>24</v>
      </c>
      <c r="H154" t="s">
        <v>33</v>
      </c>
      <c r="I154" t="s">
        <v>34</v>
      </c>
      <c r="J154" t="s">
        <v>55</v>
      </c>
      <c r="K154">
        <v>0.1</v>
      </c>
      <c r="L15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54">
        <f>GhanaStream[[#This Row],[Subscription Fee]]-(GhanaStream[[#This Row],[Discount]]*GhanaStream[[#This Row],[Subscription Fee]])</f>
        <v>14580</v>
      </c>
      <c r="N154" t="str">
        <f>IF(GhanaStream[[#This Row],[Churn Flag]]="Yes","Churned","Retained")</f>
        <v>Retained</v>
      </c>
    </row>
    <row r="155" spans="1:14" x14ac:dyDescent="0.25">
      <c r="A155" t="s">
        <v>193</v>
      </c>
      <c r="B155" s="1">
        <v>45187</v>
      </c>
      <c r="C155" t="s">
        <v>31</v>
      </c>
      <c r="D155" t="s">
        <v>27</v>
      </c>
      <c r="E155">
        <v>10800</v>
      </c>
      <c r="F155" t="s">
        <v>14</v>
      </c>
      <c r="G155" t="s">
        <v>24</v>
      </c>
      <c r="H155" t="s">
        <v>33</v>
      </c>
      <c r="I155" t="s">
        <v>34</v>
      </c>
      <c r="J155" t="s">
        <v>22</v>
      </c>
      <c r="K155">
        <v>0.1</v>
      </c>
      <c r="L15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55">
        <f>GhanaStream[[#This Row],[Subscription Fee]]-(GhanaStream[[#This Row],[Discount]]*GhanaStream[[#This Row],[Subscription Fee]])</f>
        <v>9720</v>
      </c>
      <c r="N155" t="str">
        <f>IF(GhanaStream[[#This Row],[Churn Flag]]="Yes","Churned","Retained")</f>
        <v>Retained</v>
      </c>
    </row>
    <row r="156" spans="1:14" x14ac:dyDescent="0.25">
      <c r="A156" t="s">
        <v>194</v>
      </c>
      <c r="B156" s="1">
        <v>45189</v>
      </c>
      <c r="C156" t="s">
        <v>12</v>
      </c>
      <c r="D156" t="s">
        <v>27</v>
      </c>
      <c r="E156">
        <v>16200</v>
      </c>
      <c r="F156" t="s">
        <v>49</v>
      </c>
      <c r="G156" t="s">
        <v>28</v>
      </c>
      <c r="H156" t="s">
        <v>16</v>
      </c>
      <c r="I156" t="s">
        <v>17</v>
      </c>
      <c r="J156" t="s">
        <v>50</v>
      </c>
      <c r="K156">
        <v>0.1</v>
      </c>
      <c r="L15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56">
        <f>GhanaStream[[#This Row],[Subscription Fee]]-(GhanaStream[[#This Row],[Discount]]*GhanaStream[[#This Row],[Subscription Fee]])</f>
        <v>14580</v>
      </c>
      <c r="N156" t="str">
        <f>IF(GhanaStream[[#This Row],[Churn Flag]]="Yes","Churned","Retained")</f>
        <v>Churned</v>
      </c>
    </row>
    <row r="157" spans="1:14" x14ac:dyDescent="0.25">
      <c r="A157" t="s">
        <v>195</v>
      </c>
      <c r="B157" s="1">
        <v>45377</v>
      </c>
      <c r="C157" t="s">
        <v>20</v>
      </c>
      <c r="D157" t="s">
        <v>27</v>
      </c>
      <c r="E157">
        <v>5400</v>
      </c>
      <c r="F157" t="s">
        <v>32</v>
      </c>
      <c r="G157" t="s">
        <v>24</v>
      </c>
      <c r="H157" t="s">
        <v>16</v>
      </c>
      <c r="I157" t="s">
        <v>17</v>
      </c>
      <c r="J157" t="s">
        <v>35</v>
      </c>
      <c r="K157">
        <v>0.1</v>
      </c>
      <c r="L15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57">
        <f>GhanaStream[[#This Row],[Subscription Fee]]-(GhanaStream[[#This Row],[Discount]]*GhanaStream[[#This Row],[Subscription Fee]])</f>
        <v>4860</v>
      </c>
      <c r="N157" t="str">
        <f>IF(GhanaStream[[#This Row],[Churn Flag]]="Yes","Churned","Retained")</f>
        <v>Churned</v>
      </c>
    </row>
    <row r="158" spans="1:14" x14ac:dyDescent="0.25">
      <c r="A158" t="s">
        <v>196</v>
      </c>
      <c r="B158" s="1">
        <v>45235</v>
      </c>
      <c r="C158" t="s">
        <v>12</v>
      </c>
      <c r="D158" t="s">
        <v>27</v>
      </c>
      <c r="E158">
        <v>16200</v>
      </c>
      <c r="F158" t="s">
        <v>32</v>
      </c>
      <c r="G158" t="s">
        <v>15</v>
      </c>
      <c r="H158" t="s">
        <v>16</v>
      </c>
      <c r="I158" t="s">
        <v>17</v>
      </c>
      <c r="J158" t="s">
        <v>44</v>
      </c>
      <c r="K158">
        <v>0.1</v>
      </c>
      <c r="L15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58">
        <f>GhanaStream[[#This Row],[Subscription Fee]]-(GhanaStream[[#This Row],[Discount]]*GhanaStream[[#This Row],[Subscription Fee]])</f>
        <v>14580</v>
      </c>
      <c r="N158" t="str">
        <f>IF(GhanaStream[[#This Row],[Churn Flag]]="Yes","Churned","Retained")</f>
        <v>Churned</v>
      </c>
    </row>
    <row r="159" spans="1:14" x14ac:dyDescent="0.25">
      <c r="A159" t="s">
        <v>197</v>
      </c>
      <c r="B159" s="1">
        <v>45657</v>
      </c>
      <c r="C159" t="s">
        <v>31</v>
      </c>
      <c r="D159" t="s">
        <v>13</v>
      </c>
      <c r="E159">
        <v>1000</v>
      </c>
      <c r="F159" t="s">
        <v>32</v>
      </c>
      <c r="G159" t="s">
        <v>24</v>
      </c>
      <c r="H159" t="s">
        <v>33</v>
      </c>
      <c r="I159" t="s">
        <v>34</v>
      </c>
      <c r="J159" t="s">
        <v>39</v>
      </c>
      <c r="K159">
        <v>0</v>
      </c>
      <c r="L15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59">
        <f>GhanaStream[[#This Row],[Subscription Fee]]-(GhanaStream[[#This Row],[Discount]]*GhanaStream[[#This Row],[Subscription Fee]])</f>
        <v>1000</v>
      </c>
      <c r="N159" t="str">
        <f>IF(GhanaStream[[#This Row],[Churn Flag]]="Yes","Churned","Retained")</f>
        <v>Retained</v>
      </c>
    </row>
    <row r="160" spans="1:14" x14ac:dyDescent="0.25">
      <c r="A160" t="s">
        <v>198</v>
      </c>
      <c r="B160" s="1">
        <v>45498</v>
      </c>
      <c r="C160" t="s">
        <v>12</v>
      </c>
      <c r="D160" t="s">
        <v>13</v>
      </c>
      <c r="E160">
        <v>1500</v>
      </c>
      <c r="F160" t="s">
        <v>14</v>
      </c>
      <c r="G160" t="s">
        <v>28</v>
      </c>
      <c r="H160" t="s">
        <v>16</v>
      </c>
      <c r="I160" t="s">
        <v>17</v>
      </c>
      <c r="J160" t="s">
        <v>55</v>
      </c>
      <c r="K160">
        <v>0</v>
      </c>
      <c r="L16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60">
        <f>GhanaStream[[#This Row],[Subscription Fee]]-(GhanaStream[[#This Row],[Discount]]*GhanaStream[[#This Row],[Subscription Fee]])</f>
        <v>1500</v>
      </c>
      <c r="N160" t="str">
        <f>IF(GhanaStream[[#This Row],[Churn Flag]]="Yes","Churned","Retained")</f>
        <v>Churned</v>
      </c>
    </row>
    <row r="161" spans="1:14" x14ac:dyDescent="0.25">
      <c r="A161" t="s">
        <v>199</v>
      </c>
      <c r="B161" s="1">
        <v>44928</v>
      </c>
      <c r="C161" t="s">
        <v>20</v>
      </c>
      <c r="D161" t="s">
        <v>13</v>
      </c>
      <c r="E161">
        <v>500</v>
      </c>
      <c r="F161" t="s">
        <v>49</v>
      </c>
      <c r="G161" t="s">
        <v>24</v>
      </c>
      <c r="H161" t="s">
        <v>33</v>
      </c>
      <c r="I161" t="s">
        <v>34</v>
      </c>
      <c r="J161" t="s">
        <v>50</v>
      </c>
      <c r="K161">
        <v>0</v>
      </c>
      <c r="L16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61">
        <f>GhanaStream[[#This Row],[Subscription Fee]]-(GhanaStream[[#This Row],[Discount]]*GhanaStream[[#This Row],[Subscription Fee]])</f>
        <v>500</v>
      </c>
      <c r="N161" t="str">
        <f>IF(GhanaStream[[#This Row],[Churn Flag]]="Yes","Churned","Retained")</f>
        <v>Retained</v>
      </c>
    </row>
    <row r="162" spans="1:14" x14ac:dyDescent="0.25">
      <c r="A162" t="s">
        <v>200</v>
      </c>
      <c r="B162" s="1">
        <v>45046</v>
      </c>
      <c r="C162" t="s">
        <v>31</v>
      </c>
      <c r="D162" t="s">
        <v>27</v>
      </c>
      <c r="E162">
        <v>10800</v>
      </c>
      <c r="F162" t="s">
        <v>32</v>
      </c>
      <c r="G162" t="s">
        <v>28</v>
      </c>
      <c r="H162" t="s">
        <v>33</v>
      </c>
      <c r="I162" t="s">
        <v>34</v>
      </c>
      <c r="J162" t="s">
        <v>39</v>
      </c>
      <c r="K162">
        <v>0.1</v>
      </c>
      <c r="L16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62">
        <f>GhanaStream[[#This Row],[Subscription Fee]]-(GhanaStream[[#This Row],[Discount]]*GhanaStream[[#This Row],[Subscription Fee]])</f>
        <v>9720</v>
      </c>
      <c r="N162" t="str">
        <f>IF(GhanaStream[[#This Row],[Churn Flag]]="Yes","Churned","Retained")</f>
        <v>Retained</v>
      </c>
    </row>
    <row r="163" spans="1:14" x14ac:dyDescent="0.25">
      <c r="A163" t="s">
        <v>201</v>
      </c>
      <c r="B163" s="1">
        <v>45590</v>
      </c>
      <c r="C163" t="s">
        <v>12</v>
      </c>
      <c r="D163" t="s">
        <v>13</v>
      </c>
      <c r="E163">
        <v>1500</v>
      </c>
      <c r="F163" t="s">
        <v>32</v>
      </c>
      <c r="G163" t="s">
        <v>24</v>
      </c>
      <c r="H163" t="s">
        <v>16</v>
      </c>
      <c r="I163" t="s">
        <v>17</v>
      </c>
      <c r="J163" t="s">
        <v>44</v>
      </c>
      <c r="K163">
        <v>0</v>
      </c>
      <c r="L16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63">
        <f>GhanaStream[[#This Row],[Subscription Fee]]-(GhanaStream[[#This Row],[Discount]]*GhanaStream[[#This Row],[Subscription Fee]])</f>
        <v>1500</v>
      </c>
      <c r="N163" t="str">
        <f>IF(GhanaStream[[#This Row],[Churn Flag]]="Yes","Churned","Retained")</f>
        <v>Churned</v>
      </c>
    </row>
    <row r="164" spans="1:14" x14ac:dyDescent="0.25">
      <c r="A164" t="s">
        <v>202</v>
      </c>
      <c r="B164" s="1">
        <v>45191</v>
      </c>
      <c r="C164" t="s">
        <v>31</v>
      </c>
      <c r="D164" t="s">
        <v>27</v>
      </c>
      <c r="E164">
        <v>10800</v>
      </c>
      <c r="F164" t="s">
        <v>49</v>
      </c>
      <c r="G164" t="s">
        <v>24</v>
      </c>
      <c r="H164" t="s">
        <v>16</v>
      </c>
      <c r="I164" t="s">
        <v>17</v>
      </c>
      <c r="J164" t="s">
        <v>25</v>
      </c>
      <c r="K164">
        <v>0.1</v>
      </c>
      <c r="L16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64">
        <f>GhanaStream[[#This Row],[Subscription Fee]]-(GhanaStream[[#This Row],[Discount]]*GhanaStream[[#This Row],[Subscription Fee]])</f>
        <v>9720</v>
      </c>
      <c r="N164" t="str">
        <f>IF(GhanaStream[[#This Row],[Churn Flag]]="Yes","Churned","Retained")</f>
        <v>Churned</v>
      </c>
    </row>
    <row r="165" spans="1:14" x14ac:dyDescent="0.25">
      <c r="A165" t="s">
        <v>203</v>
      </c>
      <c r="B165" s="1">
        <v>45500</v>
      </c>
      <c r="C165" t="s">
        <v>31</v>
      </c>
      <c r="D165" t="s">
        <v>13</v>
      </c>
      <c r="E165">
        <v>1000</v>
      </c>
      <c r="F165" t="s">
        <v>14</v>
      </c>
      <c r="G165" t="s">
        <v>24</v>
      </c>
      <c r="H165" t="s">
        <v>33</v>
      </c>
      <c r="I165" t="s">
        <v>34</v>
      </c>
      <c r="J165" t="s">
        <v>41</v>
      </c>
      <c r="K165">
        <v>0</v>
      </c>
      <c r="L16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65">
        <f>GhanaStream[[#This Row],[Subscription Fee]]-(GhanaStream[[#This Row],[Discount]]*GhanaStream[[#This Row],[Subscription Fee]])</f>
        <v>1000</v>
      </c>
      <c r="N165" t="str">
        <f>IF(GhanaStream[[#This Row],[Churn Flag]]="Yes","Churned","Retained")</f>
        <v>Retained</v>
      </c>
    </row>
    <row r="166" spans="1:14" x14ac:dyDescent="0.25">
      <c r="A166" t="s">
        <v>204</v>
      </c>
      <c r="B166" s="1">
        <v>45550</v>
      </c>
      <c r="C166" t="s">
        <v>12</v>
      </c>
      <c r="D166" t="s">
        <v>27</v>
      </c>
      <c r="E166">
        <v>16200</v>
      </c>
      <c r="F166" t="s">
        <v>14</v>
      </c>
      <c r="G166" t="s">
        <v>28</v>
      </c>
      <c r="H166" t="s">
        <v>16</v>
      </c>
      <c r="I166" t="s">
        <v>17</v>
      </c>
      <c r="J166" t="s">
        <v>55</v>
      </c>
      <c r="K166">
        <v>0.1</v>
      </c>
      <c r="L16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66">
        <f>GhanaStream[[#This Row],[Subscription Fee]]-(GhanaStream[[#This Row],[Discount]]*GhanaStream[[#This Row],[Subscription Fee]])</f>
        <v>14580</v>
      </c>
      <c r="N166" t="str">
        <f>IF(GhanaStream[[#This Row],[Churn Flag]]="Yes","Churned","Retained")</f>
        <v>Churned</v>
      </c>
    </row>
    <row r="167" spans="1:14" x14ac:dyDescent="0.25">
      <c r="A167" t="s">
        <v>205</v>
      </c>
      <c r="B167" s="1">
        <v>45156</v>
      </c>
      <c r="C167" t="s">
        <v>31</v>
      </c>
      <c r="D167" t="s">
        <v>27</v>
      </c>
      <c r="E167">
        <v>10800</v>
      </c>
      <c r="F167" t="s">
        <v>49</v>
      </c>
      <c r="G167" t="s">
        <v>24</v>
      </c>
      <c r="H167" t="s">
        <v>16</v>
      </c>
      <c r="I167" t="s">
        <v>17</v>
      </c>
      <c r="J167" t="s">
        <v>58</v>
      </c>
      <c r="K167">
        <v>0.1</v>
      </c>
      <c r="L16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67">
        <f>GhanaStream[[#This Row],[Subscription Fee]]-(GhanaStream[[#This Row],[Discount]]*GhanaStream[[#This Row],[Subscription Fee]])</f>
        <v>9720</v>
      </c>
      <c r="N167" t="str">
        <f>IF(GhanaStream[[#This Row],[Churn Flag]]="Yes","Churned","Retained")</f>
        <v>Churned</v>
      </c>
    </row>
    <row r="168" spans="1:14" x14ac:dyDescent="0.25">
      <c r="A168" t="s">
        <v>206</v>
      </c>
      <c r="B168" s="1">
        <v>45220</v>
      </c>
      <c r="C168" t="s">
        <v>12</v>
      </c>
      <c r="D168" t="s">
        <v>27</v>
      </c>
      <c r="E168">
        <v>16200</v>
      </c>
      <c r="F168" t="s">
        <v>49</v>
      </c>
      <c r="G168" t="s">
        <v>28</v>
      </c>
      <c r="H168" t="s">
        <v>33</v>
      </c>
      <c r="I168" t="s">
        <v>34</v>
      </c>
      <c r="J168" t="s">
        <v>35</v>
      </c>
      <c r="K168">
        <v>0.1</v>
      </c>
      <c r="L16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68">
        <f>GhanaStream[[#This Row],[Subscription Fee]]-(GhanaStream[[#This Row],[Discount]]*GhanaStream[[#This Row],[Subscription Fee]])</f>
        <v>14580</v>
      </c>
      <c r="N168" t="str">
        <f>IF(GhanaStream[[#This Row],[Churn Flag]]="Yes","Churned","Retained")</f>
        <v>Retained</v>
      </c>
    </row>
    <row r="169" spans="1:14" x14ac:dyDescent="0.25">
      <c r="A169" t="s">
        <v>207</v>
      </c>
      <c r="B169" s="1">
        <v>45136</v>
      </c>
      <c r="C169" t="s">
        <v>31</v>
      </c>
      <c r="D169" t="s">
        <v>13</v>
      </c>
      <c r="E169">
        <v>1000</v>
      </c>
      <c r="F169" t="s">
        <v>14</v>
      </c>
      <c r="G169" t="s">
        <v>28</v>
      </c>
      <c r="H169" t="s">
        <v>33</v>
      </c>
      <c r="I169" t="s">
        <v>34</v>
      </c>
      <c r="J169" t="s">
        <v>37</v>
      </c>
      <c r="K169">
        <v>0</v>
      </c>
      <c r="L16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69">
        <f>GhanaStream[[#This Row],[Subscription Fee]]-(GhanaStream[[#This Row],[Discount]]*GhanaStream[[#This Row],[Subscription Fee]])</f>
        <v>1000</v>
      </c>
      <c r="N169" t="str">
        <f>IF(GhanaStream[[#This Row],[Churn Flag]]="Yes","Churned","Retained")</f>
        <v>Retained</v>
      </c>
    </row>
    <row r="170" spans="1:14" x14ac:dyDescent="0.25">
      <c r="A170" t="s">
        <v>208</v>
      </c>
      <c r="B170" s="1">
        <v>45032</v>
      </c>
      <c r="C170" t="s">
        <v>31</v>
      </c>
      <c r="D170" t="s">
        <v>13</v>
      </c>
      <c r="E170">
        <v>1000</v>
      </c>
      <c r="F170" t="s">
        <v>32</v>
      </c>
      <c r="G170" t="s">
        <v>24</v>
      </c>
      <c r="H170" t="s">
        <v>33</v>
      </c>
      <c r="I170" t="s">
        <v>34</v>
      </c>
      <c r="J170" t="s">
        <v>25</v>
      </c>
      <c r="K170">
        <v>0</v>
      </c>
      <c r="L17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70">
        <f>GhanaStream[[#This Row],[Subscription Fee]]-(GhanaStream[[#This Row],[Discount]]*GhanaStream[[#This Row],[Subscription Fee]])</f>
        <v>1000</v>
      </c>
      <c r="N170" t="str">
        <f>IF(GhanaStream[[#This Row],[Churn Flag]]="Yes","Churned","Retained")</f>
        <v>Retained</v>
      </c>
    </row>
    <row r="171" spans="1:14" x14ac:dyDescent="0.25">
      <c r="A171" t="s">
        <v>209</v>
      </c>
      <c r="B171" s="1">
        <v>45242</v>
      </c>
      <c r="C171" t="s">
        <v>12</v>
      </c>
      <c r="D171" t="s">
        <v>13</v>
      </c>
      <c r="E171">
        <v>1500</v>
      </c>
      <c r="F171" t="s">
        <v>32</v>
      </c>
      <c r="G171" t="s">
        <v>28</v>
      </c>
      <c r="H171" t="s">
        <v>16</v>
      </c>
      <c r="I171" t="s">
        <v>17</v>
      </c>
      <c r="J171" t="s">
        <v>25</v>
      </c>
      <c r="K171">
        <v>0</v>
      </c>
      <c r="L17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71">
        <f>GhanaStream[[#This Row],[Subscription Fee]]-(GhanaStream[[#This Row],[Discount]]*GhanaStream[[#This Row],[Subscription Fee]])</f>
        <v>1500</v>
      </c>
      <c r="N171" t="str">
        <f>IF(GhanaStream[[#This Row],[Churn Flag]]="Yes","Churned","Retained")</f>
        <v>Churned</v>
      </c>
    </row>
    <row r="172" spans="1:14" x14ac:dyDescent="0.25">
      <c r="A172" t="s">
        <v>210</v>
      </c>
      <c r="B172" s="1">
        <v>45028</v>
      </c>
      <c r="C172" t="s">
        <v>20</v>
      </c>
      <c r="D172" t="s">
        <v>13</v>
      </c>
      <c r="E172">
        <v>500</v>
      </c>
      <c r="F172" t="s">
        <v>32</v>
      </c>
      <c r="G172" t="s">
        <v>15</v>
      </c>
      <c r="H172" t="s">
        <v>16</v>
      </c>
      <c r="I172" t="s">
        <v>17</v>
      </c>
      <c r="J172" t="s">
        <v>39</v>
      </c>
      <c r="K172">
        <v>0</v>
      </c>
      <c r="L17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72">
        <f>GhanaStream[[#This Row],[Subscription Fee]]-(GhanaStream[[#This Row],[Discount]]*GhanaStream[[#This Row],[Subscription Fee]])</f>
        <v>500</v>
      </c>
      <c r="N172" t="str">
        <f>IF(GhanaStream[[#This Row],[Churn Flag]]="Yes","Churned","Retained")</f>
        <v>Churned</v>
      </c>
    </row>
    <row r="173" spans="1:14" x14ac:dyDescent="0.25">
      <c r="A173" t="s">
        <v>211</v>
      </c>
      <c r="B173" s="1">
        <v>45536</v>
      </c>
      <c r="C173" t="s">
        <v>12</v>
      </c>
      <c r="D173" t="s">
        <v>27</v>
      </c>
      <c r="E173">
        <v>16200</v>
      </c>
      <c r="F173" t="s">
        <v>49</v>
      </c>
      <c r="G173" t="s">
        <v>28</v>
      </c>
      <c r="H173" t="s">
        <v>16</v>
      </c>
      <c r="I173" t="s">
        <v>17</v>
      </c>
      <c r="J173" t="s">
        <v>35</v>
      </c>
      <c r="K173">
        <v>0.1</v>
      </c>
      <c r="L17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73">
        <f>GhanaStream[[#This Row],[Subscription Fee]]-(GhanaStream[[#This Row],[Discount]]*GhanaStream[[#This Row],[Subscription Fee]])</f>
        <v>14580</v>
      </c>
      <c r="N173" t="str">
        <f>IF(GhanaStream[[#This Row],[Churn Flag]]="Yes","Churned","Retained")</f>
        <v>Churned</v>
      </c>
    </row>
    <row r="174" spans="1:14" x14ac:dyDescent="0.25">
      <c r="A174" t="s">
        <v>212</v>
      </c>
      <c r="B174" s="1">
        <v>45350</v>
      </c>
      <c r="C174" t="s">
        <v>12</v>
      </c>
      <c r="D174" t="s">
        <v>13</v>
      </c>
      <c r="E174">
        <v>1500</v>
      </c>
      <c r="F174" t="s">
        <v>21</v>
      </c>
      <c r="G174" t="s">
        <v>24</v>
      </c>
      <c r="H174" t="s">
        <v>33</v>
      </c>
      <c r="I174" t="s">
        <v>34</v>
      </c>
      <c r="J174" t="s">
        <v>25</v>
      </c>
      <c r="K174">
        <v>0</v>
      </c>
      <c r="L17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74">
        <f>GhanaStream[[#This Row],[Subscription Fee]]-(GhanaStream[[#This Row],[Discount]]*GhanaStream[[#This Row],[Subscription Fee]])</f>
        <v>1500</v>
      </c>
      <c r="N174" t="str">
        <f>IF(GhanaStream[[#This Row],[Churn Flag]]="Yes","Churned","Retained")</f>
        <v>Retained</v>
      </c>
    </row>
    <row r="175" spans="1:14" x14ac:dyDescent="0.25">
      <c r="A175" t="s">
        <v>213</v>
      </c>
      <c r="B175" s="1">
        <v>44955</v>
      </c>
      <c r="C175" t="s">
        <v>20</v>
      </c>
      <c r="D175" t="s">
        <v>27</v>
      </c>
      <c r="E175">
        <v>5400</v>
      </c>
      <c r="F175" t="s">
        <v>21</v>
      </c>
      <c r="G175" t="s">
        <v>24</v>
      </c>
      <c r="H175" t="s">
        <v>33</v>
      </c>
      <c r="I175" t="s">
        <v>34</v>
      </c>
      <c r="J175" t="s">
        <v>22</v>
      </c>
      <c r="K175">
        <v>0.1</v>
      </c>
      <c r="L17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75">
        <f>GhanaStream[[#This Row],[Subscription Fee]]-(GhanaStream[[#This Row],[Discount]]*GhanaStream[[#This Row],[Subscription Fee]])</f>
        <v>4860</v>
      </c>
      <c r="N175" t="str">
        <f>IF(GhanaStream[[#This Row],[Churn Flag]]="Yes","Churned","Retained")</f>
        <v>Retained</v>
      </c>
    </row>
    <row r="176" spans="1:14" x14ac:dyDescent="0.25">
      <c r="A176" t="s">
        <v>214</v>
      </c>
      <c r="B176" s="1">
        <v>45546</v>
      </c>
      <c r="C176" t="s">
        <v>31</v>
      </c>
      <c r="D176" t="s">
        <v>13</v>
      </c>
      <c r="E176">
        <v>1000</v>
      </c>
      <c r="F176" t="s">
        <v>49</v>
      </c>
      <c r="G176" t="s">
        <v>28</v>
      </c>
      <c r="H176" t="s">
        <v>16</v>
      </c>
      <c r="I176" t="s">
        <v>17</v>
      </c>
      <c r="J176" t="s">
        <v>25</v>
      </c>
      <c r="K176">
        <v>0</v>
      </c>
      <c r="L17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76">
        <f>GhanaStream[[#This Row],[Subscription Fee]]-(GhanaStream[[#This Row],[Discount]]*GhanaStream[[#This Row],[Subscription Fee]])</f>
        <v>1000</v>
      </c>
      <c r="N176" t="str">
        <f>IF(GhanaStream[[#This Row],[Churn Flag]]="Yes","Churned","Retained")</f>
        <v>Churned</v>
      </c>
    </row>
    <row r="177" spans="1:14" x14ac:dyDescent="0.25">
      <c r="A177" t="s">
        <v>215</v>
      </c>
      <c r="B177" s="1">
        <v>45259</v>
      </c>
      <c r="C177" t="s">
        <v>12</v>
      </c>
      <c r="D177" t="s">
        <v>13</v>
      </c>
      <c r="E177">
        <v>1500</v>
      </c>
      <c r="F177" t="s">
        <v>14</v>
      </c>
      <c r="G177" t="s">
        <v>28</v>
      </c>
      <c r="H177" t="s">
        <v>33</v>
      </c>
      <c r="I177" t="s">
        <v>34</v>
      </c>
      <c r="J177" t="s">
        <v>55</v>
      </c>
      <c r="K177">
        <v>0</v>
      </c>
      <c r="L17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77">
        <f>GhanaStream[[#This Row],[Subscription Fee]]-(GhanaStream[[#This Row],[Discount]]*GhanaStream[[#This Row],[Subscription Fee]])</f>
        <v>1500</v>
      </c>
      <c r="N177" t="str">
        <f>IF(GhanaStream[[#This Row],[Churn Flag]]="Yes","Churned","Retained")</f>
        <v>Retained</v>
      </c>
    </row>
    <row r="178" spans="1:14" x14ac:dyDescent="0.25">
      <c r="A178" t="s">
        <v>216</v>
      </c>
      <c r="B178" s="1">
        <v>45031</v>
      </c>
      <c r="C178" t="s">
        <v>31</v>
      </c>
      <c r="D178" t="s">
        <v>27</v>
      </c>
      <c r="E178">
        <v>10800</v>
      </c>
      <c r="F178" t="s">
        <v>32</v>
      </c>
      <c r="G178" t="s">
        <v>24</v>
      </c>
      <c r="H178" t="s">
        <v>16</v>
      </c>
      <c r="I178" t="s">
        <v>17</v>
      </c>
      <c r="J178" t="s">
        <v>25</v>
      </c>
      <c r="K178">
        <v>0.1</v>
      </c>
      <c r="L17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78">
        <f>GhanaStream[[#This Row],[Subscription Fee]]-(GhanaStream[[#This Row],[Discount]]*GhanaStream[[#This Row],[Subscription Fee]])</f>
        <v>9720</v>
      </c>
      <c r="N178" t="str">
        <f>IF(GhanaStream[[#This Row],[Churn Flag]]="Yes","Churned","Retained")</f>
        <v>Churned</v>
      </c>
    </row>
    <row r="179" spans="1:14" x14ac:dyDescent="0.25">
      <c r="A179" t="s">
        <v>217</v>
      </c>
      <c r="B179" s="1">
        <v>45009</v>
      </c>
      <c r="C179" t="s">
        <v>31</v>
      </c>
      <c r="D179" t="s">
        <v>27</v>
      </c>
      <c r="E179">
        <v>10800</v>
      </c>
      <c r="F179" t="s">
        <v>49</v>
      </c>
      <c r="G179" t="s">
        <v>24</v>
      </c>
      <c r="H179" t="s">
        <v>33</v>
      </c>
      <c r="I179" t="s">
        <v>34</v>
      </c>
      <c r="J179" t="s">
        <v>35</v>
      </c>
      <c r="K179">
        <v>0.1</v>
      </c>
      <c r="L17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79">
        <f>GhanaStream[[#This Row],[Subscription Fee]]-(GhanaStream[[#This Row],[Discount]]*GhanaStream[[#This Row],[Subscription Fee]])</f>
        <v>9720</v>
      </c>
      <c r="N179" t="str">
        <f>IF(GhanaStream[[#This Row],[Churn Flag]]="Yes","Churned","Retained")</f>
        <v>Retained</v>
      </c>
    </row>
    <row r="180" spans="1:14" x14ac:dyDescent="0.25">
      <c r="A180" t="s">
        <v>218</v>
      </c>
      <c r="B180" s="1">
        <v>45180</v>
      </c>
      <c r="C180" t="s">
        <v>20</v>
      </c>
      <c r="D180" t="s">
        <v>27</v>
      </c>
      <c r="E180">
        <v>5400</v>
      </c>
      <c r="F180" t="s">
        <v>32</v>
      </c>
      <c r="G180" t="s">
        <v>24</v>
      </c>
      <c r="H180" t="s">
        <v>33</v>
      </c>
      <c r="I180" t="s">
        <v>34</v>
      </c>
      <c r="J180" t="s">
        <v>39</v>
      </c>
      <c r="K180">
        <v>0.1</v>
      </c>
      <c r="L18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80">
        <f>GhanaStream[[#This Row],[Subscription Fee]]-(GhanaStream[[#This Row],[Discount]]*GhanaStream[[#This Row],[Subscription Fee]])</f>
        <v>4860</v>
      </c>
      <c r="N180" t="str">
        <f>IF(GhanaStream[[#This Row],[Churn Flag]]="Yes","Churned","Retained")</f>
        <v>Retained</v>
      </c>
    </row>
    <row r="181" spans="1:14" x14ac:dyDescent="0.25">
      <c r="A181" t="s">
        <v>219</v>
      </c>
      <c r="B181" s="1">
        <v>45427</v>
      </c>
      <c r="C181" t="s">
        <v>31</v>
      </c>
      <c r="D181" t="s">
        <v>27</v>
      </c>
      <c r="E181">
        <v>10800</v>
      </c>
      <c r="F181" t="s">
        <v>49</v>
      </c>
      <c r="G181" t="s">
        <v>28</v>
      </c>
      <c r="H181" t="s">
        <v>16</v>
      </c>
      <c r="I181" t="s">
        <v>17</v>
      </c>
      <c r="J181" t="s">
        <v>25</v>
      </c>
      <c r="K181">
        <v>0.1</v>
      </c>
      <c r="L18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81">
        <f>GhanaStream[[#This Row],[Subscription Fee]]-(GhanaStream[[#This Row],[Discount]]*GhanaStream[[#This Row],[Subscription Fee]])</f>
        <v>9720</v>
      </c>
      <c r="N181" t="str">
        <f>IF(GhanaStream[[#This Row],[Churn Flag]]="Yes","Churned","Retained")</f>
        <v>Churned</v>
      </c>
    </row>
    <row r="182" spans="1:14" x14ac:dyDescent="0.25">
      <c r="A182" t="s">
        <v>220</v>
      </c>
      <c r="B182" s="1">
        <v>45338</v>
      </c>
      <c r="C182" t="s">
        <v>20</v>
      </c>
      <c r="D182" t="s">
        <v>13</v>
      </c>
      <c r="E182">
        <v>500</v>
      </c>
      <c r="F182" t="s">
        <v>21</v>
      </c>
      <c r="G182" t="s">
        <v>28</v>
      </c>
      <c r="H182" t="s">
        <v>33</v>
      </c>
      <c r="I182" t="s">
        <v>34</v>
      </c>
      <c r="J182" t="s">
        <v>18</v>
      </c>
      <c r="K182">
        <v>0</v>
      </c>
      <c r="L18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82">
        <f>GhanaStream[[#This Row],[Subscription Fee]]-(GhanaStream[[#This Row],[Discount]]*GhanaStream[[#This Row],[Subscription Fee]])</f>
        <v>500</v>
      </c>
      <c r="N182" t="str">
        <f>IF(GhanaStream[[#This Row],[Churn Flag]]="Yes","Churned","Retained")</f>
        <v>Retained</v>
      </c>
    </row>
    <row r="183" spans="1:14" x14ac:dyDescent="0.25">
      <c r="A183" t="s">
        <v>221</v>
      </c>
      <c r="B183" s="1">
        <v>44963</v>
      </c>
      <c r="C183" t="s">
        <v>12</v>
      </c>
      <c r="D183" t="s">
        <v>13</v>
      </c>
      <c r="E183">
        <v>1500</v>
      </c>
      <c r="F183" t="s">
        <v>32</v>
      </c>
      <c r="G183" t="s">
        <v>24</v>
      </c>
      <c r="H183" t="s">
        <v>33</v>
      </c>
      <c r="I183" t="s">
        <v>34</v>
      </c>
      <c r="J183" t="s">
        <v>66</v>
      </c>
      <c r="K183">
        <v>0</v>
      </c>
      <c r="L18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83">
        <f>GhanaStream[[#This Row],[Subscription Fee]]-(GhanaStream[[#This Row],[Discount]]*GhanaStream[[#This Row],[Subscription Fee]])</f>
        <v>1500</v>
      </c>
      <c r="N183" t="str">
        <f>IF(GhanaStream[[#This Row],[Churn Flag]]="Yes","Churned","Retained")</f>
        <v>Retained</v>
      </c>
    </row>
    <row r="184" spans="1:14" x14ac:dyDescent="0.25">
      <c r="A184" t="s">
        <v>222</v>
      </c>
      <c r="B184" s="1">
        <v>45621</v>
      </c>
      <c r="C184" t="s">
        <v>12</v>
      </c>
      <c r="D184" t="s">
        <v>27</v>
      </c>
      <c r="E184">
        <v>16200</v>
      </c>
      <c r="F184" t="s">
        <v>32</v>
      </c>
      <c r="G184" t="s">
        <v>28</v>
      </c>
      <c r="H184" t="s">
        <v>33</v>
      </c>
      <c r="I184" t="s">
        <v>34</v>
      </c>
      <c r="J184" t="s">
        <v>35</v>
      </c>
      <c r="K184">
        <v>0.1</v>
      </c>
      <c r="L18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84">
        <f>GhanaStream[[#This Row],[Subscription Fee]]-(GhanaStream[[#This Row],[Discount]]*GhanaStream[[#This Row],[Subscription Fee]])</f>
        <v>14580</v>
      </c>
      <c r="N184" t="str">
        <f>IF(GhanaStream[[#This Row],[Churn Flag]]="Yes","Churned","Retained")</f>
        <v>Retained</v>
      </c>
    </row>
    <row r="185" spans="1:14" x14ac:dyDescent="0.25">
      <c r="A185" t="s">
        <v>223</v>
      </c>
      <c r="B185" s="1">
        <v>44999</v>
      </c>
      <c r="C185" t="s">
        <v>31</v>
      </c>
      <c r="D185" t="s">
        <v>13</v>
      </c>
      <c r="E185">
        <v>1000</v>
      </c>
      <c r="F185" t="s">
        <v>14</v>
      </c>
      <c r="G185" t="s">
        <v>24</v>
      </c>
      <c r="H185" t="s">
        <v>16</v>
      </c>
      <c r="I185" t="s">
        <v>17</v>
      </c>
      <c r="J185" t="s">
        <v>18</v>
      </c>
      <c r="K185">
        <v>0</v>
      </c>
      <c r="L18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85">
        <f>GhanaStream[[#This Row],[Subscription Fee]]-(GhanaStream[[#This Row],[Discount]]*GhanaStream[[#This Row],[Subscription Fee]])</f>
        <v>1000</v>
      </c>
      <c r="N185" t="str">
        <f>IF(GhanaStream[[#This Row],[Churn Flag]]="Yes","Churned","Retained")</f>
        <v>Churned</v>
      </c>
    </row>
    <row r="186" spans="1:14" x14ac:dyDescent="0.25">
      <c r="A186" t="s">
        <v>224</v>
      </c>
      <c r="B186" s="1">
        <v>45655</v>
      </c>
      <c r="C186" t="s">
        <v>12</v>
      </c>
      <c r="D186" t="s">
        <v>27</v>
      </c>
      <c r="E186">
        <v>16200</v>
      </c>
      <c r="F186" t="s">
        <v>21</v>
      </c>
      <c r="G186" t="s">
        <v>15</v>
      </c>
      <c r="H186" t="s">
        <v>16</v>
      </c>
      <c r="I186" t="s">
        <v>17</v>
      </c>
      <c r="J186" t="s">
        <v>18</v>
      </c>
      <c r="K186">
        <v>0.1</v>
      </c>
      <c r="L18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86">
        <f>GhanaStream[[#This Row],[Subscription Fee]]-(GhanaStream[[#This Row],[Discount]]*GhanaStream[[#This Row],[Subscription Fee]])</f>
        <v>14580</v>
      </c>
      <c r="N186" t="str">
        <f>IF(GhanaStream[[#This Row],[Churn Flag]]="Yes","Churned","Retained")</f>
        <v>Churned</v>
      </c>
    </row>
    <row r="187" spans="1:14" x14ac:dyDescent="0.25">
      <c r="A187" t="s">
        <v>225</v>
      </c>
      <c r="B187" s="1">
        <v>45226</v>
      </c>
      <c r="C187" t="s">
        <v>12</v>
      </c>
      <c r="D187" t="s">
        <v>27</v>
      </c>
      <c r="E187">
        <v>16200</v>
      </c>
      <c r="F187" t="s">
        <v>21</v>
      </c>
      <c r="G187" t="s">
        <v>15</v>
      </c>
      <c r="H187" t="s">
        <v>16</v>
      </c>
      <c r="I187" t="s">
        <v>17</v>
      </c>
      <c r="J187" t="s">
        <v>18</v>
      </c>
      <c r="K187">
        <v>0.1</v>
      </c>
      <c r="L18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87">
        <f>GhanaStream[[#This Row],[Subscription Fee]]-(GhanaStream[[#This Row],[Discount]]*GhanaStream[[#This Row],[Subscription Fee]])</f>
        <v>14580</v>
      </c>
      <c r="N187" t="str">
        <f>IF(GhanaStream[[#This Row],[Churn Flag]]="Yes","Churned","Retained")</f>
        <v>Churned</v>
      </c>
    </row>
    <row r="188" spans="1:14" x14ac:dyDescent="0.25">
      <c r="A188" t="s">
        <v>226</v>
      </c>
      <c r="B188" s="1">
        <v>45181</v>
      </c>
      <c r="C188" t="s">
        <v>31</v>
      </c>
      <c r="D188" t="s">
        <v>27</v>
      </c>
      <c r="E188">
        <v>10800</v>
      </c>
      <c r="F188" t="s">
        <v>21</v>
      </c>
      <c r="G188" t="s">
        <v>28</v>
      </c>
      <c r="H188" t="s">
        <v>16</v>
      </c>
      <c r="I188" t="s">
        <v>17</v>
      </c>
      <c r="J188" t="s">
        <v>18</v>
      </c>
      <c r="K188">
        <v>0.1</v>
      </c>
      <c r="L18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88">
        <f>GhanaStream[[#This Row],[Subscription Fee]]-(GhanaStream[[#This Row],[Discount]]*GhanaStream[[#This Row],[Subscription Fee]])</f>
        <v>9720</v>
      </c>
      <c r="N188" t="str">
        <f>IF(GhanaStream[[#This Row],[Churn Flag]]="Yes","Churned","Retained")</f>
        <v>Churned</v>
      </c>
    </row>
    <row r="189" spans="1:14" x14ac:dyDescent="0.25">
      <c r="A189" t="s">
        <v>227</v>
      </c>
      <c r="B189" s="1">
        <v>45066</v>
      </c>
      <c r="C189" t="s">
        <v>12</v>
      </c>
      <c r="D189" t="s">
        <v>27</v>
      </c>
      <c r="E189">
        <v>16200</v>
      </c>
      <c r="F189" t="s">
        <v>14</v>
      </c>
      <c r="G189" t="s">
        <v>28</v>
      </c>
      <c r="H189" t="s">
        <v>16</v>
      </c>
      <c r="I189" t="s">
        <v>17</v>
      </c>
      <c r="J189" t="s">
        <v>37</v>
      </c>
      <c r="K189">
        <v>0.1</v>
      </c>
      <c r="L18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89">
        <f>GhanaStream[[#This Row],[Subscription Fee]]-(GhanaStream[[#This Row],[Discount]]*GhanaStream[[#This Row],[Subscription Fee]])</f>
        <v>14580</v>
      </c>
      <c r="N189" t="str">
        <f>IF(GhanaStream[[#This Row],[Churn Flag]]="Yes","Churned","Retained")</f>
        <v>Churned</v>
      </c>
    </row>
    <row r="190" spans="1:14" x14ac:dyDescent="0.25">
      <c r="A190" t="s">
        <v>228</v>
      </c>
      <c r="B190" s="1">
        <v>45297</v>
      </c>
      <c r="C190" t="s">
        <v>12</v>
      </c>
      <c r="D190" t="s">
        <v>13</v>
      </c>
      <c r="E190">
        <v>1500</v>
      </c>
      <c r="F190" t="s">
        <v>21</v>
      </c>
      <c r="G190" t="s">
        <v>28</v>
      </c>
      <c r="H190" t="s">
        <v>16</v>
      </c>
      <c r="I190" t="s">
        <v>17</v>
      </c>
      <c r="J190" t="s">
        <v>25</v>
      </c>
      <c r="K190">
        <v>0</v>
      </c>
      <c r="L19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90">
        <f>GhanaStream[[#This Row],[Subscription Fee]]-(GhanaStream[[#This Row],[Discount]]*GhanaStream[[#This Row],[Subscription Fee]])</f>
        <v>1500</v>
      </c>
      <c r="N190" t="str">
        <f>IF(GhanaStream[[#This Row],[Churn Flag]]="Yes","Churned","Retained")</f>
        <v>Churned</v>
      </c>
    </row>
    <row r="191" spans="1:14" x14ac:dyDescent="0.25">
      <c r="A191" t="s">
        <v>229</v>
      </c>
      <c r="B191" s="1">
        <v>45389</v>
      </c>
      <c r="C191" t="s">
        <v>31</v>
      </c>
      <c r="D191" t="s">
        <v>27</v>
      </c>
      <c r="E191">
        <v>10800</v>
      </c>
      <c r="F191" t="s">
        <v>32</v>
      </c>
      <c r="G191" t="s">
        <v>15</v>
      </c>
      <c r="H191" t="s">
        <v>16</v>
      </c>
      <c r="I191" t="s">
        <v>17</v>
      </c>
      <c r="J191" t="s">
        <v>35</v>
      </c>
      <c r="K191">
        <v>0.1</v>
      </c>
      <c r="L19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91">
        <f>GhanaStream[[#This Row],[Subscription Fee]]-(GhanaStream[[#This Row],[Discount]]*GhanaStream[[#This Row],[Subscription Fee]])</f>
        <v>9720</v>
      </c>
      <c r="N191" t="str">
        <f>IF(GhanaStream[[#This Row],[Churn Flag]]="Yes","Churned","Retained")</f>
        <v>Churned</v>
      </c>
    </row>
    <row r="192" spans="1:14" x14ac:dyDescent="0.25">
      <c r="A192" t="s">
        <v>230</v>
      </c>
      <c r="B192" s="1">
        <v>45096</v>
      </c>
      <c r="C192" t="s">
        <v>12</v>
      </c>
      <c r="D192" t="s">
        <v>13</v>
      </c>
      <c r="E192">
        <v>1500</v>
      </c>
      <c r="F192" t="s">
        <v>32</v>
      </c>
      <c r="G192" t="s">
        <v>15</v>
      </c>
      <c r="H192" t="s">
        <v>16</v>
      </c>
      <c r="I192" t="s">
        <v>17</v>
      </c>
      <c r="J192" t="s">
        <v>35</v>
      </c>
      <c r="K192">
        <v>0</v>
      </c>
      <c r="L19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92">
        <f>GhanaStream[[#This Row],[Subscription Fee]]-(GhanaStream[[#This Row],[Discount]]*GhanaStream[[#This Row],[Subscription Fee]])</f>
        <v>1500</v>
      </c>
      <c r="N192" t="str">
        <f>IF(GhanaStream[[#This Row],[Churn Flag]]="Yes","Churned","Retained")</f>
        <v>Churned</v>
      </c>
    </row>
    <row r="193" spans="1:14" x14ac:dyDescent="0.25">
      <c r="A193" t="s">
        <v>231</v>
      </c>
      <c r="B193" s="1">
        <v>45553</v>
      </c>
      <c r="C193" t="s">
        <v>12</v>
      </c>
      <c r="D193" t="s">
        <v>27</v>
      </c>
      <c r="E193">
        <v>16200</v>
      </c>
      <c r="F193" t="s">
        <v>14</v>
      </c>
      <c r="G193" t="s">
        <v>24</v>
      </c>
      <c r="H193" t="s">
        <v>16</v>
      </c>
      <c r="I193" t="s">
        <v>17</v>
      </c>
      <c r="J193" t="s">
        <v>22</v>
      </c>
      <c r="K193">
        <v>0.1</v>
      </c>
      <c r="L19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93">
        <f>GhanaStream[[#This Row],[Subscription Fee]]-(GhanaStream[[#This Row],[Discount]]*GhanaStream[[#This Row],[Subscription Fee]])</f>
        <v>14580</v>
      </c>
      <c r="N193" t="str">
        <f>IF(GhanaStream[[#This Row],[Churn Flag]]="Yes","Churned","Retained")</f>
        <v>Churned</v>
      </c>
    </row>
    <row r="194" spans="1:14" x14ac:dyDescent="0.25">
      <c r="A194" t="s">
        <v>232</v>
      </c>
      <c r="B194" s="1">
        <v>45062</v>
      </c>
      <c r="C194" t="s">
        <v>20</v>
      </c>
      <c r="D194" t="s">
        <v>13</v>
      </c>
      <c r="E194">
        <v>500</v>
      </c>
      <c r="F194" t="s">
        <v>14</v>
      </c>
      <c r="G194" t="s">
        <v>24</v>
      </c>
      <c r="H194" t="s">
        <v>33</v>
      </c>
      <c r="I194" t="s">
        <v>34</v>
      </c>
      <c r="J194" t="s">
        <v>22</v>
      </c>
      <c r="K194">
        <v>0</v>
      </c>
      <c r="L19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94">
        <f>GhanaStream[[#This Row],[Subscription Fee]]-(GhanaStream[[#This Row],[Discount]]*GhanaStream[[#This Row],[Subscription Fee]])</f>
        <v>500</v>
      </c>
      <c r="N194" t="str">
        <f>IF(GhanaStream[[#This Row],[Churn Flag]]="Yes","Churned","Retained")</f>
        <v>Retained</v>
      </c>
    </row>
    <row r="195" spans="1:14" x14ac:dyDescent="0.25">
      <c r="A195" t="s">
        <v>233</v>
      </c>
      <c r="B195" s="1">
        <v>44991</v>
      </c>
      <c r="C195" t="s">
        <v>12</v>
      </c>
      <c r="D195" t="s">
        <v>27</v>
      </c>
      <c r="E195">
        <v>16200</v>
      </c>
      <c r="F195" t="s">
        <v>49</v>
      </c>
      <c r="G195" t="s">
        <v>24</v>
      </c>
      <c r="H195" t="s">
        <v>33</v>
      </c>
      <c r="I195" t="s">
        <v>34</v>
      </c>
      <c r="J195" t="s">
        <v>22</v>
      </c>
      <c r="K195">
        <v>0.1</v>
      </c>
      <c r="L19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95">
        <f>GhanaStream[[#This Row],[Subscription Fee]]-(GhanaStream[[#This Row],[Discount]]*GhanaStream[[#This Row],[Subscription Fee]])</f>
        <v>14580</v>
      </c>
      <c r="N195" t="str">
        <f>IF(GhanaStream[[#This Row],[Churn Flag]]="Yes","Churned","Retained")</f>
        <v>Retained</v>
      </c>
    </row>
    <row r="196" spans="1:14" x14ac:dyDescent="0.25">
      <c r="A196" t="s">
        <v>234</v>
      </c>
      <c r="B196" s="1">
        <v>45633</v>
      </c>
      <c r="C196" t="s">
        <v>20</v>
      </c>
      <c r="D196" t="s">
        <v>27</v>
      </c>
      <c r="E196">
        <v>5400</v>
      </c>
      <c r="F196" t="s">
        <v>21</v>
      </c>
      <c r="G196" t="s">
        <v>28</v>
      </c>
      <c r="H196" t="s">
        <v>33</v>
      </c>
      <c r="I196" t="s">
        <v>34</v>
      </c>
      <c r="J196" t="s">
        <v>29</v>
      </c>
      <c r="K196">
        <v>0.1</v>
      </c>
      <c r="L19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96">
        <f>GhanaStream[[#This Row],[Subscription Fee]]-(GhanaStream[[#This Row],[Discount]]*GhanaStream[[#This Row],[Subscription Fee]])</f>
        <v>4860</v>
      </c>
      <c r="N196" t="str">
        <f>IF(GhanaStream[[#This Row],[Churn Flag]]="Yes","Churned","Retained")</f>
        <v>Retained</v>
      </c>
    </row>
    <row r="197" spans="1:14" x14ac:dyDescent="0.25">
      <c r="A197" t="s">
        <v>235</v>
      </c>
      <c r="B197" s="1">
        <v>45262</v>
      </c>
      <c r="C197" t="s">
        <v>31</v>
      </c>
      <c r="D197" t="s">
        <v>27</v>
      </c>
      <c r="E197">
        <v>10800</v>
      </c>
      <c r="F197" t="s">
        <v>49</v>
      </c>
      <c r="G197" t="s">
        <v>24</v>
      </c>
      <c r="H197" t="s">
        <v>33</v>
      </c>
      <c r="I197" t="s">
        <v>34</v>
      </c>
      <c r="J197" t="s">
        <v>35</v>
      </c>
      <c r="K197">
        <v>0.1</v>
      </c>
      <c r="L19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97">
        <f>GhanaStream[[#This Row],[Subscription Fee]]-(GhanaStream[[#This Row],[Discount]]*GhanaStream[[#This Row],[Subscription Fee]])</f>
        <v>9720</v>
      </c>
      <c r="N197" t="str">
        <f>IF(GhanaStream[[#This Row],[Churn Flag]]="Yes","Churned","Retained")</f>
        <v>Retained</v>
      </c>
    </row>
    <row r="198" spans="1:14" x14ac:dyDescent="0.25">
      <c r="A198" t="s">
        <v>236</v>
      </c>
      <c r="B198" s="1">
        <v>45584</v>
      </c>
      <c r="C198" t="s">
        <v>12</v>
      </c>
      <c r="D198" t="s">
        <v>13</v>
      </c>
      <c r="E198">
        <v>1500</v>
      </c>
      <c r="F198" t="s">
        <v>21</v>
      </c>
      <c r="G198" t="s">
        <v>15</v>
      </c>
      <c r="H198" t="s">
        <v>16</v>
      </c>
      <c r="I198" t="s">
        <v>17</v>
      </c>
      <c r="J198" t="s">
        <v>22</v>
      </c>
      <c r="K198">
        <v>0</v>
      </c>
      <c r="L19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98">
        <f>GhanaStream[[#This Row],[Subscription Fee]]-(GhanaStream[[#This Row],[Discount]]*GhanaStream[[#This Row],[Subscription Fee]])</f>
        <v>1500</v>
      </c>
      <c r="N198" t="str">
        <f>IF(GhanaStream[[#This Row],[Churn Flag]]="Yes","Churned","Retained")</f>
        <v>Churned</v>
      </c>
    </row>
    <row r="199" spans="1:14" x14ac:dyDescent="0.25">
      <c r="A199" t="s">
        <v>237</v>
      </c>
      <c r="B199" s="1">
        <v>45180</v>
      </c>
      <c r="C199" t="s">
        <v>12</v>
      </c>
      <c r="D199" t="s">
        <v>13</v>
      </c>
      <c r="E199">
        <v>1500</v>
      </c>
      <c r="F199" t="s">
        <v>32</v>
      </c>
      <c r="G199" t="s">
        <v>24</v>
      </c>
      <c r="H199" t="s">
        <v>16</v>
      </c>
      <c r="I199" t="s">
        <v>17</v>
      </c>
      <c r="J199" t="s">
        <v>25</v>
      </c>
      <c r="K199">
        <v>0</v>
      </c>
      <c r="L19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99">
        <f>GhanaStream[[#This Row],[Subscription Fee]]-(GhanaStream[[#This Row],[Discount]]*GhanaStream[[#This Row],[Subscription Fee]])</f>
        <v>1500</v>
      </c>
      <c r="N199" t="str">
        <f>IF(GhanaStream[[#This Row],[Churn Flag]]="Yes","Churned","Retained")</f>
        <v>Churned</v>
      </c>
    </row>
    <row r="200" spans="1:14" x14ac:dyDescent="0.25">
      <c r="A200" t="s">
        <v>238</v>
      </c>
      <c r="B200" s="1">
        <v>45192</v>
      </c>
      <c r="C200" t="s">
        <v>20</v>
      </c>
      <c r="D200" t="s">
        <v>27</v>
      </c>
      <c r="E200">
        <v>5400</v>
      </c>
      <c r="F200" t="s">
        <v>14</v>
      </c>
      <c r="G200" t="s">
        <v>24</v>
      </c>
      <c r="H200" t="s">
        <v>16</v>
      </c>
      <c r="I200" t="s">
        <v>17</v>
      </c>
      <c r="J200" t="s">
        <v>37</v>
      </c>
      <c r="K200">
        <v>0.1</v>
      </c>
      <c r="L20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200">
        <f>GhanaStream[[#This Row],[Subscription Fee]]-(GhanaStream[[#This Row],[Discount]]*GhanaStream[[#This Row],[Subscription Fee]])</f>
        <v>4860</v>
      </c>
      <c r="N200" t="str">
        <f>IF(GhanaStream[[#This Row],[Churn Flag]]="Yes","Churned","Retained")</f>
        <v>Churned</v>
      </c>
    </row>
    <row r="201" spans="1:14" x14ac:dyDescent="0.25">
      <c r="A201" t="s">
        <v>239</v>
      </c>
      <c r="B201" s="1">
        <v>45205</v>
      </c>
      <c r="C201" t="s">
        <v>20</v>
      </c>
      <c r="D201" t="s">
        <v>27</v>
      </c>
      <c r="E201">
        <v>5400</v>
      </c>
      <c r="F201" t="s">
        <v>21</v>
      </c>
      <c r="G201" t="s">
        <v>15</v>
      </c>
      <c r="H201" t="s">
        <v>16</v>
      </c>
      <c r="I201" t="s">
        <v>17</v>
      </c>
      <c r="J201" t="s">
        <v>18</v>
      </c>
      <c r="K201">
        <v>0.1</v>
      </c>
      <c r="L20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201">
        <f>GhanaStream[[#This Row],[Subscription Fee]]-(GhanaStream[[#This Row],[Discount]]*GhanaStream[[#This Row],[Subscription Fee]])</f>
        <v>4860</v>
      </c>
      <c r="N201" t="str">
        <f>IF(GhanaStream[[#This Row],[Churn Flag]]="Yes","Churned","Retained")</f>
        <v>Churned</v>
      </c>
    </row>
    <row r="202" spans="1:14" x14ac:dyDescent="0.25">
      <c r="A202" t="s">
        <v>240</v>
      </c>
      <c r="B202" s="1">
        <v>45397</v>
      </c>
      <c r="C202" t="s">
        <v>12</v>
      </c>
      <c r="D202" t="s">
        <v>13</v>
      </c>
      <c r="E202">
        <v>1500</v>
      </c>
      <c r="F202" t="s">
        <v>14</v>
      </c>
      <c r="G202" t="s">
        <v>28</v>
      </c>
      <c r="H202" t="s">
        <v>16</v>
      </c>
      <c r="I202" t="s">
        <v>17</v>
      </c>
      <c r="J202" t="s">
        <v>41</v>
      </c>
      <c r="K202">
        <v>0</v>
      </c>
      <c r="L20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202">
        <f>GhanaStream[[#This Row],[Subscription Fee]]-(GhanaStream[[#This Row],[Discount]]*GhanaStream[[#This Row],[Subscription Fee]])</f>
        <v>1500</v>
      </c>
      <c r="N202" t="str">
        <f>IF(GhanaStream[[#This Row],[Churn Flag]]="Yes","Churned","Retained")</f>
        <v>Churned</v>
      </c>
    </row>
    <row r="203" spans="1:14" x14ac:dyDescent="0.25">
      <c r="A203" t="s">
        <v>241</v>
      </c>
      <c r="B203" s="1">
        <v>45284</v>
      </c>
      <c r="C203" t="s">
        <v>20</v>
      </c>
      <c r="D203" t="s">
        <v>27</v>
      </c>
      <c r="E203">
        <v>5400</v>
      </c>
      <c r="F203" t="s">
        <v>49</v>
      </c>
      <c r="G203" t="s">
        <v>24</v>
      </c>
      <c r="H203" t="s">
        <v>16</v>
      </c>
      <c r="I203" t="s">
        <v>17</v>
      </c>
      <c r="J203" t="s">
        <v>18</v>
      </c>
      <c r="K203">
        <v>0.1</v>
      </c>
      <c r="L20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203">
        <f>GhanaStream[[#This Row],[Subscription Fee]]-(GhanaStream[[#This Row],[Discount]]*GhanaStream[[#This Row],[Subscription Fee]])</f>
        <v>4860</v>
      </c>
      <c r="N203" t="str">
        <f>IF(GhanaStream[[#This Row],[Churn Flag]]="Yes","Churned","Retained")</f>
        <v>Churned</v>
      </c>
    </row>
    <row r="204" spans="1:14" x14ac:dyDescent="0.25">
      <c r="A204" t="s">
        <v>242</v>
      </c>
      <c r="B204" s="1">
        <v>45611</v>
      </c>
      <c r="C204" t="s">
        <v>20</v>
      </c>
      <c r="D204" t="s">
        <v>13</v>
      </c>
      <c r="E204">
        <v>500</v>
      </c>
      <c r="F204" t="s">
        <v>49</v>
      </c>
      <c r="G204" t="s">
        <v>24</v>
      </c>
      <c r="H204" t="s">
        <v>33</v>
      </c>
      <c r="I204" t="s">
        <v>34</v>
      </c>
      <c r="J204" t="s">
        <v>25</v>
      </c>
      <c r="K204">
        <v>0</v>
      </c>
      <c r="L20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204">
        <f>GhanaStream[[#This Row],[Subscription Fee]]-(GhanaStream[[#This Row],[Discount]]*GhanaStream[[#This Row],[Subscription Fee]])</f>
        <v>500</v>
      </c>
      <c r="N204" t="str">
        <f>IF(GhanaStream[[#This Row],[Churn Flag]]="Yes","Churned","Retained")</f>
        <v>Retained</v>
      </c>
    </row>
    <row r="205" spans="1:14" x14ac:dyDescent="0.25">
      <c r="A205" t="s">
        <v>243</v>
      </c>
      <c r="B205" s="1">
        <v>45552</v>
      </c>
      <c r="C205" t="s">
        <v>31</v>
      </c>
      <c r="D205" t="s">
        <v>27</v>
      </c>
      <c r="E205">
        <v>10800</v>
      </c>
      <c r="F205" t="s">
        <v>49</v>
      </c>
      <c r="G205" t="s">
        <v>24</v>
      </c>
      <c r="H205" t="s">
        <v>33</v>
      </c>
      <c r="I205" t="s">
        <v>34</v>
      </c>
      <c r="J205" t="s">
        <v>22</v>
      </c>
      <c r="K205">
        <v>0.1</v>
      </c>
      <c r="L20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205">
        <f>GhanaStream[[#This Row],[Subscription Fee]]-(GhanaStream[[#This Row],[Discount]]*GhanaStream[[#This Row],[Subscription Fee]])</f>
        <v>9720</v>
      </c>
      <c r="N205" t="str">
        <f>IF(GhanaStream[[#This Row],[Churn Flag]]="Yes","Churned","Retained")</f>
        <v>Retained</v>
      </c>
    </row>
    <row r="206" spans="1:14" x14ac:dyDescent="0.25">
      <c r="A206" t="s">
        <v>244</v>
      </c>
      <c r="B206" s="1">
        <v>44931</v>
      </c>
      <c r="C206" t="s">
        <v>12</v>
      </c>
      <c r="D206" t="s">
        <v>27</v>
      </c>
      <c r="E206">
        <v>16200</v>
      </c>
      <c r="F206" t="s">
        <v>49</v>
      </c>
      <c r="G206" t="s">
        <v>28</v>
      </c>
      <c r="H206" t="s">
        <v>16</v>
      </c>
      <c r="I206" t="s">
        <v>17</v>
      </c>
      <c r="J206" t="s">
        <v>50</v>
      </c>
      <c r="K206">
        <v>0.1</v>
      </c>
      <c r="L20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206">
        <f>GhanaStream[[#This Row],[Subscription Fee]]-(GhanaStream[[#This Row],[Discount]]*GhanaStream[[#This Row],[Subscription Fee]])</f>
        <v>14580</v>
      </c>
      <c r="N206" t="str">
        <f>IF(GhanaStream[[#This Row],[Churn Flag]]="Yes","Churned","Retained")</f>
        <v>Churned</v>
      </c>
    </row>
    <row r="207" spans="1:14" x14ac:dyDescent="0.25">
      <c r="A207" t="s">
        <v>245</v>
      </c>
      <c r="B207" s="1">
        <v>44977</v>
      </c>
      <c r="C207" t="s">
        <v>31</v>
      </c>
      <c r="D207" t="s">
        <v>27</v>
      </c>
      <c r="E207">
        <v>10800</v>
      </c>
      <c r="F207" t="s">
        <v>14</v>
      </c>
      <c r="G207" t="s">
        <v>28</v>
      </c>
      <c r="H207" t="s">
        <v>33</v>
      </c>
      <c r="I207" t="s">
        <v>34</v>
      </c>
      <c r="J207" t="s">
        <v>37</v>
      </c>
      <c r="K207">
        <v>0.1</v>
      </c>
      <c r="L20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207">
        <f>GhanaStream[[#This Row],[Subscription Fee]]-(GhanaStream[[#This Row],[Discount]]*GhanaStream[[#This Row],[Subscription Fee]])</f>
        <v>9720</v>
      </c>
      <c r="N207" t="str">
        <f>IF(GhanaStream[[#This Row],[Churn Flag]]="Yes","Churned","Retained")</f>
        <v>Retained</v>
      </c>
    </row>
    <row r="208" spans="1:14" x14ac:dyDescent="0.25">
      <c r="A208" t="s">
        <v>246</v>
      </c>
      <c r="B208" s="1">
        <v>45444</v>
      </c>
      <c r="C208" t="s">
        <v>31</v>
      </c>
      <c r="D208" t="s">
        <v>27</v>
      </c>
      <c r="E208">
        <v>10800</v>
      </c>
      <c r="F208" t="s">
        <v>49</v>
      </c>
      <c r="G208" t="s">
        <v>24</v>
      </c>
      <c r="H208" t="s">
        <v>33</v>
      </c>
      <c r="I208" t="s">
        <v>34</v>
      </c>
      <c r="J208" t="s">
        <v>58</v>
      </c>
      <c r="K208">
        <v>0.1</v>
      </c>
      <c r="L20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208">
        <f>GhanaStream[[#This Row],[Subscription Fee]]-(GhanaStream[[#This Row],[Discount]]*GhanaStream[[#This Row],[Subscription Fee]])</f>
        <v>9720</v>
      </c>
      <c r="N208" t="str">
        <f>IF(GhanaStream[[#This Row],[Churn Flag]]="Yes","Churned","Retained")</f>
        <v>Retained</v>
      </c>
    </row>
    <row r="209" spans="1:14" x14ac:dyDescent="0.25">
      <c r="A209" t="s">
        <v>247</v>
      </c>
      <c r="B209" s="1">
        <v>45406</v>
      </c>
      <c r="C209" t="s">
        <v>20</v>
      </c>
      <c r="D209" t="s">
        <v>13</v>
      </c>
      <c r="E209">
        <v>500</v>
      </c>
      <c r="F209" t="s">
        <v>32</v>
      </c>
      <c r="G209" t="s">
        <v>24</v>
      </c>
      <c r="H209" t="s">
        <v>33</v>
      </c>
      <c r="I209" t="s">
        <v>34</v>
      </c>
      <c r="J209" t="s">
        <v>35</v>
      </c>
      <c r="K209">
        <v>0</v>
      </c>
      <c r="L20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209">
        <f>GhanaStream[[#This Row],[Subscription Fee]]-(GhanaStream[[#This Row],[Discount]]*GhanaStream[[#This Row],[Subscription Fee]])</f>
        <v>500</v>
      </c>
      <c r="N209" t="str">
        <f>IF(GhanaStream[[#This Row],[Churn Flag]]="Yes","Churned","Retained")</f>
        <v>Retained</v>
      </c>
    </row>
    <row r="210" spans="1:14" x14ac:dyDescent="0.25">
      <c r="A210" t="s">
        <v>248</v>
      </c>
      <c r="B210" s="1">
        <v>45187</v>
      </c>
      <c r="C210" t="s">
        <v>20</v>
      </c>
      <c r="D210" t="s">
        <v>13</v>
      </c>
      <c r="E210">
        <v>500</v>
      </c>
      <c r="F210" t="s">
        <v>21</v>
      </c>
      <c r="G210" t="s">
        <v>28</v>
      </c>
      <c r="H210" t="s">
        <v>33</v>
      </c>
      <c r="I210" t="s">
        <v>34</v>
      </c>
      <c r="J210" t="s">
        <v>29</v>
      </c>
      <c r="K210">
        <v>0</v>
      </c>
      <c r="L21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210">
        <f>GhanaStream[[#This Row],[Subscription Fee]]-(GhanaStream[[#This Row],[Discount]]*GhanaStream[[#This Row],[Subscription Fee]])</f>
        <v>500</v>
      </c>
      <c r="N210" t="str">
        <f>IF(GhanaStream[[#This Row],[Churn Flag]]="Yes","Churned","Retained")</f>
        <v>Retained</v>
      </c>
    </row>
    <row r="211" spans="1:14" x14ac:dyDescent="0.25">
      <c r="A211" t="s">
        <v>249</v>
      </c>
      <c r="B211" s="1">
        <v>45170</v>
      </c>
      <c r="C211" t="s">
        <v>20</v>
      </c>
      <c r="D211" t="s">
        <v>27</v>
      </c>
      <c r="E211">
        <v>5400</v>
      </c>
      <c r="F211" t="s">
        <v>21</v>
      </c>
      <c r="G211" t="s">
        <v>15</v>
      </c>
      <c r="H211" t="s">
        <v>16</v>
      </c>
      <c r="I211" t="s">
        <v>17</v>
      </c>
      <c r="J211" t="s">
        <v>22</v>
      </c>
      <c r="K211">
        <v>0.1</v>
      </c>
      <c r="L21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211">
        <f>GhanaStream[[#This Row],[Subscription Fee]]-(GhanaStream[[#This Row],[Discount]]*GhanaStream[[#This Row],[Subscription Fee]])</f>
        <v>4860</v>
      </c>
      <c r="N211" t="str">
        <f>IF(GhanaStream[[#This Row],[Churn Flag]]="Yes","Churned","Retained")</f>
        <v>Churned</v>
      </c>
    </row>
    <row r="212" spans="1:14" x14ac:dyDescent="0.25">
      <c r="A212" t="s">
        <v>250</v>
      </c>
      <c r="B212" s="1">
        <v>45339</v>
      </c>
      <c r="C212" t="s">
        <v>12</v>
      </c>
      <c r="D212" t="s">
        <v>27</v>
      </c>
      <c r="E212">
        <v>16200</v>
      </c>
      <c r="F212" t="s">
        <v>32</v>
      </c>
      <c r="G212" t="s">
        <v>28</v>
      </c>
      <c r="H212" t="s">
        <v>16</v>
      </c>
      <c r="I212" t="s">
        <v>17</v>
      </c>
      <c r="J212" t="s">
        <v>35</v>
      </c>
      <c r="K212">
        <v>0.1</v>
      </c>
      <c r="L21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212">
        <f>GhanaStream[[#This Row],[Subscription Fee]]-(GhanaStream[[#This Row],[Discount]]*GhanaStream[[#This Row],[Subscription Fee]])</f>
        <v>14580</v>
      </c>
      <c r="N212" t="str">
        <f>IF(GhanaStream[[#This Row],[Churn Flag]]="Yes","Churned","Retained")</f>
        <v>Churned</v>
      </c>
    </row>
    <row r="213" spans="1:14" x14ac:dyDescent="0.25">
      <c r="A213" t="s">
        <v>251</v>
      </c>
      <c r="B213" s="1">
        <v>45465</v>
      </c>
      <c r="C213" t="s">
        <v>20</v>
      </c>
      <c r="D213" t="s">
        <v>13</v>
      </c>
      <c r="E213">
        <v>500</v>
      </c>
      <c r="F213" t="s">
        <v>32</v>
      </c>
      <c r="G213" t="s">
        <v>28</v>
      </c>
      <c r="H213" t="s">
        <v>33</v>
      </c>
      <c r="I213" t="s">
        <v>34</v>
      </c>
      <c r="J213" t="s">
        <v>35</v>
      </c>
      <c r="K213">
        <v>0</v>
      </c>
      <c r="L21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213">
        <f>GhanaStream[[#This Row],[Subscription Fee]]-(GhanaStream[[#This Row],[Discount]]*GhanaStream[[#This Row],[Subscription Fee]])</f>
        <v>500</v>
      </c>
      <c r="N213" t="str">
        <f>IF(GhanaStream[[#This Row],[Churn Flag]]="Yes","Churned","Retained")</f>
        <v>Retained</v>
      </c>
    </row>
    <row r="214" spans="1:14" x14ac:dyDescent="0.25">
      <c r="A214" t="s">
        <v>252</v>
      </c>
      <c r="B214" s="1">
        <v>45616</v>
      </c>
      <c r="C214" t="s">
        <v>12</v>
      </c>
      <c r="D214" t="s">
        <v>27</v>
      </c>
      <c r="E214">
        <v>16200</v>
      </c>
      <c r="F214" t="s">
        <v>21</v>
      </c>
      <c r="G214" t="s">
        <v>24</v>
      </c>
      <c r="H214" t="s">
        <v>33</v>
      </c>
      <c r="I214" t="s">
        <v>34</v>
      </c>
      <c r="J214" t="s">
        <v>29</v>
      </c>
      <c r="K214">
        <v>0.1</v>
      </c>
      <c r="L21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214">
        <f>GhanaStream[[#This Row],[Subscription Fee]]-(GhanaStream[[#This Row],[Discount]]*GhanaStream[[#This Row],[Subscription Fee]])</f>
        <v>14580</v>
      </c>
      <c r="N214" t="str">
        <f>IF(GhanaStream[[#This Row],[Churn Flag]]="Yes","Churned","Retained")</f>
        <v>Retained</v>
      </c>
    </row>
    <row r="215" spans="1:14" x14ac:dyDescent="0.25">
      <c r="A215" t="s">
        <v>253</v>
      </c>
      <c r="B215" s="1">
        <v>45603</v>
      </c>
      <c r="C215" t="s">
        <v>12</v>
      </c>
      <c r="D215" t="s">
        <v>27</v>
      </c>
      <c r="E215">
        <v>16200</v>
      </c>
      <c r="F215" t="s">
        <v>14</v>
      </c>
      <c r="G215" t="s">
        <v>28</v>
      </c>
      <c r="H215" t="s">
        <v>16</v>
      </c>
      <c r="I215" t="s">
        <v>17</v>
      </c>
      <c r="J215" t="s">
        <v>22</v>
      </c>
      <c r="K215">
        <v>0.1</v>
      </c>
      <c r="L21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215">
        <f>GhanaStream[[#This Row],[Subscription Fee]]-(GhanaStream[[#This Row],[Discount]]*GhanaStream[[#This Row],[Subscription Fee]])</f>
        <v>14580</v>
      </c>
      <c r="N215" t="str">
        <f>IF(GhanaStream[[#This Row],[Churn Flag]]="Yes","Churned","Retained")</f>
        <v>Churned</v>
      </c>
    </row>
    <row r="216" spans="1:14" x14ac:dyDescent="0.25">
      <c r="A216" t="s">
        <v>254</v>
      </c>
      <c r="B216" s="1">
        <v>45338</v>
      </c>
      <c r="C216" t="s">
        <v>12</v>
      </c>
      <c r="D216" t="s">
        <v>27</v>
      </c>
      <c r="E216">
        <v>16200</v>
      </c>
      <c r="F216" t="s">
        <v>21</v>
      </c>
      <c r="G216" t="s">
        <v>15</v>
      </c>
      <c r="H216" t="s">
        <v>16</v>
      </c>
      <c r="I216" t="s">
        <v>17</v>
      </c>
      <c r="J216" t="s">
        <v>18</v>
      </c>
      <c r="K216">
        <v>0.1</v>
      </c>
      <c r="L21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216">
        <f>GhanaStream[[#This Row],[Subscription Fee]]-(GhanaStream[[#This Row],[Discount]]*GhanaStream[[#This Row],[Subscription Fee]])</f>
        <v>14580</v>
      </c>
      <c r="N216" t="str">
        <f>IF(GhanaStream[[#This Row],[Churn Flag]]="Yes","Churned","Retained")</f>
        <v>Churned</v>
      </c>
    </row>
    <row r="217" spans="1:14" x14ac:dyDescent="0.25">
      <c r="A217" t="s">
        <v>255</v>
      </c>
      <c r="B217" s="1">
        <v>45566</v>
      </c>
      <c r="C217" t="s">
        <v>20</v>
      </c>
      <c r="D217" t="s">
        <v>13</v>
      </c>
      <c r="E217">
        <v>500</v>
      </c>
      <c r="F217" t="s">
        <v>14</v>
      </c>
      <c r="G217" t="s">
        <v>15</v>
      </c>
      <c r="H217" t="s">
        <v>16</v>
      </c>
      <c r="I217" t="s">
        <v>17</v>
      </c>
      <c r="J217" t="s">
        <v>22</v>
      </c>
      <c r="K217">
        <v>0</v>
      </c>
      <c r="L21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217">
        <f>GhanaStream[[#This Row],[Subscription Fee]]-(GhanaStream[[#This Row],[Discount]]*GhanaStream[[#This Row],[Subscription Fee]])</f>
        <v>500</v>
      </c>
      <c r="N217" t="str">
        <f>IF(GhanaStream[[#This Row],[Churn Flag]]="Yes","Churned","Retained")</f>
        <v>Churned</v>
      </c>
    </row>
    <row r="218" spans="1:14" x14ac:dyDescent="0.25">
      <c r="A218" t="s">
        <v>256</v>
      </c>
      <c r="B218" s="1">
        <v>45426</v>
      </c>
      <c r="C218" t="s">
        <v>20</v>
      </c>
      <c r="D218" t="s">
        <v>27</v>
      </c>
      <c r="E218">
        <v>5400</v>
      </c>
      <c r="F218" t="s">
        <v>21</v>
      </c>
      <c r="G218" t="s">
        <v>28</v>
      </c>
      <c r="H218" t="s">
        <v>16</v>
      </c>
      <c r="I218" t="s">
        <v>17</v>
      </c>
      <c r="J218" t="s">
        <v>29</v>
      </c>
      <c r="K218">
        <v>0.1</v>
      </c>
      <c r="L21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218">
        <f>GhanaStream[[#This Row],[Subscription Fee]]-(GhanaStream[[#This Row],[Discount]]*GhanaStream[[#This Row],[Subscription Fee]])</f>
        <v>4860</v>
      </c>
      <c r="N218" t="str">
        <f>IF(GhanaStream[[#This Row],[Churn Flag]]="Yes","Churned","Retained")</f>
        <v>Churned</v>
      </c>
    </row>
    <row r="219" spans="1:14" x14ac:dyDescent="0.25">
      <c r="A219" t="s">
        <v>257</v>
      </c>
      <c r="B219" s="1">
        <v>44984</v>
      </c>
      <c r="C219" t="s">
        <v>20</v>
      </c>
      <c r="D219" t="s">
        <v>13</v>
      </c>
      <c r="E219">
        <v>500</v>
      </c>
      <c r="F219" t="s">
        <v>21</v>
      </c>
      <c r="G219" t="s">
        <v>28</v>
      </c>
      <c r="H219" t="s">
        <v>16</v>
      </c>
      <c r="I219" t="s">
        <v>17</v>
      </c>
      <c r="J219" t="s">
        <v>29</v>
      </c>
      <c r="K219">
        <v>0</v>
      </c>
      <c r="L21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219">
        <f>GhanaStream[[#This Row],[Subscription Fee]]-(GhanaStream[[#This Row],[Discount]]*GhanaStream[[#This Row],[Subscription Fee]])</f>
        <v>500</v>
      </c>
      <c r="N219" t="str">
        <f>IF(GhanaStream[[#This Row],[Churn Flag]]="Yes","Churned","Retained")</f>
        <v>Churned</v>
      </c>
    </row>
    <row r="220" spans="1:14" x14ac:dyDescent="0.25">
      <c r="A220" t="s">
        <v>258</v>
      </c>
      <c r="B220" s="1">
        <v>45400</v>
      </c>
      <c r="C220" t="s">
        <v>20</v>
      </c>
      <c r="D220" t="s">
        <v>13</v>
      </c>
      <c r="E220">
        <v>500</v>
      </c>
      <c r="F220" t="s">
        <v>14</v>
      </c>
      <c r="G220" t="s">
        <v>28</v>
      </c>
      <c r="H220" t="s">
        <v>16</v>
      </c>
      <c r="I220" t="s">
        <v>17</v>
      </c>
      <c r="J220" t="s">
        <v>55</v>
      </c>
      <c r="K220">
        <v>0</v>
      </c>
      <c r="L22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220">
        <f>GhanaStream[[#This Row],[Subscription Fee]]-(GhanaStream[[#This Row],[Discount]]*GhanaStream[[#This Row],[Subscription Fee]])</f>
        <v>500</v>
      </c>
      <c r="N220" t="str">
        <f>IF(GhanaStream[[#This Row],[Churn Flag]]="Yes","Churned","Retained")</f>
        <v>Churned</v>
      </c>
    </row>
    <row r="221" spans="1:14" x14ac:dyDescent="0.25">
      <c r="A221" t="s">
        <v>259</v>
      </c>
      <c r="B221" s="1">
        <v>45294</v>
      </c>
      <c r="C221" t="s">
        <v>20</v>
      </c>
      <c r="D221" t="s">
        <v>13</v>
      </c>
      <c r="E221">
        <v>500</v>
      </c>
      <c r="F221" t="s">
        <v>14</v>
      </c>
      <c r="G221" t="s">
        <v>24</v>
      </c>
      <c r="H221" t="s">
        <v>33</v>
      </c>
      <c r="I221" t="s">
        <v>34</v>
      </c>
      <c r="J221" t="s">
        <v>41</v>
      </c>
      <c r="K221">
        <v>0</v>
      </c>
      <c r="L22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221">
        <f>GhanaStream[[#This Row],[Subscription Fee]]-(GhanaStream[[#This Row],[Discount]]*GhanaStream[[#This Row],[Subscription Fee]])</f>
        <v>500</v>
      </c>
      <c r="N221" t="str">
        <f>IF(GhanaStream[[#This Row],[Churn Flag]]="Yes","Churned","Retained")</f>
        <v>Retained</v>
      </c>
    </row>
    <row r="222" spans="1:14" x14ac:dyDescent="0.25">
      <c r="A222" t="s">
        <v>260</v>
      </c>
      <c r="B222" s="1">
        <v>45368</v>
      </c>
      <c r="C222" t="s">
        <v>20</v>
      </c>
      <c r="D222" t="s">
        <v>13</v>
      </c>
      <c r="E222">
        <v>500</v>
      </c>
      <c r="F222" t="s">
        <v>14</v>
      </c>
      <c r="G222" t="s">
        <v>28</v>
      </c>
      <c r="H222" t="s">
        <v>16</v>
      </c>
      <c r="I222" t="s">
        <v>17</v>
      </c>
      <c r="J222" t="s">
        <v>18</v>
      </c>
      <c r="K222">
        <v>0</v>
      </c>
      <c r="L22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222">
        <f>GhanaStream[[#This Row],[Subscription Fee]]-(GhanaStream[[#This Row],[Discount]]*GhanaStream[[#This Row],[Subscription Fee]])</f>
        <v>500</v>
      </c>
      <c r="N222" t="str">
        <f>IF(GhanaStream[[#This Row],[Churn Flag]]="Yes","Churned","Retained")</f>
        <v>Churned</v>
      </c>
    </row>
    <row r="223" spans="1:14" x14ac:dyDescent="0.25">
      <c r="A223" t="s">
        <v>261</v>
      </c>
      <c r="B223" s="1">
        <v>45222</v>
      </c>
      <c r="C223" t="s">
        <v>31</v>
      </c>
      <c r="D223" t="s">
        <v>13</v>
      </c>
      <c r="E223">
        <v>1000</v>
      </c>
      <c r="F223" t="s">
        <v>21</v>
      </c>
      <c r="G223" t="s">
        <v>28</v>
      </c>
      <c r="H223" t="s">
        <v>33</v>
      </c>
      <c r="I223" t="s">
        <v>34</v>
      </c>
      <c r="J223" t="s">
        <v>18</v>
      </c>
      <c r="K223">
        <v>0</v>
      </c>
      <c r="L22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223">
        <f>GhanaStream[[#This Row],[Subscription Fee]]-(GhanaStream[[#This Row],[Discount]]*GhanaStream[[#This Row],[Subscription Fee]])</f>
        <v>1000</v>
      </c>
      <c r="N223" t="str">
        <f>IF(GhanaStream[[#This Row],[Churn Flag]]="Yes","Churned","Retained")</f>
        <v>Retained</v>
      </c>
    </row>
    <row r="224" spans="1:14" x14ac:dyDescent="0.25">
      <c r="A224" t="s">
        <v>262</v>
      </c>
      <c r="B224" s="1">
        <v>44976</v>
      </c>
      <c r="C224" t="s">
        <v>12</v>
      </c>
      <c r="D224" t="s">
        <v>27</v>
      </c>
      <c r="E224">
        <v>16200</v>
      </c>
      <c r="F224" t="s">
        <v>49</v>
      </c>
      <c r="G224" t="s">
        <v>24</v>
      </c>
      <c r="H224" t="s">
        <v>16</v>
      </c>
      <c r="I224" t="s">
        <v>17</v>
      </c>
      <c r="J224" t="s">
        <v>25</v>
      </c>
      <c r="K224">
        <v>0.1</v>
      </c>
      <c r="L22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224">
        <f>GhanaStream[[#This Row],[Subscription Fee]]-(GhanaStream[[#This Row],[Discount]]*GhanaStream[[#This Row],[Subscription Fee]])</f>
        <v>14580</v>
      </c>
      <c r="N224" t="str">
        <f>IF(GhanaStream[[#This Row],[Churn Flag]]="Yes","Churned","Retained")</f>
        <v>Churned</v>
      </c>
    </row>
    <row r="225" spans="1:14" x14ac:dyDescent="0.25">
      <c r="A225" t="s">
        <v>263</v>
      </c>
      <c r="B225" s="1">
        <v>45397</v>
      </c>
      <c r="C225" t="s">
        <v>31</v>
      </c>
      <c r="D225" t="s">
        <v>13</v>
      </c>
      <c r="E225">
        <v>1000</v>
      </c>
      <c r="F225" t="s">
        <v>32</v>
      </c>
      <c r="G225" t="s">
        <v>15</v>
      </c>
      <c r="H225" t="s">
        <v>16</v>
      </c>
      <c r="I225" t="s">
        <v>17</v>
      </c>
      <c r="J225" t="s">
        <v>25</v>
      </c>
      <c r="K225">
        <v>0</v>
      </c>
      <c r="L22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225">
        <f>GhanaStream[[#This Row],[Subscription Fee]]-(GhanaStream[[#This Row],[Discount]]*GhanaStream[[#This Row],[Subscription Fee]])</f>
        <v>1000</v>
      </c>
      <c r="N225" t="str">
        <f>IF(GhanaStream[[#This Row],[Churn Flag]]="Yes","Churned","Retained")</f>
        <v>Churned</v>
      </c>
    </row>
    <row r="226" spans="1:14" x14ac:dyDescent="0.25">
      <c r="A226" t="s">
        <v>264</v>
      </c>
      <c r="B226" s="1">
        <v>45547</v>
      </c>
      <c r="C226" t="s">
        <v>12</v>
      </c>
      <c r="D226" t="s">
        <v>27</v>
      </c>
      <c r="E226">
        <v>16200</v>
      </c>
      <c r="F226" t="s">
        <v>49</v>
      </c>
      <c r="G226" t="s">
        <v>15</v>
      </c>
      <c r="H226" t="s">
        <v>16</v>
      </c>
      <c r="I226" t="s">
        <v>17</v>
      </c>
      <c r="J226" t="s">
        <v>50</v>
      </c>
      <c r="K226">
        <v>0.1</v>
      </c>
      <c r="L22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226">
        <f>GhanaStream[[#This Row],[Subscription Fee]]-(GhanaStream[[#This Row],[Discount]]*GhanaStream[[#This Row],[Subscription Fee]])</f>
        <v>14580</v>
      </c>
      <c r="N226" t="str">
        <f>IF(GhanaStream[[#This Row],[Churn Flag]]="Yes","Churned","Retained")</f>
        <v>Churned</v>
      </c>
    </row>
    <row r="227" spans="1:14" x14ac:dyDescent="0.25">
      <c r="A227" t="s">
        <v>265</v>
      </c>
      <c r="B227" s="1">
        <v>45301</v>
      </c>
      <c r="C227" t="s">
        <v>20</v>
      </c>
      <c r="D227" t="s">
        <v>27</v>
      </c>
      <c r="E227">
        <v>5400</v>
      </c>
      <c r="F227" t="s">
        <v>21</v>
      </c>
      <c r="G227" t="s">
        <v>24</v>
      </c>
      <c r="H227" t="s">
        <v>16</v>
      </c>
      <c r="I227" t="s">
        <v>17</v>
      </c>
      <c r="J227" t="s">
        <v>18</v>
      </c>
      <c r="K227">
        <v>0.1</v>
      </c>
      <c r="L22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227">
        <f>GhanaStream[[#This Row],[Subscription Fee]]-(GhanaStream[[#This Row],[Discount]]*GhanaStream[[#This Row],[Subscription Fee]])</f>
        <v>4860</v>
      </c>
      <c r="N227" t="str">
        <f>IF(GhanaStream[[#This Row],[Churn Flag]]="Yes","Churned","Retained")</f>
        <v>Churned</v>
      </c>
    </row>
    <row r="228" spans="1:14" x14ac:dyDescent="0.25">
      <c r="A228" t="s">
        <v>266</v>
      </c>
      <c r="B228" s="1">
        <v>45081</v>
      </c>
      <c r="C228" t="s">
        <v>20</v>
      </c>
      <c r="D228" t="s">
        <v>27</v>
      </c>
      <c r="E228">
        <v>5400</v>
      </c>
      <c r="F228" t="s">
        <v>21</v>
      </c>
      <c r="G228" t="s">
        <v>24</v>
      </c>
      <c r="H228" t="s">
        <v>33</v>
      </c>
      <c r="I228" t="s">
        <v>34</v>
      </c>
      <c r="J228" t="s">
        <v>22</v>
      </c>
      <c r="K228">
        <v>0.1</v>
      </c>
      <c r="L22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228">
        <f>GhanaStream[[#This Row],[Subscription Fee]]-(GhanaStream[[#This Row],[Discount]]*GhanaStream[[#This Row],[Subscription Fee]])</f>
        <v>4860</v>
      </c>
      <c r="N228" t="str">
        <f>IF(GhanaStream[[#This Row],[Churn Flag]]="Yes","Churned","Retained")</f>
        <v>Retained</v>
      </c>
    </row>
    <row r="229" spans="1:14" x14ac:dyDescent="0.25">
      <c r="A229" t="s">
        <v>267</v>
      </c>
      <c r="B229" s="1">
        <v>45425</v>
      </c>
      <c r="C229" t="s">
        <v>20</v>
      </c>
      <c r="D229" t="s">
        <v>13</v>
      </c>
      <c r="E229">
        <v>500</v>
      </c>
      <c r="F229" t="s">
        <v>21</v>
      </c>
      <c r="G229" t="s">
        <v>24</v>
      </c>
      <c r="H229" t="s">
        <v>33</v>
      </c>
      <c r="I229" t="s">
        <v>34</v>
      </c>
      <c r="J229" t="s">
        <v>25</v>
      </c>
      <c r="K229">
        <v>0</v>
      </c>
      <c r="L22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229">
        <f>GhanaStream[[#This Row],[Subscription Fee]]-(GhanaStream[[#This Row],[Discount]]*GhanaStream[[#This Row],[Subscription Fee]])</f>
        <v>500</v>
      </c>
      <c r="N229" t="str">
        <f>IF(GhanaStream[[#This Row],[Churn Flag]]="Yes","Churned","Retained")</f>
        <v>Retained</v>
      </c>
    </row>
    <row r="230" spans="1:14" x14ac:dyDescent="0.25">
      <c r="A230" t="s">
        <v>268</v>
      </c>
      <c r="B230" s="1">
        <v>45497</v>
      </c>
      <c r="C230" t="s">
        <v>31</v>
      </c>
      <c r="D230" t="s">
        <v>27</v>
      </c>
      <c r="E230">
        <v>10800</v>
      </c>
      <c r="F230" t="s">
        <v>14</v>
      </c>
      <c r="G230" t="s">
        <v>28</v>
      </c>
      <c r="H230" t="s">
        <v>16</v>
      </c>
      <c r="I230" t="s">
        <v>17</v>
      </c>
      <c r="J230" t="s">
        <v>37</v>
      </c>
      <c r="K230">
        <v>0.1</v>
      </c>
      <c r="L23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230">
        <f>GhanaStream[[#This Row],[Subscription Fee]]-(GhanaStream[[#This Row],[Discount]]*GhanaStream[[#This Row],[Subscription Fee]])</f>
        <v>9720</v>
      </c>
      <c r="N230" t="str">
        <f>IF(GhanaStream[[#This Row],[Churn Flag]]="Yes","Churned","Retained")</f>
        <v>Churned</v>
      </c>
    </row>
    <row r="231" spans="1:14" x14ac:dyDescent="0.25">
      <c r="A231" t="s">
        <v>269</v>
      </c>
      <c r="B231" s="1">
        <v>45087</v>
      </c>
      <c r="C231" t="s">
        <v>31</v>
      </c>
      <c r="D231" t="s">
        <v>13</v>
      </c>
      <c r="E231">
        <v>1000</v>
      </c>
      <c r="F231" t="s">
        <v>32</v>
      </c>
      <c r="G231" t="s">
        <v>24</v>
      </c>
      <c r="H231" t="s">
        <v>33</v>
      </c>
      <c r="I231" t="s">
        <v>34</v>
      </c>
      <c r="J231" t="s">
        <v>25</v>
      </c>
      <c r="K231">
        <v>0</v>
      </c>
      <c r="L23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231">
        <f>GhanaStream[[#This Row],[Subscription Fee]]-(GhanaStream[[#This Row],[Discount]]*GhanaStream[[#This Row],[Subscription Fee]])</f>
        <v>1000</v>
      </c>
      <c r="N231" t="str">
        <f>IF(GhanaStream[[#This Row],[Churn Flag]]="Yes","Churned","Retained")</f>
        <v>Retained</v>
      </c>
    </row>
    <row r="232" spans="1:14" x14ac:dyDescent="0.25">
      <c r="A232" t="s">
        <v>270</v>
      </c>
      <c r="B232" s="1">
        <v>45357</v>
      </c>
      <c r="C232" t="s">
        <v>12</v>
      </c>
      <c r="D232" t="s">
        <v>27</v>
      </c>
      <c r="E232">
        <v>16200</v>
      </c>
      <c r="F232" t="s">
        <v>32</v>
      </c>
      <c r="G232" t="s">
        <v>24</v>
      </c>
      <c r="H232" t="s">
        <v>33</v>
      </c>
      <c r="I232" t="s">
        <v>34</v>
      </c>
      <c r="J232" t="s">
        <v>39</v>
      </c>
      <c r="K232">
        <v>0.1</v>
      </c>
      <c r="L23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232">
        <f>GhanaStream[[#This Row],[Subscription Fee]]-(GhanaStream[[#This Row],[Discount]]*GhanaStream[[#This Row],[Subscription Fee]])</f>
        <v>14580</v>
      </c>
      <c r="N232" t="str">
        <f>IF(GhanaStream[[#This Row],[Churn Flag]]="Yes","Churned","Retained")</f>
        <v>Retained</v>
      </c>
    </row>
    <row r="233" spans="1:14" x14ac:dyDescent="0.25">
      <c r="A233" t="s">
        <v>271</v>
      </c>
      <c r="B233" s="1">
        <v>45179</v>
      </c>
      <c r="C233" t="s">
        <v>20</v>
      </c>
      <c r="D233" t="s">
        <v>13</v>
      </c>
      <c r="E233">
        <v>500</v>
      </c>
      <c r="F233" t="s">
        <v>21</v>
      </c>
      <c r="G233" t="s">
        <v>28</v>
      </c>
      <c r="H233" t="s">
        <v>16</v>
      </c>
      <c r="I233" t="s">
        <v>17</v>
      </c>
      <c r="J233" t="s">
        <v>22</v>
      </c>
      <c r="K233">
        <v>0</v>
      </c>
      <c r="L23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233">
        <f>GhanaStream[[#This Row],[Subscription Fee]]-(GhanaStream[[#This Row],[Discount]]*GhanaStream[[#This Row],[Subscription Fee]])</f>
        <v>500</v>
      </c>
      <c r="N233" t="str">
        <f>IF(GhanaStream[[#This Row],[Churn Flag]]="Yes","Churned","Retained")</f>
        <v>Churned</v>
      </c>
    </row>
    <row r="234" spans="1:14" x14ac:dyDescent="0.25">
      <c r="A234" t="s">
        <v>272</v>
      </c>
      <c r="B234" s="1">
        <v>44956</v>
      </c>
      <c r="C234" t="s">
        <v>12</v>
      </c>
      <c r="D234" t="s">
        <v>13</v>
      </c>
      <c r="E234">
        <v>1500</v>
      </c>
      <c r="F234" t="s">
        <v>49</v>
      </c>
      <c r="G234" t="s">
        <v>24</v>
      </c>
      <c r="H234" t="s">
        <v>33</v>
      </c>
      <c r="I234" t="s">
        <v>34</v>
      </c>
      <c r="J234" t="s">
        <v>58</v>
      </c>
      <c r="K234">
        <v>0</v>
      </c>
      <c r="L23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234">
        <f>GhanaStream[[#This Row],[Subscription Fee]]-(GhanaStream[[#This Row],[Discount]]*GhanaStream[[#This Row],[Subscription Fee]])</f>
        <v>1500</v>
      </c>
      <c r="N234" t="str">
        <f>IF(GhanaStream[[#This Row],[Churn Flag]]="Yes","Churned","Retained")</f>
        <v>Retained</v>
      </c>
    </row>
    <row r="235" spans="1:14" x14ac:dyDescent="0.25">
      <c r="A235" t="s">
        <v>273</v>
      </c>
      <c r="B235" s="1">
        <v>45051</v>
      </c>
      <c r="C235" t="s">
        <v>20</v>
      </c>
      <c r="D235" t="s">
        <v>27</v>
      </c>
      <c r="E235">
        <v>5400</v>
      </c>
      <c r="F235" t="s">
        <v>21</v>
      </c>
      <c r="G235" t="s">
        <v>24</v>
      </c>
      <c r="H235" t="s">
        <v>33</v>
      </c>
      <c r="I235" t="s">
        <v>34</v>
      </c>
      <c r="J235" t="s">
        <v>25</v>
      </c>
      <c r="K235">
        <v>0.1</v>
      </c>
      <c r="L23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235">
        <f>GhanaStream[[#This Row],[Subscription Fee]]-(GhanaStream[[#This Row],[Discount]]*GhanaStream[[#This Row],[Subscription Fee]])</f>
        <v>4860</v>
      </c>
      <c r="N235" t="str">
        <f>IF(GhanaStream[[#This Row],[Churn Flag]]="Yes","Churned","Retained")</f>
        <v>Retained</v>
      </c>
    </row>
    <row r="236" spans="1:14" x14ac:dyDescent="0.25">
      <c r="A236" t="s">
        <v>274</v>
      </c>
      <c r="B236" s="1">
        <v>45340</v>
      </c>
      <c r="C236" t="s">
        <v>12</v>
      </c>
      <c r="D236" t="s">
        <v>13</v>
      </c>
      <c r="E236">
        <v>1500</v>
      </c>
      <c r="F236" t="s">
        <v>14</v>
      </c>
      <c r="G236" t="s">
        <v>24</v>
      </c>
      <c r="H236" t="s">
        <v>16</v>
      </c>
      <c r="I236" t="s">
        <v>17</v>
      </c>
      <c r="J236" t="s">
        <v>41</v>
      </c>
      <c r="K236">
        <v>0</v>
      </c>
      <c r="L23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236">
        <f>GhanaStream[[#This Row],[Subscription Fee]]-(GhanaStream[[#This Row],[Discount]]*GhanaStream[[#This Row],[Subscription Fee]])</f>
        <v>1500</v>
      </c>
      <c r="N236" t="str">
        <f>IF(GhanaStream[[#This Row],[Churn Flag]]="Yes","Churned","Retained")</f>
        <v>Churned</v>
      </c>
    </row>
    <row r="237" spans="1:14" x14ac:dyDescent="0.25">
      <c r="A237" t="s">
        <v>275</v>
      </c>
      <c r="B237" s="1">
        <v>45110</v>
      </c>
      <c r="C237" t="s">
        <v>20</v>
      </c>
      <c r="D237" t="s">
        <v>27</v>
      </c>
      <c r="E237">
        <v>5400</v>
      </c>
      <c r="F237" t="s">
        <v>49</v>
      </c>
      <c r="G237" t="s">
        <v>28</v>
      </c>
      <c r="H237" t="s">
        <v>16</v>
      </c>
      <c r="I237" t="s">
        <v>17</v>
      </c>
      <c r="J237" t="s">
        <v>35</v>
      </c>
      <c r="K237">
        <v>0.1</v>
      </c>
      <c r="L23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237">
        <f>GhanaStream[[#This Row],[Subscription Fee]]-(GhanaStream[[#This Row],[Discount]]*GhanaStream[[#This Row],[Subscription Fee]])</f>
        <v>4860</v>
      </c>
      <c r="N237" t="str">
        <f>IF(GhanaStream[[#This Row],[Churn Flag]]="Yes","Churned","Retained")</f>
        <v>Churned</v>
      </c>
    </row>
    <row r="238" spans="1:14" x14ac:dyDescent="0.25">
      <c r="A238" t="s">
        <v>276</v>
      </c>
      <c r="B238" s="1">
        <v>45252</v>
      </c>
      <c r="C238" t="s">
        <v>12</v>
      </c>
      <c r="D238" t="s">
        <v>27</v>
      </c>
      <c r="E238">
        <v>16200</v>
      </c>
      <c r="F238" t="s">
        <v>21</v>
      </c>
      <c r="G238" t="s">
        <v>28</v>
      </c>
      <c r="H238" t="s">
        <v>16</v>
      </c>
      <c r="I238" t="s">
        <v>17</v>
      </c>
      <c r="J238" t="s">
        <v>29</v>
      </c>
      <c r="K238">
        <v>0.1</v>
      </c>
      <c r="L23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238">
        <f>GhanaStream[[#This Row],[Subscription Fee]]-(GhanaStream[[#This Row],[Discount]]*GhanaStream[[#This Row],[Subscription Fee]])</f>
        <v>14580</v>
      </c>
      <c r="N238" t="str">
        <f>IF(GhanaStream[[#This Row],[Churn Flag]]="Yes","Churned","Retained")</f>
        <v>Churned</v>
      </c>
    </row>
    <row r="239" spans="1:14" x14ac:dyDescent="0.25">
      <c r="A239" t="s">
        <v>277</v>
      </c>
      <c r="B239" s="1">
        <v>45190</v>
      </c>
      <c r="C239" t="s">
        <v>20</v>
      </c>
      <c r="D239" t="s">
        <v>13</v>
      </c>
      <c r="E239">
        <v>500</v>
      </c>
      <c r="F239" t="s">
        <v>21</v>
      </c>
      <c r="G239" t="s">
        <v>24</v>
      </c>
      <c r="H239" t="s">
        <v>33</v>
      </c>
      <c r="I239" t="s">
        <v>34</v>
      </c>
      <c r="J239" t="s">
        <v>29</v>
      </c>
      <c r="K239">
        <v>0</v>
      </c>
      <c r="L23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239">
        <f>GhanaStream[[#This Row],[Subscription Fee]]-(GhanaStream[[#This Row],[Discount]]*GhanaStream[[#This Row],[Subscription Fee]])</f>
        <v>500</v>
      </c>
      <c r="N239" t="str">
        <f>IF(GhanaStream[[#This Row],[Churn Flag]]="Yes","Churned","Retained")</f>
        <v>Retained</v>
      </c>
    </row>
    <row r="240" spans="1:14" x14ac:dyDescent="0.25">
      <c r="A240" t="s">
        <v>278</v>
      </c>
      <c r="B240" s="1">
        <v>45517</v>
      </c>
      <c r="C240" t="s">
        <v>31</v>
      </c>
      <c r="D240" t="s">
        <v>27</v>
      </c>
      <c r="E240">
        <v>10800</v>
      </c>
      <c r="F240" t="s">
        <v>14</v>
      </c>
      <c r="G240" t="s">
        <v>24</v>
      </c>
      <c r="H240" t="s">
        <v>33</v>
      </c>
      <c r="I240" t="s">
        <v>34</v>
      </c>
      <c r="J240" t="s">
        <v>18</v>
      </c>
      <c r="K240">
        <v>0.1</v>
      </c>
      <c r="L24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240">
        <f>GhanaStream[[#This Row],[Subscription Fee]]-(GhanaStream[[#This Row],[Discount]]*GhanaStream[[#This Row],[Subscription Fee]])</f>
        <v>9720</v>
      </c>
      <c r="N240" t="str">
        <f>IF(GhanaStream[[#This Row],[Churn Flag]]="Yes","Churned","Retained")</f>
        <v>Retained</v>
      </c>
    </row>
    <row r="241" spans="1:14" x14ac:dyDescent="0.25">
      <c r="A241" t="s">
        <v>279</v>
      </c>
      <c r="B241" s="1">
        <v>45394</v>
      </c>
      <c r="C241" t="s">
        <v>31</v>
      </c>
      <c r="D241" t="s">
        <v>27</v>
      </c>
      <c r="E241">
        <v>10800</v>
      </c>
      <c r="F241" t="s">
        <v>14</v>
      </c>
      <c r="G241" t="s">
        <v>24</v>
      </c>
      <c r="H241" t="s">
        <v>33</v>
      </c>
      <c r="I241" t="s">
        <v>34</v>
      </c>
      <c r="J241" t="s">
        <v>41</v>
      </c>
      <c r="K241">
        <v>0.1</v>
      </c>
      <c r="L24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241">
        <f>GhanaStream[[#This Row],[Subscription Fee]]-(GhanaStream[[#This Row],[Discount]]*GhanaStream[[#This Row],[Subscription Fee]])</f>
        <v>9720</v>
      </c>
      <c r="N241" t="str">
        <f>IF(GhanaStream[[#This Row],[Churn Flag]]="Yes","Churned","Retained")</f>
        <v>Retained</v>
      </c>
    </row>
    <row r="242" spans="1:14" x14ac:dyDescent="0.25">
      <c r="A242" t="s">
        <v>280</v>
      </c>
      <c r="B242" s="1">
        <v>45362</v>
      </c>
      <c r="C242" t="s">
        <v>12</v>
      </c>
      <c r="D242" t="s">
        <v>13</v>
      </c>
      <c r="E242">
        <v>1500</v>
      </c>
      <c r="F242" t="s">
        <v>32</v>
      </c>
      <c r="G242" t="s">
        <v>15</v>
      </c>
      <c r="H242" t="s">
        <v>16</v>
      </c>
      <c r="I242" t="s">
        <v>17</v>
      </c>
      <c r="J242" t="s">
        <v>25</v>
      </c>
      <c r="K242">
        <v>0</v>
      </c>
      <c r="L24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242">
        <f>GhanaStream[[#This Row],[Subscription Fee]]-(GhanaStream[[#This Row],[Discount]]*GhanaStream[[#This Row],[Subscription Fee]])</f>
        <v>1500</v>
      </c>
      <c r="N242" t="str">
        <f>IF(GhanaStream[[#This Row],[Churn Flag]]="Yes","Churned","Retained")</f>
        <v>Churned</v>
      </c>
    </row>
    <row r="243" spans="1:14" x14ac:dyDescent="0.25">
      <c r="A243" t="s">
        <v>281</v>
      </c>
      <c r="B243" s="1">
        <v>45420</v>
      </c>
      <c r="C243" t="s">
        <v>31</v>
      </c>
      <c r="D243" t="s">
        <v>13</v>
      </c>
      <c r="E243">
        <v>1000</v>
      </c>
      <c r="F243" t="s">
        <v>32</v>
      </c>
      <c r="G243" t="s">
        <v>28</v>
      </c>
      <c r="H243" t="s">
        <v>16</v>
      </c>
      <c r="I243" t="s">
        <v>17</v>
      </c>
      <c r="J243" t="s">
        <v>25</v>
      </c>
      <c r="K243">
        <v>0</v>
      </c>
      <c r="L24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243">
        <f>GhanaStream[[#This Row],[Subscription Fee]]-(GhanaStream[[#This Row],[Discount]]*GhanaStream[[#This Row],[Subscription Fee]])</f>
        <v>1000</v>
      </c>
      <c r="N243" t="str">
        <f>IF(GhanaStream[[#This Row],[Churn Flag]]="Yes","Churned","Retained")</f>
        <v>Churned</v>
      </c>
    </row>
    <row r="244" spans="1:14" x14ac:dyDescent="0.25">
      <c r="A244" t="s">
        <v>282</v>
      </c>
      <c r="B244" s="1">
        <v>45433</v>
      </c>
      <c r="C244" t="s">
        <v>31</v>
      </c>
      <c r="D244" t="s">
        <v>13</v>
      </c>
      <c r="E244">
        <v>1000</v>
      </c>
      <c r="F244" t="s">
        <v>32</v>
      </c>
      <c r="G244" t="s">
        <v>24</v>
      </c>
      <c r="H244" t="s">
        <v>33</v>
      </c>
      <c r="I244" t="s">
        <v>34</v>
      </c>
      <c r="J244" t="s">
        <v>66</v>
      </c>
      <c r="K244">
        <v>0</v>
      </c>
      <c r="L24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244">
        <f>GhanaStream[[#This Row],[Subscription Fee]]-(GhanaStream[[#This Row],[Discount]]*GhanaStream[[#This Row],[Subscription Fee]])</f>
        <v>1000</v>
      </c>
      <c r="N244" t="str">
        <f>IF(GhanaStream[[#This Row],[Churn Flag]]="Yes","Churned","Retained")</f>
        <v>Retained</v>
      </c>
    </row>
    <row r="245" spans="1:14" x14ac:dyDescent="0.25">
      <c r="A245" t="s">
        <v>283</v>
      </c>
      <c r="B245" s="1">
        <v>45131</v>
      </c>
      <c r="C245" t="s">
        <v>31</v>
      </c>
      <c r="D245" t="s">
        <v>27</v>
      </c>
      <c r="E245">
        <v>10800</v>
      </c>
      <c r="F245" t="s">
        <v>49</v>
      </c>
      <c r="G245" t="s">
        <v>15</v>
      </c>
      <c r="H245" t="s">
        <v>16</v>
      </c>
      <c r="I245" t="s">
        <v>17</v>
      </c>
      <c r="J245" t="s">
        <v>25</v>
      </c>
      <c r="K245">
        <v>0.1</v>
      </c>
      <c r="L24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245">
        <f>GhanaStream[[#This Row],[Subscription Fee]]-(GhanaStream[[#This Row],[Discount]]*GhanaStream[[#This Row],[Subscription Fee]])</f>
        <v>9720</v>
      </c>
      <c r="N245" t="str">
        <f>IF(GhanaStream[[#This Row],[Churn Flag]]="Yes","Churned","Retained")</f>
        <v>Churned</v>
      </c>
    </row>
    <row r="246" spans="1:14" x14ac:dyDescent="0.25">
      <c r="A246" t="s">
        <v>284</v>
      </c>
      <c r="B246" s="1">
        <v>45598</v>
      </c>
      <c r="C246" t="s">
        <v>31</v>
      </c>
      <c r="D246" t="s">
        <v>27</v>
      </c>
      <c r="E246">
        <v>10800</v>
      </c>
      <c r="F246" t="s">
        <v>49</v>
      </c>
      <c r="G246" t="s">
        <v>24</v>
      </c>
      <c r="H246" t="s">
        <v>33</v>
      </c>
      <c r="I246" t="s">
        <v>34</v>
      </c>
      <c r="J246" t="s">
        <v>35</v>
      </c>
      <c r="K246">
        <v>0.1</v>
      </c>
      <c r="L24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246">
        <f>GhanaStream[[#This Row],[Subscription Fee]]-(GhanaStream[[#This Row],[Discount]]*GhanaStream[[#This Row],[Subscription Fee]])</f>
        <v>9720</v>
      </c>
      <c r="N246" t="str">
        <f>IF(GhanaStream[[#This Row],[Churn Flag]]="Yes","Churned","Retained")</f>
        <v>Retained</v>
      </c>
    </row>
    <row r="247" spans="1:14" x14ac:dyDescent="0.25">
      <c r="A247" t="s">
        <v>285</v>
      </c>
      <c r="B247" s="1">
        <v>45397</v>
      </c>
      <c r="C247" t="s">
        <v>12</v>
      </c>
      <c r="D247" t="s">
        <v>27</v>
      </c>
      <c r="E247">
        <v>16200</v>
      </c>
      <c r="F247" t="s">
        <v>32</v>
      </c>
      <c r="G247" t="s">
        <v>28</v>
      </c>
      <c r="H247" t="s">
        <v>16</v>
      </c>
      <c r="I247" t="s">
        <v>17</v>
      </c>
      <c r="J247" t="s">
        <v>66</v>
      </c>
      <c r="K247">
        <v>0.1</v>
      </c>
      <c r="L24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247">
        <f>GhanaStream[[#This Row],[Subscription Fee]]-(GhanaStream[[#This Row],[Discount]]*GhanaStream[[#This Row],[Subscription Fee]])</f>
        <v>14580</v>
      </c>
      <c r="N247" t="str">
        <f>IF(GhanaStream[[#This Row],[Churn Flag]]="Yes","Churned","Retained")</f>
        <v>Churned</v>
      </c>
    </row>
    <row r="248" spans="1:14" x14ac:dyDescent="0.25">
      <c r="A248" t="s">
        <v>286</v>
      </c>
      <c r="B248" s="1">
        <v>45213</v>
      </c>
      <c r="C248" t="s">
        <v>12</v>
      </c>
      <c r="D248" t="s">
        <v>27</v>
      </c>
      <c r="E248">
        <v>16200</v>
      </c>
      <c r="F248" t="s">
        <v>32</v>
      </c>
      <c r="G248" t="s">
        <v>24</v>
      </c>
      <c r="H248" t="s">
        <v>33</v>
      </c>
      <c r="I248" t="s">
        <v>34</v>
      </c>
      <c r="J248" t="s">
        <v>25</v>
      </c>
      <c r="K248">
        <v>0.1</v>
      </c>
      <c r="L24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248">
        <f>GhanaStream[[#This Row],[Subscription Fee]]-(GhanaStream[[#This Row],[Discount]]*GhanaStream[[#This Row],[Subscription Fee]])</f>
        <v>14580</v>
      </c>
      <c r="N248" t="str">
        <f>IF(GhanaStream[[#This Row],[Churn Flag]]="Yes","Churned","Retained")</f>
        <v>Retained</v>
      </c>
    </row>
    <row r="249" spans="1:14" x14ac:dyDescent="0.25">
      <c r="A249" t="s">
        <v>287</v>
      </c>
      <c r="B249" s="1">
        <v>45023</v>
      </c>
      <c r="C249" t="s">
        <v>31</v>
      </c>
      <c r="D249" t="s">
        <v>13</v>
      </c>
      <c r="E249">
        <v>1000</v>
      </c>
      <c r="F249" t="s">
        <v>14</v>
      </c>
      <c r="G249" t="s">
        <v>15</v>
      </c>
      <c r="H249" t="s">
        <v>16</v>
      </c>
      <c r="I249" t="s">
        <v>17</v>
      </c>
      <c r="J249" t="s">
        <v>55</v>
      </c>
      <c r="K249">
        <v>0</v>
      </c>
      <c r="L24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249">
        <f>GhanaStream[[#This Row],[Subscription Fee]]-(GhanaStream[[#This Row],[Discount]]*GhanaStream[[#This Row],[Subscription Fee]])</f>
        <v>1000</v>
      </c>
      <c r="N249" t="str">
        <f>IF(GhanaStream[[#This Row],[Churn Flag]]="Yes","Churned","Retained")</f>
        <v>Churned</v>
      </c>
    </row>
    <row r="250" spans="1:14" x14ac:dyDescent="0.25">
      <c r="A250" t="s">
        <v>288</v>
      </c>
      <c r="B250" s="1">
        <v>45532</v>
      </c>
      <c r="C250" t="s">
        <v>31</v>
      </c>
      <c r="D250" t="s">
        <v>27</v>
      </c>
      <c r="E250">
        <v>10800</v>
      </c>
      <c r="F250" t="s">
        <v>14</v>
      </c>
      <c r="G250" t="s">
        <v>24</v>
      </c>
      <c r="H250" t="s">
        <v>33</v>
      </c>
      <c r="I250" t="s">
        <v>34</v>
      </c>
      <c r="J250" t="s">
        <v>37</v>
      </c>
      <c r="K250">
        <v>0.1</v>
      </c>
      <c r="L25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250">
        <f>GhanaStream[[#This Row],[Subscription Fee]]-(GhanaStream[[#This Row],[Discount]]*GhanaStream[[#This Row],[Subscription Fee]])</f>
        <v>9720</v>
      </c>
      <c r="N250" t="str">
        <f>IF(GhanaStream[[#This Row],[Churn Flag]]="Yes","Churned","Retained")</f>
        <v>Retained</v>
      </c>
    </row>
    <row r="251" spans="1:14" x14ac:dyDescent="0.25">
      <c r="A251" t="s">
        <v>289</v>
      </c>
      <c r="B251" s="1">
        <v>45499</v>
      </c>
      <c r="C251" t="s">
        <v>20</v>
      </c>
      <c r="D251" t="s">
        <v>27</v>
      </c>
      <c r="E251">
        <v>5400</v>
      </c>
      <c r="F251" t="s">
        <v>49</v>
      </c>
      <c r="G251" t="s">
        <v>24</v>
      </c>
      <c r="H251" t="s">
        <v>33</v>
      </c>
      <c r="I251" t="s">
        <v>34</v>
      </c>
      <c r="J251" t="s">
        <v>22</v>
      </c>
      <c r="K251">
        <v>0.1</v>
      </c>
      <c r="L25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251">
        <f>GhanaStream[[#This Row],[Subscription Fee]]-(GhanaStream[[#This Row],[Discount]]*GhanaStream[[#This Row],[Subscription Fee]])</f>
        <v>4860</v>
      </c>
      <c r="N251" t="str">
        <f>IF(GhanaStream[[#This Row],[Churn Flag]]="Yes","Churned","Retained")</f>
        <v>Retained</v>
      </c>
    </row>
    <row r="252" spans="1:14" x14ac:dyDescent="0.25">
      <c r="A252" t="s">
        <v>290</v>
      </c>
      <c r="B252" s="1">
        <v>45175</v>
      </c>
      <c r="C252" t="s">
        <v>12</v>
      </c>
      <c r="D252" t="s">
        <v>27</v>
      </c>
      <c r="E252">
        <v>16200</v>
      </c>
      <c r="F252" t="s">
        <v>14</v>
      </c>
      <c r="G252" t="s">
        <v>15</v>
      </c>
      <c r="H252" t="s">
        <v>16</v>
      </c>
      <c r="I252" t="s">
        <v>17</v>
      </c>
      <c r="J252" t="s">
        <v>41</v>
      </c>
      <c r="K252">
        <v>0.1</v>
      </c>
      <c r="L25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252">
        <f>GhanaStream[[#This Row],[Subscription Fee]]-(GhanaStream[[#This Row],[Discount]]*GhanaStream[[#This Row],[Subscription Fee]])</f>
        <v>14580</v>
      </c>
      <c r="N252" t="str">
        <f>IF(GhanaStream[[#This Row],[Churn Flag]]="Yes","Churned","Retained")</f>
        <v>Churned</v>
      </c>
    </row>
    <row r="253" spans="1:14" x14ac:dyDescent="0.25">
      <c r="A253" t="s">
        <v>291</v>
      </c>
      <c r="B253" s="1">
        <v>45052</v>
      </c>
      <c r="C253" t="s">
        <v>12</v>
      </c>
      <c r="D253" t="s">
        <v>13</v>
      </c>
      <c r="E253">
        <v>1500</v>
      </c>
      <c r="F253" t="s">
        <v>32</v>
      </c>
      <c r="G253" t="s">
        <v>28</v>
      </c>
      <c r="H253" t="s">
        <v>16</v>
      </c>
      <c r="I253" t="s">
        <v>17</v>
      </c>
      <c r="J253" t="s">
        <v>25</v>
      </c>
      <c r="K253">
        <v>0</v>
      </c>
      <c r="L25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253">
        <f>GhanaStream[[#This Row],[Subscription Fee]]-(GhanaStream[[#This Row],[Discount]]*GhanaStream[[#This Row],[Subscription Fee]])</f>
        <v>1500</v>
      </c>
      <c r="N253" t="str">
        <f>IF(GhanaStream[[#This Row],[Churn Flag]]="Yes","Churned","Retained")</f>
        <v>Churned</v>
      </c>
    </row>
    <row r="254" spans="1:14" x14ac:dyDescent="0.25">
      <c r="A254" t="s">
        <v>292</v>
      </c>
      <c r="B254" s="1">
        <v>45177</v>
      </c>
      <c r="C254" t="s">
        <v>31</v>
      </c>
      <c r="D254" t="s">
        <v>13</v>
      </c>
      <c r="E254">
        <v>1000</v>
      </c>
      <c r="F254" t="s">
        <v>49</v>
      </c>
      <c r="G254" t="s">
        <v>24</v>
      </c>
      <c r="H254" t="s">
        <v>33</v>
      </c>
      <c r="I254" t="s">
        <v>34</v>
      </c>
      <c r="J254" t="s">
        <v>25</v>
      </c>
      <c r="K254">
        <v>0</v>
      </c>
      <c r="L25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254">
        <f>GhanaStream[[#This Row],[Subscription Fee]]-(GhanaStream[[#This Row],[Discount]]*GhanaStream[[#This Row],[Subscription Fee]])</f>
        <v>1000</v>
      </c>
      <c r="N254" t="str">
        <f>IF(GhanaStream[[#This Row],[Churn Flag]]="Yes","Churned","Retained")</f>
        <v>Retained</v>
      </c>
    </row>
    <row r="255" spans="1:14" x14ac:dyDescent="0.25">
      <c r="A255" t="s">
        <v>293</v>
      </c>
      <c r="B255" s="1">
        <v>45332</v>
      </c>
      <c r="C255" t="s">
        <v>20</v>
      </c>
      <c r="D255" t="s">
        <v>13</v>
      </c>
      <c r="E255">
        <v>500</v>
      </c>
      <c r="F255" t="s">
        <v>32</v>
      </c>
      <c r="G255" t="s">
        <v>15</v>
      </c>
      <c r="H255" t="s">
        <v>16</v>
      </c>
      <c r="I255" t="s">
        <v>17</v>
      </c>
      <c r="J255" t="s">
        <v>39</v>
      </c>
      <c r="K255">
        <v>0</v>
      </c>
      <c r="L25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255">
        <f>GhanaStream[[#This Row],[Subscription Fee]]-(GhanaStream[[#This Row],[Discount]]*GhanaStream[[#This Row],[Subscription Fee]])</f>
        <v>500</v>
      </c>
      <c r="N255" t="str">
        <f>IF(GhanaStream[[#This Row],[Churn Flag]]="Yes","Churned","Retained")</f>
        <v>Churned</v>
      </c>
    </row>
    <row r="256" spans="1:14" x14ac:dyDescent="0.25">
      <c r="A256" t="s">
        <v>294</v>
      </c>
      <c r="B256" s="1">
        <v>44949</v>
      </c>
      <c r="C256" t="s">
        <v>31</v>
      </c>
      <c r="D256" t="s">
        <v>27</v>
      </c>
      <c r="E256">
        <v>10800</v>
      </c>
      <c r="F256" t="s">
        <v>32</v>
      </c>
      <c r="G256" t="s">
        <v>24</v>
      </c>
      <c r="H256" t="s">
        <v>16</v>
      </c>
      <c r="I256" t="s">
        <v>17</v>
      </c>
      <c r="J256" t="s">
        <v>44</v>
      </c>
      <c r="K256">
        <v>0.1</v>
      </c>
      <c r="L25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256">
        <f>GhanaStream[[#This Row],[Subscription Fee]]-(GhanaStream[[#This Row],[Discount]]*GhanaStream[[#This Row],[Subscription Fee]])</f>
        <v>9720</v>
      </c>
      <c r="N256" t="str">
        <f>IF(GhanaStream[[#This Row],[Churn Flag]]="Yes","Churned","Retained")</f>
        <v>Churned</v>
      </c>
    </row>
    <row r="257" spans="1:14" x14ac:dyDescent="0.25">
      <c r="A257" t="s">
        <v>295</v>
      </c>
      <c r="B257" s="1">
        <v>44983</v>
      </c>
      <c r="C257" t="s">
        <v>31</v>
      </c>
      <c r="D257" t="s">
        <v>27</v>
      </c>
      <c r="E257">
        <v>10800</v>
      </c>
      <c r="F257" t="s">
        <v>49</v>
      </c>
      <c r="G257" t="s">
        <v>24</v>
      </c>
      <c r="H257" t="s">
        <v>33</v>
      </c>
      <c r="I257" t="s">
        <v>34</v>
      </c>
      <c r="J257" t="s">
        <v>18</v>
      </c>
      <c r="K257">
        <v>0.1</v>
      </c>
      <c r="L25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257">
        <f>GhanaStream[[#This Row],[Subscription Fee]]-(GhanaStream[[#This Row],[Discount]]*GhanaStream[[#This Row],[Subscription Fee]])</f>
        <v>9720</v>
      </c>
      <c r="N257" t="str">
        <f>IF(GhanaStream[[#This Row],[Churn Flag]]="Yes","Churned","Retained")</f>
        <v>Retained</v>
      </c>
    </row>
    <row r="258" spans="1:14" x14ac:dyDescent="0.25">
      <c r="A258" t="s">
        <v>296</v>
      </c>
      <c r="B258" s="1">
        <v>45508</v>
      </c>
      <c r="C258" t="s">
        <v>20</v>
      </c>
      <c r="D258" t="s">
        <v>13</v>
      </c>
      <c r="E258">
        <v>500</v>
      </c>
      <c r="F258" t="s">
        <v>32</v>
      </c>
      <c r="G258" t="s">
        <v>28</v>
      </c>
      <c r="H258" t="s">
        <v>16</v>
      </c>
      <c r="I258" t="s">
        <v>17</v>
      </c>
      <c r="J258" t="s">
        <v>35</v>
      </c>
      <c r="K258">
        <v>0</v>
      </c>
      <c r="L25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258">
        <f>GhanaStream[[#This Row],[Subscription Fee]]-(GhanaStream[[#This Row],[Discount]]*GhanaStream[[#This Row],[Subscription Fee]])</f>
        <v>500</v>
      </c>
      <c r="N258" t="str">
        <f>IF(GhanaStream[[#This Row],[Churn Flag]]="Yes","Churned","Retained")</f>
        <v>Churned</v>
      </c>
    </row>
    <row r="259" spans="1:14" x14ac:dyDescent="0.25">
      <c r="A259" t="s">
        <v>297</v>
      </c>
      <c r="B259" s="1">
        <v>45264</v>
      </c>
      <c r="C259" t="s">
        <v>31</v>
      </c>
      <c r="D259" t="s">
        <v>13</v>
      </c>
      <c r="E259">
        <v>1000</v>
      </c>
      <c r="F259" t="s">
        <v>32</v>
      </c>
      <c r="G259" t="s">
        <v>24</v>
      </c>
      <c r="H259" t="s">
        <v>33</v>
      </c>
      <c r="I259" t="s">
        <v>34</v>
      </c>
      <c r="J259" t="s">
        <v>25</v>
      </c>
      <c r="K259">
        <v>0</v>
      </c>
      <c r="L25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259">
        <f>GhanaStream[[#This Row],[Subscription Fee]]-(GhanaStream[[#This Row],[Discount]]*GhanaStream[[#This Row],[Subscription Fee]])</f>
        <v>1000</v>
      </c>
      <c r="N259" t="str">
        <f>IF(GhanaStream[[#This Row],[Churn Flag]]="Yes","Churned","Retained")</f>
        <v>Retained</v>
      </c>
    </row>
    <row r="260" spans="1:14" x14ac:dyDescent="0.25">
      <c r="A260" t="s">
        <v>298</v>
      </c>
      <c r="B260" s="1">
        <v>45498</v>
      </c>
      <c r="C260" t="s">
        <v>31</v>
      </c>
      <c r="D260" t="s">
        <v>13</v>
      </c>
      <c r="E260">
        <v>1000</v>
      </c>
      <c r="F260" t="s">
        <v>49</v>
      </c>
      <c r="G260" t="s">
        <v>24</v>
      </c>
      <c r="H260" t="s">
        <v>33</v>
      </c>
      <c r="I260" t="s">
        <v>34</v>
      </c>
      <c r="J260" t="s">
        <v>50</v>
      </c>
      <c r="K260">
        <v>0</v>
      </c>
      <c r="L26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260">
        <f>GhanaStream[[#This Row],[Subscription Fee]]-(GhanaStream[[#This Row],[Discount]]*GhanaStream[[#This Row],[Subscription Fee]])</f>
        <v>1000</v>
      </c>
      <c r="N260" t="str">
        <f>IF(GhanaStream[[#This Row],[Churn Flag]]="Yes","Churned","Retained")</f>
        <v>Retained</v>
      </c>
    </row>
    <row r="261" spans="1:14" x14ac:dyDescent="0.25">
      <c r="A261" t="s">
        <v>299</v>
      </c>
      <c r="B261" s="1">
        <v>45403</v>
      </c>
      <c r="C261" t="s">
        <v>31</v>
      </c>
      <c r="D261" t="s">
        <v>27</v>
      </c>
      <c r="E261">
        <v>10800</v>
      </c>
      <c r="F261" t="s">
        <v>21</v>
      </c>
      <c r="G261" t="s">
        <v>28</v>
      </c>
      <c r="H261" t="s">
        <v>33</v>
      </c>
      <c r="I261" t="s">
        <v>34</v>
      </c>
      <c r="J261" t="s">
        <v>29</v>
      </c>
      <c r="K261">
        <v>0.1</v>
      </c>
      <c r="L26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261">
        <f>GhanaStream[[#This Row],[Subscription Fee]]-(GhanaStream[[#This Row],[Discount]]*GhanaStream[[#This Row],[Subscription Fee]])</f>
        <v>9720</v>
      </c>
      <c r="N261" t="str">
        <f>IF(GhanaStream[[#This Row],[Churn Flag]]="Yes","Churned","Retained")</f>
        <v>Retained</v>
      </c>
    </row>
    <row r="262" spans="1:14" x14ac:dyDescent="0.25">
      <c r="A262" t="s">
        <v>300</v>
      </c>
      <c r="B262" s="1">
        <v>45311</v>
      </c>
      <c r="C262" t="s">
        <v>20</v>
      </c>
      <c r="D262" t="s">
        <v>27</v>
      </c>
      <c r="E262">
        <v>5400</v>
      </c>
      <c r="F262" t="s">
        <v>14</v>
      </c>
      <c r="G262" t="s">
        <v>24</v>
      </c>
      <c r="H262" t="s">
        <v>16</v>
      </c>
      <c r="I262" t="s">
        <v>17</v>
      </c>
      <c r="J262" t="s">
        <v>22</v>
      </c>
      <c r="K262">
        <v>0.1</v>
      </c>
      <c r="L26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262">
        <f>GhanaStream[[#This Row],[Subscription Fee]]-(GhanaStream[[#This Row],[Discount]]*GhanaStream[[#This Row],[Subscription Fee]])</f>
        <v>4860</v>
      </c>
      <c r="N262" t="str">
        <f>IF(GhanaStream[[#This Row],[Churn Flag]]="Yes","Churned","Retained")</f>
        <v>Churned</v>
      </c>
    </row>
    <row r="263" spans="1:14" x14ac:dyDescent="0.25">
      <c r="A263" t="s">
        <v>301</v>
      </c>
      <c r="B263" s="1">
        <v>45315</v>
      </c>
      <c r="C263" t="s">
        <v>20</v>
      </c>
      <c r="D263" t="s">
        <v>27</v>
      </c>
      <c r="E263">
        <v>5400</v>
      </c>
      <c r="F263" t="s">
        <v>32</v>
      </c>
      <c r="G263" t="s">
        <v>24</v>
      </c>
      <c r="H263" t="s">
        <v>16</v>
      </c>
      <c r="I263" t="s">
        <v>17</v>
      </c>
      <c r="J263" t="s">
        <v>25</v>
      </c>
      <c r="K263">
        <v>0.1</v>
      </c>
      <c r="L26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263">
        <f>GhanaStream[[#This Row],[Subscription Fee]]-(GhanaStream[[#This Row],[Discount]]*GhanaStream[[#This Row],[Subscription Fee]])</f>
        <v>4860</v>
      </c>
      <c r="N263" t="str">
        <f>IF(GhanaStream[[#This Row],[Churn Flag]]="Yes","Churned","Retained")</f>
        <v>Churned</v>
      </c>
    </row>
    <row r="264" spans="1:14" x14ac:dyDescent="0.25">
      <c r="A264" t="s">
        <v>302</v>
      </c>
      <c r="B264" s="1">
        <v>45592</v>
      </c>
      <c r="C264" t="s">
        <v>12</v>
      </c>
      <c r="D264" t="s">
        <v>27</v>
      </c>
      <c r="E264">
        <v>16200</v>
      </c>
      <c r="F264" t="s">
        <v>21</v>
      </c>
      <c r="G264" t="s">
        <v>24</v>
      </c>
      <c r="H264" t="s">
        <v>33</v>
      </c>
      <c r="I264" t="s">
        <v>34</v>
      </c>
      <c r="J264" t="s">
        <v>22</v>
      </c>
      <c r="K264">
        <v>0.1</v>
      </c>
      <c r="L26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264">
        <f>GhanaStream[[#This Row],[Subscription Fee]]-(GhanaStream[[#This Row],[Discount]]*GhanaStream[[#This Row],[Subscription Fee]])</f>
        <v>14580</v>
      </c>
      <c r="N264" t="str">
        <f>IF(GhanaStream[[#This Row],[Churn Flag]]="Yes","Churned","Retained")</f>
        <v>Retained</v>
      </c>
    </row>
    <row r="265" spans="1:14" x14ac:dyDescent="0.25">
      <c r="A265" t="s">
        <v>303</v>
      </c>
      <c r="B265" s="1">
        <v>45314</v>
      </c>
      <c r="C265" t="s">
        <v>31</v>
      </c>
      <c r="D265" t="s">
        <v>13</v>
      </c>
      <c r="E265">
        <v>1000</v>
      </c>
      <c r="F265" t="s">
        <v>49</v>
      </c>
      <c r="G265" t="s">
        <v>15</v>
      </c>
      <c r="H265" t="s">
        <v>16</v>
      </c>
      <c r="I265" t="s">
        <v>17</v>
      </c>
      <c r="J265" t="s">
        <v>22</v>
      </c>
      <c r="K265">
        <v>0</v>
      </c>
      <c r="L26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265">
        <f>GhanaStream[[#This Row],[Subscription Fee]]-(GhanaStream[[#This Row],[Discount]]*GhanaStream[[#This Row],[Subscription Fee]])</f>
        <v>1000</v>
      </c>
      <c r="N265" t="str">
        <f>IF(GhanaStream[[#This Row],[Churn Flag]]="Yes","Churned","Retained")</f>
        <v>Churned</v>
      </c>
    </row>
    <row r="266" spans="1:14" x14ac:dyDescent="0.25">
      <c r="A266" t="s">
        <v>304</v>
      </c>
      <c r="B266" s="1">
        <v>45626</v>
      </c>
      <c r="C266" t="s">
        <v>12</v>
      </c>
      <c r="D266" t="s">
        <v>13</v>
      </c>
      <c r="E266">
        <v>1500</v>
      </c>
      <c r="F266" t="s">
        <v>32</v>
      </c>
      <c r="G266" t="s">
        <v>28</v>
      </c>
      <c r="H266" t="s">
        <v>16</v>
      </c>
      <c r="I266" t="s">
        <v>17</v>
      </c>
      <c r="J266" t="s">
        <v>39</v>
      </c>
      <c r="K266">
        <v>0</v>
      </c>
      <c r="L26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266">
        <f>GhanaStream[[#This Row],[Subscription Fee]]-(GhanaStream[[#This Row],[Discount]]*GhanaStream[[#This Row],[Subscription Fee]])</f>
        <v>1500</v>
      </c>
      <c r="N266" t="str">
        <f>IF(GhanaStream[[#This Row],[Churn Flag]]="Yes","Churned","Retained")</f>
        <v>Churned</v>
      </c>
    </row>
    <row r="267" spans="1:14" x14ac:dyDescent="0.25">
      <c r="A267" t="s">
        <v>305</v>
      </c>
      <c r="B267" s="1">
        <v>45209</v>
      </c>
      <c r="C267" t="s">
        <v>31</v>
      </c>
      <c r="D267" t="s">
        <v>27</v>
      </c>
      <c r="E267">
        <v>10800</v>
      </c>
      <c r="F267" t="s">
        <v>21</v>
      </c>
      <c r="G267" t="s">
        <v>28</v>
      </c>
      <c r="H267" t="s">
        <v>16</v>
      </c>
      <c r="I267" t="s">
        <v>17</v>
      </c>
      <c r="J267" t="s">
        <v>25</v>
      </c>
      <c r="K267">
        <v>0.1</v>
      </c>
      <c r="L26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267">
        <f>GhanaStream[[#This Row],[Subscription Fee]]-(GhanaStream[[#This Row],[Discount]]*GhanaStream[[#This Row],[Subscription Fee]])</f>
        <v>9720</v>
      </c>
      <c r="N267" t="str">
        <f>IF(GhanaStream[[#This Row],[Churn Flag]]="Yes","Churned","Retained")</f>
        <v>Churned</v>
      </c>
    </row>
    <row r="268" spans="1:14" x14ac:dyDescent="0.25">
      <c r="A268" t="s">
        <v>306</v>
      </c>
      <c r="B268" s="1">
        <v>45418</v>
      </c>
      <c r="C268" t="s">
        <v>12</v>
      </c>
      <c r="D268" t="s">
        <v>13</v>
      </c>
      <c r="E268">
        <v>1500</v>
      </c>
      <c r="F268" t="s">
        <v>49</v>
      </c>
      <c r="G268" t="s">
        <v>15</v>
      </c>
      <c r="H268" t="s">
        <v>16</v>
      </c>
      <c r="I268" t="s">
        <v>17</v>
      </c>
      <c r="J268" t="s">
        <v>58</v>
      </c>
      <c r="K268">
        <v>0</v>
      </c>
      <c r="L26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268">
        <f>GhanaStream[[#This Row],[Subscription Fee]]-(GhanaStream[[#This Row],[Discount]]*GhanaStream[[#This Row],[Subscription Fee]])</f>
        <v>1500</v>
      </c>
      <c r="N268" t="str">
        <f>IF(GhanaStream[[#This Row],[Churn Flag]]="Yes","Churned","Retained")</f>
        <v>Churned</v>
      </c>
    </row>
    <row r="269" spans="1:14" x14ac:dyDescent="0.25">
      <c r="A269" t="s">
        <v>307</v>
      </c>
      <c r="B269" s="1">
        <v>44979</v>
      </c>
      <c r="C269" t="s">
        <v>20</v>
      </c>
      <c r="D269" t="s">
        <v>13</v>
      </c>
      <c r="E269">
        <v>500</v>
      </c>
      <c r="F269" t="s">
        <v>14</v>
      </c>
      <c r="G269" t="s">
        <v>15</v>
      </c>
      <c r="H269" t="s">
        <v>16</v>
      </c>
      <c r="I269" t="s">
        <v>17</v>
      </c>
      <c r="J269" t="s">
        <v>37</v>
      </c>
      <c r="K269">
        <v>0</v>
      </c>
      <c r="L26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269">
        <f>GhanaStream[[#This Row],[Subscription Fee]]-(GhanaStream[[#This Row],[Discount]]*GhanaStream[[#This Row],[Subscription Fee]])</f>
        <v>500</v>
      </c>
      <c r="N269" t="str">
        <f>IF(GhanaStream[[#This Row],[Churn Flag]]="Yes","Churned","Retained")</f>
        <v>Churned</v>
      </c>
    </row>
    <row r="270" spans="1:14" x14ac:dyDescent="0.25">
      <c r="A270" t="s">
        <v>308</v>
      </c>
      <c r="B270" s="1">
        <v>45163</v>
      </c>
      <c r="C270" t="s">
        <v>31</v>
      </c>
      <c r="D270" t="s">
        <v>27</v>
      </c>
      <c r="E270">
        <v>10800</v>
      </c>
      <c r="F270" t="s">
        <v>49</v>
      </c>
      <c r="G270" t="s">
        <v>24</v>
      </c>
      <c r="H270" t="s">
        <v>16</v>
      </c>
      <c r="I270" t="s">
        <v>17</v>
      </c>
      <c r="J270" t="s">
        <v>58</v>
      </c>
      <c r="K270">
        <v>0.1</v>
      </c>
      <c r="L27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270">
        <f>GhanaStream[[#This Row],[Subscription Fee]]-(GhanaStream[[#This Row],[Discount]]*GhanaStream[[#This Row],[Subscription Fee]])</f>
        <v>9720</v>
      </c>
      <c r="N270" t="str">
        <f>IF(GhanaStream[[#This Row],[Churn Flag]]="Yes","Churned","Retained")</f>
        <v>Churned</v>
      </c>
    </row>
    <row r="271" spans="1:14" x14ac:dyDescent="0.25">
      <c r="A271" t="s">
        <v>309</v>
      </c>
      <c r="B271" s="1">
        <v>45323</v>
      </c>
      <c r="C271" t="s">
        <v>20</v>
      </c>
      <c r="D271" t="s">
        <v>13</v>
      </c>
      <c r="E271">
        <v>500</v>
      </c>
      <c r="F271" t="s">
        <v>21</v>
      </c>
      <c r="G271" t="s">
        <v>24</v>
      </c>
      <c r="H271" t="s">
        <v>16</v>
      </c>
      <c r="I271" t="s">
        <v>17</v>
      </c>
      <c r="J271" t="s">
        <v>22</v>
      </c>
      <c r="K271">
        <v>0</v>
      </c>
      <c r="L27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271">
        <f>GhanaStream[[#This Row],[Subscription Fee]]-(GhanaStream[[#This Row],[Discount]]*GhanaStream[[#This Row],[Subscription Fee]])</f>
        <v>500</v>
      </c>
      <c r="N271" t="str">
        <f>IF(GhanaStream[[#This Row],[Churn Flag]]="Yes","Churned","Retained")</f>
        <v>Churned</v>
      </c>
    </row>
    <row r="272" spans="1:14" x14ac:dyDescent="0.25">
      <c r="A272" t="s">
        <v>310</v>
      </c>
      <c r="B272" s="1">
        <v>45037</v>
      </c>
      <c r="C272" t="s">
        <v>12</v>
      </c>
      <c r="D272" t="s">
        <v>27</v>
      </c>
      <c r="E272">
        <v>16200</v>
      </c>
      <c r="F272" t="s">
        <v>21</v>
      </c>
      <c r="G272" t="s">
        <v>24</v>
      </c>
      <c r="H272" t="s">
        <v>33</v>
      </c>
      <c r="I272" t="s">
        <v>34</v>
      </c>
      <c r="J272" t="s">
        <v>29</v>
      </c>
      <c r="K272">
        <v>0.1</v>
      </c>
      <c r="L27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272">
        <f>GhanaStream[[#This Row],[Subscription Fee]]-(GhanaStream[[#This Row],[Discount]]*GhanaStream[[#This Row],[Subscription Fee]])</f>
        <v>14580</v>
      </c>
      <c r="N272" t="str">
        <f>IF(GhanaStream[[#This Row],[Churn Flag]]="Yes","Churned","Retained")</f>
        <v>Retained</v>
      </c>
    </row>
    <row r="273" spans="1:14" x14ac:dyDescent="0.25">
      <c r="A273" t="s">
        <v>311</v>
      </c>
      <c r="B273" s="1">
        <v>45488</v>
      </c>
      <c r="C273" t="s">
        <v>20</v>
      </c>
      <c r="D273" t="s">
        <v>13</v>
      </c>
      <c r="E273">
        <v>500</v>
      </c>
      <c r="F273" t="s">
        <v>32</v>
      </c>
      <c r="G273" t="s">
        <v>24</v>
      </c>
      <c r="H273" t="s">
        <v>33</v>
      </c>
      <c r="I273" t="s">
        <v>34</v>
      </c>
      <c r="J273" t="s">
        <v>25</v>
      </c>
      <c r="K273">
        <v>0</v>
      </c>
      <c r="L27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273">
        <f>GhanaStream[[#This Row],[Subscription Fee]]-(GhanaStream[[#This Row],[Discount]]*GhanaStream[[#This Row],[Subscription Fee]])</f>
        <v>500</v>
      </c>
      <c r="N273" t="str">
        <f>IF(GhanaStream[[#This Row],[Churn Flag]]="Yes","Churned","Retained")</f>
        <v>Retained</v>
      </c>
    </row>
    <row r="274" spans="1:14" x14ac:dyDescent="0.25">
      <c r="A274" t="s">
        <v>312</v>
      </c>
      <c r="B274" s="1">
        <v>45064</v>
      </c>
      <c r="C274" t="s">
        <v>20</v>
      </c>
      <c r="D274" t="s">
        <v>13</v>
      </c>
      <c r="E274">
        <v>500</v>
      </c>
      <c r="F274" t="s">
        <v>32</v>
      </c>
      <c r="G274" t="s">
        <v>15</v>
      </c>
      <c r="H274" t="s">
        <v>16</v>
      </c>
      <c r="I274" t="s">
        <v>17</v>
      </c>
      <c r="J274" t="s">
        <v>25</v>
      </c>
      <c r="K274">
        <v>0</v>
      </c>
      <c r="L27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274">
        <f>GhanaStream[[#This Row],[Subscription Fee]]-(GhanaStream[[#This Row],[Discount]]*GhanaStream[[#This Row],[Subscription Fee]])</f>
        <v>500</v>
      </c>
      <c r="N274" t="str">
        <f>IF(GhanaStream[[#This Row],[Churn Flag]]="Yes","Churned","Retained")</f>
        <v>Churned</v>
      </c>
    </row>
    <row r="275" spans="1:14" x14ac:dyDescent="0.25">
      <c r="A275" t="s">
        <v>313</v>
      </c>
      <c r="B275" s="1">
        <v>44944</v>
      </c>
      <c r="C275" t="s">
        <v>20</v>
      </c>
      <c r="D275" t="s">
        <v>13</v>
      </c>
      <c r="E275">
        <v>500</v>
      </c>
      <c r="F275" t="s">
        <v>14</v>
      </c>
      <c r="G275" t="s">
        <v>28</v>
      </c>
      <c r="H275" t="s">
        <v>16</v>
      </c>
      <c r="I275" t="s">
        <v>17</v>
      </c>
      <c r="J275" t="s">
        <v>22</v>
      </c>
      <c r="K275">
        <v>0</v>
      </c>
      <c r="L27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275">
        <f>GhanaStream[[#This Row],[Subscription Fee]]-(GhanaStream[[#This Row],[Discount]]*GhanaStream[[#This Row],[Subscription Fee]])</f>
        <v>500</v>
      </c>
      <c r="N275" t="str">
        <f>IF(GhanaStream[[#This Row],[Churn Flag]]="Yes","Churned","Retained")</f>
        <v>Churned</v>
      </c>
    </row>
    <row r="276" spans="1:14" x14ac:dyDescent="0.25">
      <c r="A276" t="s">
        <v>314</v>
      </c>
      <c r="B276" s="1">
        <v>45028</v>
      </c>
      <c r="C276" t="s">
        <v>31</v>
      </c>
      <c r="D276" t="s">
        <v>27</v>
      </c>
      <c r="E276">
        <v>10800</v>
      </c>
      <c r="F276" t="s">
        <v>21</v>
      </c>
      <c r="G276" t="s">
        <v>15</v>
      </c>
      <c r="H276" t="s">
        <v>16</v>
      </c>
      <c r="I276" t="s">
        <v>17</v>
      </c>
      <c r="J276" t="s">
        <v>29</v>
      </c>
      <c r="K276">
        <v>0.1</v>
      </c>
      <c r="L27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276">
        <f>GhanaStream[[#This Row],[Subscription Fee]]-(GhanaStream[[#This Row],[Discount]]*GhanaStream[[#This Row],[Subscription Fee]])</f>
        <v>9720</v>
      </c>
      <c r="N276" t="str">
        <f>IF(GhanaStream[[#This Row],[Churn Flag]]="Yes","Churned","Retained")</f>
        <v>Churned</v>
      </c>
    </row>
    <row r="277" spans="1:14" x14ac:dyDescent="0.25">
      <c r="A277" t="s">
        <v>315</v>
      </c>
      <c r="B277" s="1">
        <v>45541</v>
      </c>
      <c r="C277" t="s">
        <v>12</v>
      </c>
      <c r="D277" t="s">
        <v>13</v>
      </c>
      <c r="E277">
        <v>1500</v>
      </c>
      <c r="F277" t="s">
        <v>14</v>
      </c>
      <c r="G277" t="s">
        <v>15</v>
      </c>
      <c r="H277" t="s">
        <v>16</v>
      </c>
      <c r="I277" t="s">
        <v>17</v>
      </c>
      <c r="J277" t="s">
        <v>37</v>
      </c>
      <c r="K277">
        <v>0</v>
      </c>
      <c r="L27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277">
        <f>GhanaStream[[#This Row],[Subscription Fee]]-(GhanaStream[[#This Row],[Discount]]*GhanaStream[[#This Row],[Subscription Fee]])</f>
        <v>1500</v>
      </c>
      <c r="N277" t="str">
        <f>IF(GhanaStream[[#This Row],[Churn Flag]]="Yes","Churned","Retained")</f>
        <v>Churned</v>
      </c>
    </row>
    <row r="278" spans="1:14" x14ac:dyDescent="0.25">
      <c r="A278" t="s">
        <v>316</v>
      </c>
      <c r="B278" s="1">
        <v>45314</v>
      </c>
      <c r="C278" t="s">
        <v>20</v>
      </c>
      <c r="D278" t="s">
        <v>13</v>
      </c>
      <c r="E278">
        <v>500</v>
      </c>
      <c r="F278" t="s">
        <v>21</v>
      </c>
      <c r="G278" t="s">
        <v>24</v>
      </c>
      <c r="H278" t="s">
        <v>16</v>
      </c>
      <c r="I278" t="s">
        <v>17</v>
      </c>
      <c r="J278" t="s">
        <v>29</v>
      </c>
      <c r="K278">
        <v>0</v>
      </c>
      <c r="L27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278">
        <f>GhanaStream[[#This Row],[Subscription Fee]]-(GhanaStream[[#This Row],[Discount]]*GhanaStream[[#This Row],[Subscription Fee]])</f>
        <v>500</v>
      </c>
      <c r="N278" t="str">
        <f>IF(GhanaStream[[#This Row],[Churn Flag]]="Yes","Churned","Retained")</f>
        <v>Churned</v>
      </c>
    </row>
    <row r="279" spans="1:14" x14ac:dyDescent="0.25">
      <c r="A279" t="s">
        <v>317</v>
      </c>
      <c r="B279" s="1">
        <v>44940</v>
      </c>
      <c r="C279" t="s">
        <v>20</v>
      </c>
      <c r="D279" t="s">
        <v>27</v>
      </c>
      <c r="E279">
        <v>5400</v>
      </c>
      <c r="F279" t="s">
        <v>14</v>
      </c>
      <c r="G279" t="s">
        <v>24</v>
      </c>
      <c r="H279" t="s">
        <v>33</v>
      </c>
      <c r="I279" t="s">
        <v>34</v>
      </c>
      <c r="J279" t="s">
        <v>55</v>
      </c>
      <c r="K279">
        <v>0.1</v>
      </c>
      <c r="L27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279">
        <f>GhanaStream[[#This Row],[Subscription Fee]]-(GhanaStream[[#This Row],[Discount]]*GhanaStream[[#This Row],[Subscription Fee]])</f>
        <v>4860</v>
      </c>
      <c r="N279" t="str">
        <f>IF(GhanaStream[[#This Row],[Churn Flag]]="Yes","Churned","Retained")</f>
        <v>Retained</v>
      </c>
    </row>
    <row r="280" spans="1:14" x14ac:dyDescent="0.25">
      <c r="A280" t="s">
        <v>318</v>
      </c>
      <c r="B280" s="1">
        <v>45655</v>
      </c>
      <c r="C280" t="s">
        <v>31</v>
      </c>
      <c r="D280" t="s">
        <v>27</v>
      </c>
      <c r="E280">
        <v>10800</v>
      </c>
      <c r="F280" t="s">
        <v>21</v>
      </c>
      <c r="G280" t="s">
        <v>24</v>
      </c>
      <c r="H280" t="s">
        <v>16</v>
      </c>
      <c r="I280" t="s">
        <v>17</v>
      </c>
      <c r="J280" t="s">
        <v>29</v>
      </c>
      <c r="K280">
        <v>0.1</v>
      </c>
      <c r="L28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280">
        <f>GhanaStream[[#This Row],[Subscription Fee]]-(GhanaStream[[#This Row],[Discount]]*GhanaStream[[#This Row],[Subscription Fee]])</f>
        <v>9720</v>
      </c>
      <c r="N280" t="str">
        <f>IF(GhanaStream[[#This Row],[Churn Flag]]="Yes","Churned","Retained")</f>
        <v>Churned</v>
      </c>
    </row>
    <row r="281" spans="1:14" x14ac:dyDescent="0.25">
      <c r="A281" t="s">
        <v>319</v>
      </c>
      <c r="B281" s="1">
        <v>45553</v>
      </c>
      <c r="C281" t="s">
        <v>20</v>
      </c>
      <c r="D281" t="s">
        <v>13</v>
      </c>
      <c r="E281">
        <v>500</v>
      </c>
      <c r="F281" t="s">
        <v>32</v>
      </c>
      <c r="G281" t="s">
        <v>28</v>
      </c>
      <c r="H281" t="s">
        <v>33</v>
      </c>
      <c r="I281" t="s">
        <v>34</v>
      </c>
      <c r="J281" t="s">
        <v>25</v>
      </c>
      <c r="K281">
        <v>0</v>
      </c>
      <c r="L28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281">
        <f>GhanaStream[[#This Row],[Subscription Fee]]-(GhanaStream[[#This Row],[Discount]]*GhanaStream[[#This Row],[Subscription Fee]])</f>
        <v>500</v>
      </c>
      <c r="N281" t="str">
        <f>IF(GhanaStream[[#This Row],[Churn Flag]]="Yes","Churned","Retained")</f>
        <v>Retained</v>
      </c>
    </row>
    <row r="282" spans="1:14" x14ac:dyDescent="0.25">
      <c r="A282" t="s">
        <v>320</v>
      </c>
      <c r="B282" s="1">
        <v>45135</v>
      </c>
      <c r="C282" t="s">
        <v>12</v>
      </c>
      <c r="D282" t="s">
        <v>13</v>
      </c>
      <c r="E282">
        <v>1500</v>
      </c>
      <c r="F282" t="s">
        <v>32</v>
      </c>
      <c r="G282" t="s">
        <v>15</v>
      </c>
      <c r="H282" t="s">
        <v>16</v>
      </c>
      <c r="I282" t="s">
        <v>17</v>
      </c>
      <c r="J282" t="s">
        <v>35</v>
      </c>
      <c r="K282">
        <v>0</v>
      </c>
      <c r="L28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282">
        <f>GhanaStream[[#This Row],[Subscription Fee]]-(GhanaStream[[#This Row],[Discount]]*GhanaStream[[#This Row],[Subscription Fee]])</f>
        <v>1500</v>
      </c>
      <c r="N282" t="str">
        <f>IF(GhanaStream[[#This Row],[Churn Flag]]="Yes","Churned","Retained")</f>
        <v>Churned</v>
      </c>
    </row>
    <row r="283" spans="1:14" x14ac:dyDescent="0.25">
      <c r="A283" t="s">
        <v>321</v>
      </c>
      <c r="B283" s="1">
        <v>45156</v>
      </c>
      <c r="C283" t="s">
        <v>12</v>
      </c>
      <c r="D283" t="s">
        <v>13</v>
      </c>
      <c r="E283">
        <v>1500</v>
      </c>
      <c r="F283" t="s">
        <v>49</v>
      </c>
      <c r="G283" t="s">
        <v>15</v>
      </c>
      <c r="H283" t="s">
        <v>16</v>
      </c>
      <c r="I283" t="s">
        <v>17</v>
      </c>
      <c r="J283" t="s">
        <v>22</v>
      </c>
      <c r="K283">
        <v>0</v>
      </c>
      <c r="L28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283">
        <f>GhanaStream[[#This Row],[Subscription Fee]]-(GhanaStream[[#This Row],[Discount]]*GhanaStream[[#This Row],[Subscription Fee]])</f>
        <v>1500</v>
      </c>
      <c r="N283" t="str">
        <f>IF(GhanaStream[[#This Row],[Churn Flag]]="Yes","Churned","Retained")</f>
        <v>Churned</v>
      </c>
    </row>
    <row r="284" spans="1:14" x14ac:dyDescent="0.25">
      <c r="A284" t="s">
        <v>322</v>
      </c>
      <c r="B284" s="1">
        <v>45072</v>
      </c>
      <c r="C284" t="s">
        <v>20</v>
      </c>
      <c r="D284" t="s">
        <v>13</v>
      </c>
      <c r="E284">
        <v>500</v>
      </c>
      <c r="F284" t="s">
        <v>32</v>
      </c>
      <c r="G284" t="s">
        <v>24</v>
      </c>
      <c r="H284" t="s">
        <v>33</v>
      </c>
      <c r="I284" t="s">
        <v>34</v>
      </c>
      <c r="J284" t="s">
        <v>25</v>
      </c>
      <c r="K284">
        <v>0</v>
      </c>
      <c r="L28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284">
        <f>GhanaStream[[#This Row],[Subscription Fee]]-(GhanaStream[[#This Row],[Discount]]*GhanaStream[[#This Row],[Subscription Fee]])</f>
        <v>500</v>
      </c>
      <c r="N284" t="str">
        <f>IF(GhanaStream[[#This Row],[Churn Flag]]="Yes","Churned","Retained")</f>
        <v>Retained</v>
      </c>
    </row>
    <row r="285" spans="1:14" x14ac:dyDescent="0.25">
      <c r="A285" t="s">
        <v>323</v>
      </c>
      <c r="B285" s="1">
        <v>45542</v>
      </c>
      <c r="C285" t="s">
        <v>31</v>
      </c>
      <c r="D285" t="s">
        <v>13</v>
      </c>
      <c r="E285">
        <v>1000</v>
      </c>
      <c r="F285" t="s">
        <v>21</v>
      </c>
      <c r="G285" t="s">
        <v>24</v>
      </c>
      <c r="H285" t="s">
        <v>16</v>
      </c>
      <c r="I285" t="s">
        <v>17</v>
      </c>
      <c r="J285" t="s">
        <v>29</v>
      </c>
      <c r="K285">
        <v>0</v>
      </c>
      <c r="L28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285">
        <f>GhanaStream[[#This Row],[Subscription Fee]]-(GhanaStream[[#This Row],[Discount]]*GhanaStream[[#This Row],[Subscription Fee]])</f>
        <v>1000</v>
      </c>
      <c r="N285" t="str">
        <f>IF(GhanaStream[[#This Row],[Churn Flag]]="Yes","Churned","Retained")</f>
        <v>Churned</v>
      </c>
    </row>
    <row r="286" spans="1:14" x14ac:dyDescent="0.25">
      <c r="A286" t="s">
        <v>324</v>
      </c>
      <c r="B286" s="1">
        <v>45083</v>
      </c>
      <c r="C286" t="s">
        <v>20</v>
      </c>
      <c r="D286" t="s">
        <v>27</v>
      </c>
      <c r="E286">
        <v>5400</v>
      </c>
      <c r="F286" t="s">
        <v>32</v>
      </c>
      <c r="G286" t="s">
        <v>28</v>
      </c>
      <c r="H286" t="s">
        <v>33</v>
      </c>
      <c r="I286" t="s">
        <v>34</v>
      </c>
      <c r="J286" t="s">
        <v>25</v>
      </c>
      <c r="K286">
        <v>0.1</v>
      </c>
      <c r="L28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286">
        <f>GhanaStream[[#This Row],[Subscription Fee]]-(GhanaStream[[#This Row],[Discount]]*GhanaStream[[#This Row],[Subscription Fee]])</f>
        <v>4860</v>
      </c>
      <c r="N286" t="str">
        <f>IF(GhanaStream[[#This Row],[Churn Flag]]="Yes","Churned","Retained")</f>
        <v>Retained</v>
      </c>
    </row>
    <row r="287" spans="1:14" x14ac:dyDescent="0.25">
      <c r="A287" t="s">
        <v>325</v>
      </c>
      <c r="B287" s="1">
        <v>44988</v>
      </c>
      <c r="C287" t="s">
        <v>12</v>
      </c>
      <c r="D287" t="s">
        <v>27</v>
      </c>
      <c r="E287">
        <v>16200</v>
      </c>
      <c r="F287" t="s">
        <v>14</v>
      </c>
      <c r="G287" t="s">
        <v>24</v>
      </c>
      <c r="H287" t="s">
        <v>33</v>
      </c>
      <c r="I287" t="s">
        <v>34</v>
      </c>
      <c r="J287" t="s">
        <v>41</v>
      </c>
      <c r="K287">
        <v>0.1</v>
      </c>
      <c r="L28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287">
        <f>GhanaStream[[#This Row],[Subscription Fee]]-(GhanaStream[[#This Row],[Discount]]*GhanaStream[[#This Row],[Subscription Fee]])</f>
        <v>14580</v>
      </c>
      <c r="N287" t="str">
        <f>IF(GhanaStream[[#This Row],[Churn Flag]]="Yes","Churned","Retained")</f>
        <v>Retained</v>
      </c>
    </row>
    <row r="288" spans="1:14" x14ac:dyDescent="0.25">
      <c r="A288" t="s">
        <v>326</v>
      </c>
      <c r="B288" s="1">
        <v>45212</v>
      </c>
      <c r="C288" t="s">
        <v>20</v>
      </c>
      <c r="D288" t="s">
        <v>13</v>
      </c>
      <c r="E288">
        <v>500</v>
      </c>
      <c r="F288" t="s">
        <v>21</v>
      </c>
      <c r="G288" t="s">
        <v>15</v>
      </c>
      <c r="H288" t="s">
        <v>16</v>
      </c>
      <c r="I288" t="s">
        <v>17</v>
      </c>
      <c r="J288" t="s">
        <v>25</v>
      </c>
      <c r="K288">
        <v>0</v>
      </c>
      <c r="L28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288">
        <f>GhanaStream[[#This Row],[Subscription Fee]]-(GhanaStream[[#This Row],[Discount]]*GhanaStream[[#This Row],[Subscription Fee]])</f>
        <v>500</v>
      </c>
      <c r="N288" t="str">
        <f>IF(GhanaStream[[#This Row],[Churn Flag]]="Yes","Churned","Retained")</f>
        <v>Churned</v>
      </c>
    </row>
    <row r="289" spans="1:14" x14ac:dyDescent="0.25">
      <c r="A289" t="s">
        <v>327</v>
      </c>
      <c r="B289" s="1">
        <v>45510</v>
      </c>
      <c r="C289" t="s">
        <v>20</v>
      </c>
      <c r="D289" t="s">
        <v>27</v>
      </c>
      <c r="E289">
        <v>5400</v>
      </c>
      <c r="F289" t="s">
        <v>49</v>
      </c>
      <c r="G289" t="s">
        <v>24</v>
      </c>
      <c r="H289" t="s">
        <v>33</v>
      </c>
      <c r="I289" t="s">
        <v>34</v>
      </c>
      <c r="J289" t="s">
        <v>50</v>
      </c>
      <c r="K289">
        <v>0.1</v>
      </c>
      <c r="L28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289">
        <f>GhanaStream[[#This Row],[Subscription Fee]]-(GhanaStream[[#This Row],[Discount]]*GhanaStream[[#This Row],[Subscription Fee]])</f>
        <v>4860</v>
      </c>
      <c r="N289" t="str">
        <f>IF(GhanaStream[[#This Row],[Churn Flag]]="Yes","Churned","Retained")</f>
        <v>Retained</v>
      </c>
    </row>
    <row r="290" spans="1:14" x14ac:dyDescent="0.25">
      <c r="A290" t="s">
        <v>328</v>
      </c>
      <c r="B290" s="1">
        <v>45602</v>
      </c>
      <c r="C290" t="s">
        <v>20</v>
      </c>
      <c r="D290" t="s">
        <v>13</v>
      </c>
      <c r="E290">
        <v>500</v>
      </c>
      <c r="F290" t="s">
        <v>49</v>
      </c>
      <c r="G290" t="s">
        <v>28</v>
      </c>
      <c r="H290" t="s">
        <v>33</v>
      </c>
      <c r="I290" t="s">
        <v>34</v>
      </c>
      <c r="J290" t="s">
        <v>18</v>
      </c>
      <c r="K290">
        <v>0</v>
      </c>
      <c r="L29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290">
        <f>GhanaStream[[#This Row],[Subscription Fee]]-(GhanaStream[[#This Row],[Discount]]*GhanaStream[[#This Row],[Subscription Fee]])</f>
        <v>500</v>
      </c>
      <c r="N290" t="str">
        <f>IF(GhanaStream[[#This Row],[Churn Flag]]="Yes","Churned","Retained")</f>
        <v>Retained</v>
      </c>
    </row>
    <row r="291" spans="1:14" x14ac:dyDescent="0.25">
      <c r="A291" t="s">
        <v>329</v>
      </c>
      <c r="B291" s="1">
        <v>45234</v>
      </c>
      <c r="C291" t="s">
        <v>12</v>
      </c>
      <c r="D291" t="s">
        <v>27</v>
      </c>
      <c r="E291">
        <v>16200</v>
      </c>
      <c r="F291" t="s">
        <v>21</v>
      </c>
      <c r="G291" t="s">
        <v>24</v>
      </c>
      <c r="H291" t="s">
        <v>33</v>
      </c>
      <c r="I291" t="s">
        <v>34</v>
      </c>
      <c r="J291" t="s">
        <v>29</v>
      </c>
      <c r="K291">
        <v>0.1</v>
      </c>
      <c r="L29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291">
        <f>GhanaStream[[#This Row],[Subscription Fee]]-(GhanaStream[[#This Row],[Discount]]*GhanaStream[[#This Row],[Subscription Fee]])</f>
        <v>14580</v>
      </c>
      <c r="N291" t="str">
        <f>IF(GhanaStream[[#This Row],[Churn Flag]]="Yes","Churned","Retained")</f>
        <v>Retained</v>
      </c>
    </row>
    <row r="292" spans="1:14" x14ac:dyDescent="0.25">
      <c r="A292" t="s">
        <v>330</v>
      </c>
      <c r="B292" s="1">
        <v>45241</v>
      </c>
      <c r="C292" t="s">
        <v>20</v>
      </c>
      <c r="D292" t="s">
        <v>13</v>
      </c>
      <c r="E292">
        <v>500</v>
      </c>
      <c r="F292" t="s">
        <v>14</v>
      </c>
      <c r="G292" t="s">
        <v>28</v>
      </c>
      <c r="H292" t="s">
        <v>33</v>
      </c>
      <c r="I292" t="s">
        <v>34</v>
      </c>
      <c r="J292" t="s">
        <v>37</v>
      </c>
      <c r="K292">
        <v>0</v>
      </c>
      <c r="L29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292">
        <f>GhanaStream[[#This Row],[Subscription Fee]]-(GhanaStream[[#This Row],[Discount]]*GhanaStream[[#This Row],[Subscription Fee]])</f>
        <v>500</v>
      </c>
      <c r="N292" t="str">
        <f>IF(GhanaStream[[#This Row],[Churn Flag]]="Yes","Churned","Retained")</f>
        <v>Retained</v>
      </c>
    </row>
    <row r="293" spans="1:14" x14ac:dyDescent="0.25">
      <c r="A293" t="s">
        <v>331</v>
      </c>
      <c r="B293" s="1">
        <v>45109</v>
      </c>
      <c r="C293" t="s">
        <v>20</v>
      </c>
      <c r="D293" t="s">
        <v>13</v>
      </c>
      <c r="E293">
        <v>500</v>
      </c>
      <c r="F293" t="s">
        <v>49</v>
      </c>
      <c r="G293" t="s">
        <v>28</v>
      </c>
      <c r="H293" t="s">
        <v>33</v>
      </c>
      <c r="I293" t="s">
        <v>34</v>
      </c>
      <c r="J293" t="s">
        <v>18</v>
      </c>
      <c r="K293">
        <v>0</v>
      </c>
      <c r="L29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293">
        <f>GhanaStream[[#This Row],[Subscription Fee]]-(GhanaStream[[#This Row],[Discount]]*GhanaStream[[#This Row],[Subscription Fee]])</f>
        <v>500</v>
      </c>
      <c r="N293" t="str">
        <f>IF(GhanaStream[[#This Row],[Churn Flag]]="Yes","Churned","Retained")</f>
        <v>Retained</v>
      </c>
    </row>
    <row r="294" spans="1:14" x14ac:dyDescent="0.25">
      <c r="A294" t="s">
        <v>332</v>
      </c>
      <c r="B294" s="1">
        <v>45514</v>
      </c>
      <c r="C294" t="s">
        <v>20</v>
      </c>
      <c r="D294" t="s">
        <v>27</v>
      </c>
      <c r="E294">
        <v>5400</v>
      </c>
      <c r="F294" t="s">
        <v>49</v>
      </c>
      <c r="G294" t="s">
        <v>24</v>
      </c>
      <c r="H294" t="s">
        <v>33</v>
      </c>
      <c r="I294" t="s">
        <v>34</v>
      </c>
      <c r="J294" t="s">
        <v>22</v>
      </c>
      <c r="K294">
        <v>0.1</v>
      </c>
      <c r="L29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294">
        <f>GhanaStream[[#This Row],[Subscription Fee]]-(GhanaStream[[#This Row],[Discount]]*GhanaStream[[#This Row],[Subscription Fee]])</f>
        <v>4860</v>
      </c>
      <c r="N294" t="str">
        <f>IF(GhanaStream[[#This Row],[Churn Flag]]="Yes","Churned","Retained")</f>
        <v>Retained</v>
      </c>
    </row>
    <row r="295" spans="1:14" x14ac:dyDescent="0.25">
      <c r="A295" t="s">
        <v>333</v>
      </c>
      <c r="B295" s="1">
        <v>45340</v>
      </c>
      <c r="C295" t="s">
        <v>31</v>
      </c>
      <c r="D295" t="s">
        <v>27</v>
      </c>
      <c r="E295">
        <v>10800</v>
      </c>
      <c r="F295" t="s">
        <v>32</v>
      </c>
      <c r="G295" t="s">
        <v>28</v>
      </c>
      <c r="H295" t="s">
        <v>33</v>
      </c>
      <c r="I295" t="s">
        <v>34</v>
      </c>
      <c r="J295" t="s">
        <v>66</v>
      </c>
      <c r="K295">
        <v>0.1</v>
      </c>
      <c r="L29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295">
        <f>GhanaStream[[#This Row],[Subscription Fee]]-(GhanaStream[[#This Row],[Discount]]*GhanaStream[[#This Row],[Subscription Fee]])</f>
        <v>9720</v>
      </c>
      <c r="N295" t="str">
        <f>IF(GhanaStream[[#This Row],[Churn Flag]]="Yes","Churned","Retained")</f>
        <v>Retained</v>
      </c>
    </row>
    <row r="296" spans="1:14" x14ac:dyDescent="0.25">
      <c r="A296" t="s">
        <v>334</v>
      </c>
      <c r="B296" s="1">
        <v>45338</v>
      </c>
      <c r="C296" t="s">
        <v>31</v>
      </c>
      <c r="D296" t="s">
        <v>27</v>
      </c>
      <c r="E296">
        <v>10800</v>
      </c>
      <c r="F296" t="s">
        <v>32</v>
      </c>
      <c r="G296" t="s">
        <v>24</v>
      </c>
      <c r="H296" t="s">
        <v>33</v>
      </c>
      <c r="I296" t="s">
        <v>34</v>
      </c>
      <c r="J296" t="s">
        <v>25</v>
      </c>
      <c r="K296">
        <v>0.1</v>
      </c>
      <c r="L29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296">
        <f>GhanaStream[[#This Row],[Subscription Fee]]-(GhanaStream[[#This Row],[Discount]]*GhanaStream[[#This Row],[Subscription Fee]])</f>
        <v>9720</v>
      </c>
      <c r="N296" t="str">
        <f>IF(GhanaStream[[#This Row],[Churn Flag]]="Yes","Churned","Retained")</f>
        <v>Retained</v>
      </c>
    </row>
    <row r="297" spans="1:14" x14ac:dyDescent="0.25">
      <c r="A297" t="s">
        <v>335</v>
      </c>
      <c r="B297" s="1">
        <v>44982</v>
      </c>
      <c r="C297" t="s">
        <v>31</v>
      </c>
      <c r="D297" t="s">
        <v>13</v>
      </c>
      <c r="E297">
        <v>1000</v>
      </c>
      <c r="F297" t="s">
        <v>49</v>
      </c>
      <c r="G297" t="s">
        <v>15</v>
      </c>
      <c r="H297" t="s">
        <v>16</v>
      </c>
      <c r="I297" t="s">
        <v>17</v>
      </c>
      <c r="J297" t="s">
        <v>35</v>
      </c>
      <c r="K297">
        <v>0</v>
      </c>
      <c r="L29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297">
        <f>GhanaStream[[#This Row],[Subscription Fee]]-(GhanaStream[[#This Row],[Discount]]*GhanaStream[[#This Row],[Subscription Fee]])</f>
        <v>1000</v>
      </c>
      <c r="N297" t="str">
        <f>IF(GhanaStream[[#This Row],[Churn Flag]]="Yes","Churned","Retained")</f>
        <v>Churned</v>
      </c>
    </row>
    <row r="298" spans="1:14" x14ac:dyDescent="0.25">
      <c r="A298" t="s">
        <v>336</v>
      </c>
      <c r="B298" s="1">
        <v>44988</v>
      </c>
      <c r="C298" t="s">
        <v>31</v>
      </c>
      <c r="D298" t="s">
        <v>27</v>
      </c>
      <c r="E298">
        <v>10800</v>
      </c>
      <c r="F298" t="s">
        <v>21</v>
      </c>
      <c r="G298" t="s">
        <v>24</v>
      </c>
      <c r="H298" t="s">
        <v>33</v>
      </c>
      <c r="I298" t="s">
        <v>34</v>
      </c>
      <c r="J298" t="s">
        <v>18</v>
      </c>
      <c r="K298">
        <v>0.1</v>
      </c>
      <c r="L29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298">
        <f>GhanaStream[[#This Row],[Subscription Fee]]-(GhanaStream[[#This Row],[Discount]]*GhanaStream[[#This Row],[Subscription Fee]])</f>
        <v>9720</v>
      </c>
      <c r="N298" t="str">
        <f>IF(GhanaStream[[#This Row],[Churn Flag]]="Yes","Churned","Retained")</f>
        <v>Retained</v>
      </c>
    </row>
    <row r="299" spans="1:14" x14ac:dyDescent="0.25">
      <c r="A299" t="s">
        <v>337</v>
      </c>
      <c r="B299" s="1">
        <v>45287</v>
      </c>
      <c r="C299" t="s">
        <v>12</v>
      </c>
      <c r="D299" t="s">
        <v>13</v>
      </c>
      <c r="E299">
        <v>1500</v>
      </c>
      <c r="F299" t="s">
        <v>49</v>
      </c>
      <c r="G299" t="s">
        <v>28</v>
      </c>
      <c r="H299" t="s">
        <v>16</v>
      </c>
      <c r="I299" t="s">
        <v>17</v>
      </c>
      <c r="J299" t="s">
        <v>18</v>
      </c>
      <c r="K299">
        <v>0</v>
      </c>
      <c r="L29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299">
        <f>GhanaStream[[#This Row],[Subscription Fee]]-(GhanaStream[[#This Row],[Discount]]*GhanaStream[[#This Row],[Subscription Fee]])</f>
        <v>1500</v>
      </c>
      <c r="N299" t="str">
        <f>IF(GhanaStream[[#This Row],[Churn Flag]]="Yes","Churned","Retained")</f>
        <v>Churned</v>
      </c>
    </row>
    <row r="300" spans="1:14" x14ac:dyDescent="0.25">
      <c r="A300" t="s">
        <v>338</v>
      </c>
      <c r="B300" s="1">
        <v>45331</v>
      </c>
      <c r="C300" t="s">
        <v>20</v>
      </c>
      <c r="D300" t="s">
        <v>27</v>
      </c>
      <c r="E300">
        <v>5400</v>
      </c>
      <c r="F300" t="s">
        <v>14</v>
      </c>
      <c r="G300" t="s">
        <v>24</v>
      </c>
      <c r="H300" t="s">
        <v>33</v>
      </c>
      <c r="I300" t="s">
        <v>34</v>
      </c>
      <c r="J300" t="s">
        <v>37</v>
      </c>
      <c r="K300">
        <v>0.1</v>
      </c>
      <c r="L30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300">
        <f>GhanaStream[[#This Row],[Subscription Fee]]-(GhanaStream[[#This Row],[Discount]]*GhanaStream[[#This Row],[Subscription Fee]])</f>
        <v>4860</v>
      </c>
      <c r="N300" t="str">
        <f>IF(GhanaStream[[#This Row],[Churn Flag]]="Yes","Churned","Retained")</f>
        <v>Retained</v>
      </c>
    </row>
    <row r="301" spans="1:14" x14ac:dyDescent="0.25">
      <c r="A301" t="s">
        <v>339</v>
      </c>
      <c r="B301" s="1">
        <v>45626</v>
      </c>
      <c r="C301" t="s">
        <v>12</v>
      </c>
      <c r="D301" t="s">
        <v>13</v>
      </c>
      <c r="E301">
        <v>1500</v>
      </c>
      <c r="F301" t="s">
        <v>21</v>
      </c>
      <c r="G301" t="s">
        <v>28</v>
      </c>
      <c r="H301" t="s">
        <v>16</v>
      </c>
      <c r="I301" t="s">
        <v>17</v>
      </c>
      <c r="J301" t="s">
        <v>29</v>
      </c>
      <c r="K301">
        <v>0</v>
      </c>
      <c r="L30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301">
        <f>GhanaStream[[#This Row],[Subscription Fee]]-(GhanaStream[[#This Row],[Discount]]*GhanaStream[[#This Row],[Subscription Fee]])</f>
        <v>1500</v>
      </c>
      <c r="N301" t="str">
        <f>IF(GhanaStream[[#This Row],[Churn Flag]]="Yes","Churned","Retained")</f>
        <v>Churned</v>
      </c>
    </row>
    <row r="302" spans="1:14" x14ac:dyDescent="0.25">
      <c r="A302" t="s">
        <v>340</v>
      </c>
      <c r="B302" s="1">
        <v>45013</v>
      </c>
      <c r="C302" t="s">
        <v>20</v>
      </c>
      <c r="D302" t="s">
        <v>27</v>
      </c>
      <c r="E302">
        <v>5400</v>
      </c>
      <c r="F302" t="s">
        <v>49</v>
      </c>
      <c r="G302" t="s">
        <v>24</v>
      </c>
      <c r="H302" t="s">
        <v>33</v>
      </c>
      <c r="I302" t="s">
        <v>34</v>
      </c>
      <c r="J302" t="s">
        <v>22</v>
      </c>
      <c r="K302">
        <v>0.1</v>
      </c>
      <c r="L30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302">
        <f>GhanaStream[[#This Row],[Subscription Fee]]-(GhanaStream[[#This Row],[Discount]]*GhanaStream[[#This Row],[Subscription Fee]])</f>
        <v>4860</v>
      </c>
      <c r="N302" t="str">
        <f>IF(GhanaStream[[#This Row],[Churn Flag]]="Yes","Churned","Retained")</f>
        <v>Retained</v>
      </c>
    </row>
    <row r="303" spans="1:14" x14ac:dyDescent="0.25">
      <c r="A303" t="s">
        <v>341</v>
      </c>
      <c r="B303" s="1">
        <v>44951</v>
      </c>
      <c r="C303" t="s">
        <v>31</v>
      </c>
      <c r="D303" t="s">
        <v>27</v>
      </c>
      <c r="E303">
        <v>10800</v>
      </c>
      <c r="F303" t="s">
        <v>14</v>
      </c>
      <c r="G303" t="s">
        <v>28</v>
      </c>
      <c r="H303" t="s">
        <v>33</v>
      </c>
      <c r="I303" t="s">
        <v>34</v>
      </c>
      <c r="J303" t="s">
        <v>37</v>
      </c>
      <c r="K303">
        <v>0.1</v>
      </c>
      <c r="L30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303">
        <f>GhanaStream[[#This Row],[Subscription Fee]]-(GhanaStream[[#This Row],[Discount]]*GhanaStream[[#This Row],[Subscription Fee]])</f>
        <v>9720</v>
      </c>
      <c r="N303" t="str">
        <f>IF(GhanaStream[[#This Row],[Churn Flag]]="Yes","Churned","Retained")</f>
        <v>Retained</v>
      </c>
    </row>
    <row r="304" spans="1:14" x14ac:dyDescent="0.25">
      <c r="A304" t="s">
        <v>342</v>
      </c>
      <c r="B304" s="1">
        <v>45024</v>
      </c>
      <c r="C304" t="s">
        <v>31</v>
      </c>
      <c r="D304" t="s">
        <v>13</v>
      </c>
      <c r="E304">
        <v>1000</v>
      </c>
      <c r="F304" t="s">
        <v>49</v>
      </c>
      <c r="G304" t="s">
        <v>24</v>
      </c>
      <c r="H304" t="s">
        <v>16</v>
      </c>
      <c r="I304" t="s">
        <v>17</v>
      </c>
      <c r="J304" t="s">
        <v>18</v>
      </c>
      <c r="K304">
        <v>0</v>
      </c>
      <c r="L30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304">
        <f>GhanaStream[[#This Row],[Subscription Fee]]-(GhanaStream[[#This Row],[Discount]]*GhanaStream[[#This Row],[Subscription Fee]])</f>
        <v>1000</v>
      </c>
      <c r="N304" t="str">
        <f>IF(GhanaStream[[#This Row],[Churn Flag]]="Yes","Churned","Retained")</f>
        <v>Churned</v>
      </c>
    </row>
    <row r="305" spans="1:14" x14ac:dyDescent="0.25">
      <c r="A305" t="s">
        <v>343</v>
      </c>
      <c r="B305" s="1">
        <v>45268</v>
      </c>
      <c r="C305" t="s">
        <v>31</v>
      </c>
      <c r="D305" t="s">
        <v>13</v>
      </c>
      <c r="E305">
        <v>1000</v>
      </c>
      <c r="F305" t="s">
        <v>49</v>
      </c>
      <c r="G305" t="s">
        <v>28</v>
      </c>
      <c r="H305" t="s">
        <v>33</v>
      </c>
      <c r="I305" t="s">
        <v>34</v>
      </c>
      <c r="J305" t="s">
        <v>58</v>
      </c>
      <c r="K305">
        <v>0</v>
      </c>
      <c r="L30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305">
        <f>GhanaStream[[#This Row],[Subscription Fee]]-(GhanaStream[[#This Row],[Discount]]*GhanaStream[[#This Row],[Subscription Fee]])</f>
        <v>1000</v>
      </c>
      <c r="N305" t="str">
        <f>IF(GhanaStream[[#This Row],[Churn Flag]]="Yes","Churned","Retained")</f>
        <v>Retained</v>
      </c>
    </row>
    <row r="306" spans="1:14" x14ac:dyDescent="0.25">
      <c r="A306" t="s">
        <v>344</v>
      </c>
      <c r="B306" s="1">
        <v>45078</v>
      </c>
      <c r="C306" t="s">
        <v>12</v>
      </c>
      <c r="D306" t="s">
        <v>27</v>
      </c>
      <c r="E306">
        <v>16200</v>
      </c>
      <c r="F306" t="s">
        <v>49</v>
      </c>
      <c r="G306" t="s">
        <v>28</v>
      </c>
      <c r="H306" t="s">
        <v>33</v>
      </c>
      <c r="I306" t="s">
        <v>34</v>
      </c>
      <c r="J306" t="s">
        <v>22</v>
      </c>
      <c r="K306">
        <v>0.1</v>
      </c>
      <c r="L30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306">
        <f>GhanaStream[[#This Row],[Subscription Fee]]-(GhanaStream[[#This Row],[Discount]]*GhanaStream[[#This Row],[Subscription Fee]])</f>
        <v>14580</v>
      </c>
      <c r="N306" t="str">
        <f>IF(GhanaStream[[#This Row],[Churn Flag]]="Yes","Churned","Retained")</f>
        <v>Retained</v>
      </c>
    </row>
    <row r="307" spans="1:14" x14ac:dyDescent="0.25">
      <c r="A307" t="s">
        <v>345</v>
      </c>
      <c r="B307" s="1">
        <v>45546</v>
      </c>
      <c r="C307" t="s">
        <v>12</v>
      </c>
      <c r="D307" t="s">
        <v>27</v>
      </c>
      <c r="E307">
        <v>16200</v>
      </c>
      <c r="F307" t="s">
        <v>14</v>
      </c>
      <c r="G307" t="s">
        <v>24</v>
      </c>
      <c r="H307" t="s">
        <v>33</v>
      </c>
      <c r="I307" t="s">
        <v>34</v>
      </c>
      <c r="J307" t="s">
        <v>37</v>
      </c>
      <c r="K307">
        <v>0.1</v>
      </c>
      <c r="L30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307">
        <f>GhanaStream[[#This Row],[Subscription Fee]]-(GhanaStream[[#This Row],[Discount]]*GhanaStream[[#This Row],[Subscription Fee]])</f>
        <v>14580</v>
      </c>
      <c r="N307" t="str">
        <f>IF(GhanaStream[[#This Row],[Churn Flag]]="Yes","Churned","Retained")</f>
        <v>Retained</v>
      </c>
    </row>
    <row r="308" spans="1:14" x14ac:dyDescent="0.25">
      <c r="A308" t="s">
        <v>346</v>
      </c>
      <c r="B308" s="1">
        <v>45415</v>
      </c>
      <c r="C308" t="s">
        <v>31</v>
      </c>
      <c r="D308" t="s">
        <v>27</v>
      </c>
      <c r="E308">
        <v>10800</v>
      </c>
      <c r="F308" t="s">
        <v>14</v>
      </c>
      <c r="G308" t="s">
        <v>15</v>
      </c>
      <c r="H308" t="s">
        <v>16</v>
      </c>
      <c r="I308" t="s">
        <v>17</v>
      </c>
      <c r="J308" t="s">
        <v>22</v>
      </c>
      <c r="K308">
        <v>0.1</v>
      </c>
      <c r="L30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308">
        <f>GhanaStream[[#This Row],[Subscription Fee]]-(GhanaStream[[#This Row],[Discount]]*GhanaStream[[#This Row],[Subscription Fee]])</f>
        <v>9720</v>
      </c>
      <c r="N308" t="str">
        <f>IF(GhanaStream[[#This Row],[Churn Flag]]="Yes","Churned","Retained")</f>
        <v>Churned</v>
      </c>
    </row>
    <row r="309" spans="1:14" x14ac:dyDescent="0.25">
      <c r="A309" t="s">
        <v>347</v>
      </c>
      <c r="B309" s="1">
        <v>45141</v>
      </c>
      <c r="C309" t="s">
        <v>31</v>
      </c>
      <c r="D309" t="s">
        <v>13</v>
      </c>
      <c r="E309">
        <v>1000</v>
      </c>
      <c r="F309" t="s">
        <v>32</v>
      </c>
      <c r="G309" t="s">
        <v>24</v>
      </c>
      <c r="H309" t="s">
        <v>33</v>
      </c>
      <c r="I309" t="s">
        <v>34</v>
      </c>
      <c r="J309" t="s">
        <v>25</v>
      </c>
      <c r="K309">
        <v>0</v>
      </c>
      <c r="L30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309">
        <f>GhanaStream[[#This Row],[Subscription Fee]]-(GhanaStream[[#This Row],[Discount]]*GhanaStream[[#This Row],[Subscription Fee]])</f>
        <v>1000</v>
      </c>
      <c r="N309" t="str">
        <f>IF(GhanaStream[[#This Row],[Churn Flag]]="Yes","Churned","Retained")</f>
        <v>Retained</v>
      </c>
    </row>
    <row r="310" spans="1:14" x14ac:dyDescent="0.25">
      <c r="A310" t="s">
        <v>348</v>
      </c>
      <c r="B310" s="1">
        <v>45155</v>
      </c>
      <c r="C310" t="s">
        <v>12</v>
      </c>
      <c r="D310" t="s">
        <v>13</v>
      </c>
      <c r="E310">
        <v>1500</v>
      </c>
      <c r="F310" t="s">
        <v>32</v>
      </c>
      <c r="G310" t="s">
        <v>28</v>
      </c>
      <c r="H310" t="s">
        <v>33</v>
      </c>
      <c r="I310" t="s">
        <v>34</v>
      </c>
      <c r="J310" t="s">
        <v>25</v>
      </c>
      <c r="K310">
        <v>0</v>
      </c>
      <c r="L31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310">
        <f>GhanaStream[[#This Row],[Subscription Fee]]-(GhanaStream[[#This Row],[Discount]]*GhanaStream[[#This Row],[Subscription Fee]])</f>
        <v>1500</v>
      </c>
      <c r="N310" t="str">
        <f>IF(GhanaStream[[#This Row],[Churn Flag]]="Yes","Churned","Retained")</f>
        <v>Retained</v>
      </c>
    </row>
    <row r="311" spans="1:14" x14ac:dyDescent="0.25">
      <c r="A311" t="s">
        <v>349</v>
      </c>
      <c r="B311" s="1">
        <v>45459</v>
      </c>
      <c r="C311" t="s">
        <v>12</v>
      </c>
      <c r="D311" t="s">
        <v>27</v>
      </c>
      <c r="E311">
        <v>16200</v>
      </c>
      <c r="F311" t="s">
        <v>32</v>
      </c>
      <c r="G311" t="s">
        <v>28</v>
      </c>
      <c r="H311" t="s">
        <v>16</v>
      </c>
      <c r="I311" t="s">
        <v>17</v>
      </c>
      <c r="J311" t="s">
        <v>44</v>
      </c>
      <c r="K311">
        <v>0.1</v>
      </c>
      <c r="L31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311">
        <f>GhanaStream[[#This Row],[Subscription Fee]]-(GhanaStream[[#This Row],[Discount]]*GhanaStream[[#This Row],[Subscription Fee]])</f>
        <v>14580</v>
      </c>
      <c r="N311" t="str">
        <f>IF(GhanaStream[[#This Row],[Churn Flag]]="Yes","Churned","Retained")</f>
        <v>Churned</v>
      </c>
    </row>
    <row r="312" spans="1:14" x14ac:dyDescent="0.25">
      <c r="A312" t="s">
        <v>350</v>
      </c>
      <c r="B312" s="1">
        <v>45023</v>
      </c>
      <c r="C312" t="s">
        <v>31</v>
      </c>
      <c r="D312" t="s">
        <v>13</v>
      </c>
      <c r="E312">
        <v>1000</v>
      </c>
      <c r="F312" t="s">
        <v>14</v>
      </c>
      <c r="G312" t="s">
        <v>24</v>
      </c>
      <c r="H312" t="s">
        <v>33</v>
      </c>
      <c r="I312" t="s">
        <v>34</v>
      </c>
      <c r="J312" t="s">
        <v>41</v>
      </c>
      <c r="K312">
        <v>0</v>
      </c>
      <c r="L31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312">
        <f>GhanaStream[[#This Row],[Subscription Fee]]-(GhanaStream[[#This Row],[Discount]]*GhanaStream[[#This Row],[Subscription Fee]])</f>
        <v>1000</v>
      </c>
      <c r="N312" t="str">
        <f>IF(GhanaStream[[#This Row],[Churn Flag]]="Yes","Churned","Retained")</f>
        <v>Retained</v>
      </c>
    </row>
    <row r="313" spans="1:14" x14ac:dyDescent="0.25">
      <c r="A313" t="s">
        <v>351</v>
      </c>
      <c r="B313" s="1">
        <v>44961</v>
      </c>
      <c r="C313" t="s">
        <v>31</v>
      </c>
      <c r="D313" t="s">
        <v>27</v>
      </c>
      <c r="E313">
        <v>10800</v>
      </c>
      <c r="F313" t="s">
        <v>14</v>
      </c>
      <c r="G313" t="s">
        <v>28</v>
      </c>
      <c r="H313" t="s">
        <v>33</v>
      </c>
      <c r="I313" t="s">
        <v>34</v>
      </c>
      <c r="J313" t="s">
        <v>18</v>
      </c>
      <c r="K313">
        <v>0.1</v>
      </c>
      <c r="L31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313">
        <f>GhanaStream[[#This Row],[Subscription Fee]]-(GhanaStream[[#This Row],[Discount]]*GhanaStream[[#This Row],[Subscription Fee]])</f>
        <v>9720</v>
      </c>
      <c r="N313" t="str">
        <f>IF(GhanaStream[[#This Row],[Churn Flag]]="Yes","Churned","Retained")</f>
        <v>Retained</v>
      </c>
    </row>
    <row r="314" spans="1:14" x14ac:dyDescent="0.25">
      <c r="A314" t="s">
        <v>352</v>
      </c>
      <c r="B314" s="1">
        <v>45489</v>
      </c>
      <c r="C314" t="s">
        <v>20</v>
      </c>
      <c r="D314" t="s">
        <v>13</v>
      </c>
      <c r="E314">
        <v>500</v>
      </c>
      <c r="F314" t="s">
        <v>32</v>
      </c>
      <c r="G314" t="s">
        <v>24</v>
      </c>
      <c r="H314" t="s">
        <v>33</v>
      </c>
      <c r="I314" t="s">
        <v>34</v>
      </c>
      <c r="J314" t="s">
        <v>39</v>
      </c>
      <c r="K314">
        <v>0</v>
      </c>
      <c r="L31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314">
        <f>GhanaStream[[#This Row],[Subscription Fee]]-(GhanaStream[[#This Row],[Discount]]*GhanaStream[[#This Row],[Subscription Fee]])</f>
        <v>500</v>
      </c>
      <c r="N314" t="str">
        <f>IF(GhanaStream[[#This Row],[Churn Flag]]="Yes","Churned","Retained")</f>
        <v>Retained</v>
      </c>
    </row>
    <row r="315" spans="1:14" x14ac:dyDescent="0.25">
      <c r="A315" t="s">
        <v>353</v>
      </c>
      <c r="B315" s="1">
        <v>45400</v>
      </c>
      <c r="C315" t="s">
        <v>31</v>
      </c>
      <c r="D315" t="s">
        <v>27</v>
      </c>
      <c r="E315">
        <v>10800</v>
      </c>
      <c r="F315" t="s">
        <v>21</v>
      </c>
      <c r="G315" t="s">
        <v>24</v>
      </c>
      <c r="H315" t="s">
        <v>33</v>
      </c>
      <c r="I315" t="s">
        <v>34</v>
      </c>
      <c r="J315" t="s">
        <v>18</v>
      </c>
      <c r="K315">
        <v>0.1</v>
      </c>
      <c r="L31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315">
        <f>GhanaStream[[#This Row],[Subscription Fee]]-(GhanaStream[[#This Row],[Discount]]*GhanaStream[[#This Row],[Subscription Fee]])</f>
        <v>9720</v>
      </c>
      <c r="N315" t="str">
        <f>IF(GhanaStream[[#This Row],[Churn Flag]]="Yes","Churned","Retained")</f>
        <v>Retained</v>
      </c>
    </row>
    <row r="316" spans="1:14" x14ac:dyDescent="0.25">
      <c r="A316" t="s">
        <v>354</v>
      </c>
      <c r="B316" s="1">
        <v>45617</v>
      </c>
      <c r="C316" t="s">
        <v>12</v>
      </c>
      <c r="D316" t="s">
        <v>27</v>
      </c>
      <c r="E316">
        <v>16200</v>
      </c>
      <c r="F316" t="s">
        <v>14</v>
      </c>
      <c r="G316" t="s">
        <v>28</v>
      </c>
      <c r="H316" t="s">
        <v>16</v>
      </c>
      <c r="I316" t="s">
        <v>17</v>
      </c>
      <c r="J316" t="s">
        <v>55</v>
      </c>
      <c r="K316">
        <v>0.1</v>
      </c>
      <c r="L31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316">
        <f>GhanaStream[[#This Row],[Subscription Fee]]-(GhanaStream[[#This Row],[Discount]]*GhanaStream[[#This Row],[Subscription Fee]])</f>
        <v>14580</v>
      </c>
      <c r="N316" t="str">
        <f>IF(GhanaStream[[#This Row],[Churn Flag]]="Yes","Churned","Retained")</f>
        <v>Churned</v>
      </c>
    </row>
    <row r="317" spans="1:14" x14ac:dyDescent="0.25">
      <c r="A317" t="s">
        <v>355</v>
      </c>
      <c r="B317" s="1">
        <v>45296</v>
      </c>
      <c r="C317" t="s">
        <v>12</v>
      </c>
      <c r="D317" t="s">
        <v>13</v>
      </c>
      <c r="E317">
        <v>1500</v>
      </c>
      <c r="F317" t="s">
        <v>32</v>
      </c>
      <c r="G317" t="s">
        <v>15</v>
      </c>
      <c r="H317" t="s">
        <v>16</v>
      </c>
      <c r="I317" t="s">
        <v>17</v>
      </c>
      <c r="J317" t="s">
        <v>35</v>
      </c>
      <c r="K317">
        <v>0</v>
      </c>
      <c r="L31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317">
        <f>GhanaStream[[#This Row],[Subscription Fee]]-(GhanaStream[[#This Row],[Discount]]*GhanaStream[[#This Row],[Subscription Fee]])</f>
        <v>1500</v>
      </c>
      <c r="N317" t="str">
        <f>IF(GhanaStream[[#This Row],[Churn Flag]]="Yes","Churned","Retained")</f>
        <v>Churned</v>
      </c>
    </row>
    <row r="318" spans="1:14" x14ac:dyDescent="0.25">
      <c r="A318" t="s">
        <v>356</v>
      </c>
      <c r="B318" s="1">
        <v>45254</v>
      </c>
      <c r="C318" t="s">
        <v>31</v>
      </c>
      <c r="D318" t="s">
        <v>13</v>
      </c>
      <c r="E318">
        <v>1000</v>
      </c>
      <c r="F318" t="s">
        <v>21</v>
      </c>
      <c r="G318" t="s">
        <v>28</v>
      </c>
      <c r="H318" t="s">
        <v>16</v>
      </c>
      <c r="I318" t="s">
        <v>17</v>
      </c>
      <c r="J318" t="s">
        <v>22</v>
      </c>
      <c r="K318">
        <v>0</v>
      </c>
      <c r="L31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318">
        <f>GhanaStream[[#This Row],[Subscription Fee]]-(GhanaStream[[#This Row],[Discount]]*GhanaStream[[#This Row],[Subscription Fee]])</f>
        <v>1000</v>
      </c>
      <c r="N318" t="str">
        <f>IF(GhanaStream[[#This Row],[Churn Flag]]="Yes","Churned","Retained")</f>
        <v>Churned</v>
      </c>
    </row>
    <row r="319" spans="1:14" x14ac:dyDescent="0.25">
      <c r="A319" t="s">
        <v>357</v>
      </c>
      <c r="B319" s="1">
        <v>45219</v>
      </c>
      <c r="C319" t="s">
        <v>31</v>
      </c>
      <c r="D319" t="s">
        <v>27</v>
      </c>
      <c r="E319">
        <v>10800</v>
      </c>
      <c r="F319" t="s">
        <v>49</v>
      </c>
      <c r="G319" t="s">
        <v>15</v>
      </c>
      <c r="H319" t="s">
        <v>16</v>
      </c>
      <c r="I319" t="s">
        <v>17</v>
      </c>
      <c r="J319" t="s">
        <v>50</v>
      </c>
      <c r="K319">
        <v>0.1</v>
      </c>
      <c r="L31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319">
        <f>GhanaStream[[#This Row],[Subscription Fee]]-(GhanaStream[[#This Row],[Discount]]*GhanaStream[[#This Row],[Subscription Fee]])</f>
        <v>9720</v>
      </c>
      <c r="N319" t="str">
        <f>IF(GhanaStream[[#This Row],[Churn Flag]]="Yes","Churned","Retained")</f>
        <v>Churned</v>
      </c>
    </row>
    <row r="320" spans="1:14" x14ac:dyDescent="0.25">
      <c r="A320" t="s">
        <v>358</v>
      </c>
      <c r="B320" s="1">
        <v>45105</v>
      </c>
      <c r="C320" t="s">
        <v>20</v>
      </c>
      <c r="D320" t="s">
        <v>27</v>
      </c>
      <c r="E320">
        <v>5400</v>
      </c>
      <c r="F320" t="s">
        <v>32</v>
      </c>
      <c r="G320" t="s">
        <v>28</v>
      </c>
      <c r="H320" t="s">
        <v>33</v>
      </c>
      <c r="I320" t="s">
        <v>34</v>
      </c>
      <c r="J320" t="s">
        <v>25</v>
      </c>
      <c r="K320">
        <v>0.1</v>
      </c>
      <c r="L32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320">
        <f>GhanaStream[[#This Row],[Subscription Fee]]-(GhanaStream[[#This Row],[Discount]]*GhanaStream[[#This Row],[Subscription Fee]])</f>
        <v>4860</v>
      </c>
      <c r="N320" t="str">
        <f>IF(GhanaStream[[#This Row],[Churn Flag]]="Yes","Churned","Retained")</f>
        <v>Retained</v>
      </c>
    </row>
    <row r="321" spans="1:14" x14ac:dyDescent="0.25">
      <c r="A321" t="s">
        <v>359</v>
      </c>
      <c r="B321" s="1">
        <v>45119</v>
      </c>
      <c r="C321" t="s">
        <v>20</v>
      </c>
      <c r="D321" t="s">
        <v>27</v>
      </c>
      <c r="E321">
        <v>5400</v>
      </c>
      <c r="F321" t="s">
        <v>14</v>
      </c>
      <c r="G321" t="s">
        <v>24</v>
      </c>
      <c r="H321" t="s">
        <v>33</v>
      </c>
      <c r="I321" t="s">
        <v>34</v>
      </c>
      <c r="J321" t="s">
        <v>41</v>
      </c>
      <c r="K321">
        <v>0.1</v>
      </c>
      <c r="L32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321">
        <f>GhanaStream[[#This Row],[Subscription Fee]]-(GhanaStream[[#This Row],[Discount]]*GhanaStream[[#This Row],[Subscription Fee]])</f>
        <v>4860</v>
      </c>
      <c r="N321" t="str">
        <f>IF(GhanaStream[[#This Row],[Churn Flag]]="Yes","Churned","Retained")</f>
        <v>Retained</v>
      </c>
    </row>
    <row r="322" spans="1:14" x14ac:dyDescent="0.25">
      <c r="A322" t="s">
        <v>360</v>
      </c>
      <c r="B322" s="1">
        <v>44939</v>
      </c>
      <c r="C322" t="s">
        <v>20</v>
      </c>
      <c r="D322" t="s">
        <v>27</v>
      </c>
      <c r="E322">
        <v>5400</v>
      </c>
      <c r="F322" t="s">
        <v>32</v>
      </c>
      <c r="G322" t="s">
        <v>24</v>
      </c>
      <c r="H322" t="s">
        <v>33</v>
      </c>
      <c r="I322" t="s">
        <v>34</v>
      </c>
      <c r="J322" t="s">
        <v>39</v>
      </c>
      <c r="K322">
        <v>0.1</v>
      </c>
      <c r="L32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322">
        <f>GhanaStream[[#This Row],[Subscription Fee]]-(GhanaStream[[#This Row],[Discount]]*GhanaStream[[#This Row],[Subscription Fee]])</f>
        <v>4860</v>
      </c>
      <c r="N322" t="str">
        <f>IF(GhanaStream[[#This Row],[Churn Flag]]="Yes","Churned","Retained")</f>
        <v>Retained</v>
      </c>
    </row>
    <row r="323" spans="1:14" x14ac:dyDescent="0.25">
      <c r="A323" t="s">
        <v>361</v>
      </c>
      <c r="B323" s="1">
        <v>44966</v>
      </c>
      <c r="C323" t="s">
        <v>20</v>
      </c>
      <c r="D323" t="s">
        <v>27</v>
      </c>
      <c r="E323">
        <v>5400</v>
      </c>
      <c r="F323" t="s">
        <v>21</v>
      </c>
      <c r="G323" t="s">
        <v>28</v>
      </c>
      <c r="H323" t="s">
        <v>16</v>
      </c>
      <c r="I323" t="s">
        <v>17</v>
      </c>
      <c r="J323" t="s">
        <v>29</v>
      </c>
      <c r="K323">
        <v>0.1</v>
      </c>
      <c r="L32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323">
        <f>GhanaStream[[#This Row],[Subscription Fee]]-(GhanaStream[[#This Row],[Discount]]*GhanaStream[[#This Row],[Subscription Fee]])</f>
        <v>4860</v>
      </c>
      <c r="N323" t="str">
        <f>IF(GhanaStream[[#This Row],[Churn Flag]]="Yes","Churned","Retained")</f>
        <v>Churned</v>
      </c>
    </row>
    <row r="324" spans="1:14" x14ac:dyDescent="0.25">
      <c r="A324" t="s">
        <v>362</v>
      </c>
      <c r="B324" s="1">
        <v>45595</v>
      </c>
      <c r="C324" t="s">
        <v>12</v>
      </c>
      <c r="D324" t="s">
        <v>27</v>
      </c>
      <c r="E324">
        <v>16200</v>
      </c>
      <c r="F324" t="s">
        <v>21</v>
      </c>
      <c r="G324" t="s">
        <v>28</v>
      </c>
      <c r="H324" t="s">
        <v>16</v>
      </c>
      <c r="I324" t="s">
        <v>17</v>
      </c>
      <c r="J324" t="s">
        <v>22</v>
      </c>
      <c r="K324">
        <v>0.1</v>
      </c>
      <c r="L32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324">
        <f>GhanaStream[[#This Row],[Subscription Fee]]-(GhanaStream[[#This Row],[Discount]]*GhanaStream[[#This Row],[Subscription Fee]])</f>
        <v>14580</v>
      </c>
      <c r="N324" t="str">
        <f>IF(GhanaStream[[#This Row],[Churn Flag]]="Yes","Churned","Retained")</f>
        <v>Churned</v>
      </c>
    </row>
    <row r="325" spans="1:14" x14ac:dyDescent="0.25">
      <c r="A325" t="s">
        <v>363</v>
      </c>
      <c r="B325" s="1">
        <v>45541</v>
      </c>
      <c r="C325" t="s">
        <v>20</v>
      </c>
      <c r="D325" t="s">
        <v>13</v>
      </c>
      <c r="E325">
        <v>500</v>
      </c>
      <c r="F325" t="s">
        <v>21</v>
      </c>
      <c r="G325" t="s">
        <v>24</v>
      </c>
      <c r="H325" t="s">
        <v>33</v>
      </c>
      <c r="I325" t="s">
        <v>34</v>
      </c>
      <c r="J325" t="s">
        <v>29</v>
      </c>
      <c r="K325">
        <v>0</v>
      </c>
      <c r="L32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325">
        <f>GhanaStream[[#This Row],[Subscription Fee]]-(GhanaStream[[#This Row],[Discount]]*GhanaStream[[#This Row],[Subscription Fee]])</f>
        <v>500</v>
      </c>
      <c r="N325" t="str">
        <f>IF(GhanaStream[[#This Row],[Churn Flag]]="Yes","Churned","Retained")</f>
        <v>Retained</v>
      </c>
    </row>
    <row r="326" spans="1:14" x14ac:dyDescent="0.25">
      <c r="A326" t="s">
        <v>364</v>
      </c>
      <c r="B326" s="1">
        <v>45544</v>
      </c>
      <c r="C326" t="s">
        <v>12</v>
      </c>
      <c r="D326" t="s">
        <v>27</v>
      </c>
      <c r="E326">
        <v>16200</v>
      </c>
      <c r="F326" t="s">
        <v>32</v>
      </c>
      <c r="G326" t="s">
        <v>15</v>
      </c>
      <c r="H326" t="s">
        <v>16</v>
      </c>
      <c r="I326" t="s">
        <v>17</v>
      </c>
      <c r="J326" t="s">
        <v>25</v>
      </c>
      <c r="K326">
        <v>0.1</v>
      </c>
      <c r="L32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326">
        <f>GhanaStream[[#This Row],[Subscription Fee]]-(GhanaStream[[#This Row],[Discount]]*GhanaStream[[#This Row],[Subscription Fee]])</f>
        <v>14580</v>
      </c>
      <c r="N326" t="str">
        <f>IF(GhanaStream[[#This Row],[Churn Flag]]="Yes","Churned","Retained")</f>
        <v>Churned</v>
      </c>
    </row>
    <row r="327" spans="1:14" x14ac:dyDescent="0.25">
      <c r="A327" t="s">
        <v>365</v>
      </c>
      <c r="B327" s="1">
        <v>45000</v>
      </c>
      <c r="C327" t="s">
        <v>31</v>
      </c>
      <c r="D327" t="s">
        <v>13</v>
      </c>
      <c r="E327">
        <v>1000</v>
      </c>
      <c r="F327" t="s">
        <v>14</v>
      </c>
      <c r="G327" t="s">
        <v>24</v>
      </c>
      <c r="H327" t="s">
        <v>16</v>
      </c>
      <c r="I327" t="s">
        <v>17</v>
      </c>
      <c r="J327" t="s">
        <v>37</v>
      </c>
      <c r="K327">
        <v>0</v>
      </c>
      <c r="L32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327">
        <f>GhanaStream[[#This Row],[Subscription Fee]]-(GhanaStream[[#This Row],[Discount]]*GhanaStream[[#This Row],[Subscription Fee]])</f>
        <v>1000</v>
      </c>
      <c r="N327" t="str">
        <f>IF(GhanaStream[[#This Row],[Churn Flag]]="Yes","Churned","Retained")</f>
        <v>Churned</v>
      </c>
    </row>
    <row r="328" spans="1:14" x14ac:dyDescent="0.25">
      <c r="A328" t="s">
        <v>366</v>
      </c>
      <c r="B328" s="1">
        <v>45096</v>
      </c>
      <c r="C328" t="s">
        <v>12</v>
      </c>
      <c r="D328" t="s">
        <v>13</v>
      </c>
      <c r="E328">
        <v>1500</v>
      </c>
      <c r="F328" t="s">
        <v>14</v>
      </c>
      <c r="G328" t="s">
        <v>28</v>
      </c>
      <c r="H328" t="s">
        <v>33</v>
      </c>
      <c r="I328" t="s">
        <v>34</v>
      </c>
      <c r="J328" t="s">
        <v>55</v>
      </c>
      <c r="K328">
        <v>0</v>
      </c>
      <c r="L32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328">
        <f>GhanaStream[[#This Row],[Subscription Fee]]-(GhanaStream[[#This Row],[Discount]]*GhanaStream[[#This Row],[Subscription Fee]])</f>
        <v>1500</v>
      </c>
      <c r="N328" t="str">
        <f>IF(GhanaStream[[#This Row],[Churn Flag]]="Yes","Churned","Retained")</f>
        <v>Retained</v>
      </c>
    </row>
    <row r="329" spans="1:14" x14ac:dyDescent="0.25">
      <c r="A329" t="s">
        <v>367</v>
      </c>
      <c r="B329" s="1">
        <v>45410</v>
      </c>
      <c r="C329" t="s">
        <v>20</v>
      </c>
      <c r="D329" t="s">
        <v>27</v>
      </c>
      <c r="E329">
        <v>5400</v>
      </c>
      <c r="F329" t="s">
        <v>49</v>
      </c>
      <c r="G329" t="s">
        <v>24</v>
      </c>
      <c r="H329" t="s">
        <v>16</v>
      </c>
      <c r="I329" t="s">
        <v>17</v>
      </c>
      <c r="J329" t="s">
        <v>18</v>
      </c>
      <c r="K329">
        <v>0.1</v>
      </c>
      <c r="L32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329">
        <f>GhanaStream[[#This Row],[Subscription Fee]]-(GhanaStream[[#This Row],[Discount]]*GhanaStream[[#This Row],[Subscription Fee]])</f>
        <v>4860</v>
      </c>
      <c r="N329" t="str">
        <f>IF(GhanaStream[[#This Row],[Churn Flag]]="Yes","Churned","Retained")</f>
        <v>Churned</v>
      </c>
    </row>
    <row r="330" spans="1:14" x14ac:dyDescent="0.25">
      <c r="A330" t="s">
        <v>368</v>
      </c>
      <c r="B330" s="1">
        <v>45160</v>
      </c>
      <c r="C330" t="s">
        <v>31</v>
      </c>
      <c r="D330" t="s">
        <v>13</v>
      </c>
      <c r="E330">
        <v>1000</v>
      </c>
      <c r="F330" t="s">
        <v>32</v>
      </c>
      <c r="G330" t="s">
        <v>24</v>
      </c>
      <c r="H330" t="s">
        <v>33</v>
      </c>
      <c r="I330" t="s">
        <v>34</v>
      </c>
      <c r="J330" t="s">
        <v>25</v>
      </c>
      <c r="K330">
        <v>0</v>
      </c>
      <c r="L33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330">
        <f>GhanaStream[[#This Row],[Subscription Fee]]-(GhanaStream[[#This Row],[Discount]]*GhanaStream[[#This Row],[Subscription Fee]])</f>
        <v>1000</v>
      </c>
      <c r="N330" t="str">
        <f>IF(GhanaStream[[#This Row],[Churn Flag]]="Yes","Churned","Retained")</f>
        <v>Retained</v>
      </c>
    </row>
    <row r="331" spans="1:14" x14ac:dyDescent="0.25">
      <c r="A331" t="s">
        <v>369</v>
      </c>
      <c r="B331" s="1">
        <v>45612</v>
      </c>
      <c r="C331" t="s">
        <v>12</v>
      </c>
      <c r="D331" t="s">
        <v>27</v>
      </c>
      <c r="E331">
        <v>16200</v>
      </c>
      <c r="F331" t="s">
        <v>49</v>
      </c>
      <c r="G331" t="s">
        <v>28</v>
      </c>
      <c r="H331" t="s">
        <v>33</v>
      </c>
      <c r="I331" t="s">
        <v>34</v>
      </c>
      <c r="J331" t="s">
        <v>58</v>
      </c>
      <c r="K331">
        <v>0.1</v>
      </c>
      <c r="L33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331">
        <f>GhanaStream[[#This Row],[Subscription Fee]]-(GhanaStream[[#This Row],[Discount]]*GhanaStream[[#This Row],[Subscription Fee]])</f>
        <v>14580</v>
      </c>
      <c r="N331" t="str">
        <f>IF(GhanaStream[[#This Row],[Churn Flag]]="Yes","Churned","Retained")</f>
        <v>Retained</v>
      </c>
    </row>
    <row r="332" spans="1:14" x14ac:dyDescent="0.25">
      <c r="A332" t="s">
        <v>370</v>
      </c>
      <c r="B332" s="1">
        <v>45187</v>
      </c>
      <c r="C332" t="s">
        <v>12</v>
      </c>
      <c r="D332" t="s">
        <v>27</v>
      </c>
      <c r="E332">
        <v>16200</v>
      </c>
      <c r="F332" t="s">
        <v>49</v>
      </c>
      <c r="G332" t="s">
        <v>15</v>
      </c>
      <c r="H332" t="s">
        <v>16</v>
      </c>
      <c r="I332" t="s">
        <v>17</v>
      </c>
      <c r="J332" t="s">
        <v>58</v>
      </c>
      <c r="K332">
        <v>0.1</v>
      </c>
      <c r="L33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332">
        <f>GhanaStream[[#This Row],[Subscription Fee]]-(GhanaStream[[#This Row],[Discount]]*GhanaStream[[#This Row],[Subscription Fee]])</f>
        <v>14580</v>
      </c>
      <c r="N332" t="str">
        <f>IF(GhanaStream[[#This Row],[Churn Flag]]="Yes","Churned","Retained")</f>
        <v>Churned</v>
      </c>
    </row>
    <row r="333" spans="1:14" x14ac:dyDescent="0.25">
      <c r="A333" t="s">
        <v>371</v>
      </c>
      <c r="B333" s="1">
        <v>44996</v>
      </c>
      <c r="C333" t="s">
        <v>20</v>
      </c>
      <c r="D333" t="s">
        <v>13</v>
      </c>
      <c r="E333">
        <v>500</v>
      </c>
      <c r="F333" t="s">
        <v>21</v>
      </c>
      <c r="G333" t="s">
        <v>24</v>
      </c>
      <c r="H333" t="s">
        <v>33</v>
      </c>
      <c r="I333" t="s">
        <v>34</v>
      </c>
      <c r="J333" t="s">
        <v>18</v>
      </c>
      <c r="K333">
        <v>0</v>
      </c>
      <c r="L33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333">
        <f>GhanaStream[[#This Row],[Subscription Fee]]-(GhanaStream[[#This Row],[Discount]]*GhanaStream[[#This Row],[Subscription Fee]])</f>
        <v>500</v>
      </c>
      <c r="N333" t="str">
        <f>IF(GhanaStream[[#This Row],[Churn Flag]]="Yes","Churned","Retained")</f>
        <v>Retained</v>
      </c>
    </row>
    <row r="334" spans="1:14" x14ac:dyDescent="0.25">
      <c r="A334" t="s">
        <v>372</v>
      </c>
      <c r="B334" s="1">
        <v>44953</v>
      </c>
      <c r="C334" t="s">
        <v>12</v>
      </c>
      <c r="D334" t="s">
        <v>27</v>
      </c>
      <c r="E334">
        <v>16200</v>
      </c>
      <c r="F334" t="s">
        <v>32</v>
      </c>
      <c r="G334" t="s">
        <v>15</v>
      </c>
      <c r="H334" t="s">
        <v>16</v>
      </c>
      <c r="I334" t="s">
        <v>17</v>
      </c>
      <c r="J334" t="s">
        <v>39</v>
      </c>
      <c r="K334">
        <v>0.1</v>
      </c>
      <c r="L33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334">
        <f>GhanaStream[[#This Row],[Subscription Fee]]-(GhanaStream[[#This Row],[Discount]]*GhanaStream[[#This Row],[Subscription Fee]])</f>
        <v>14580</v>
      </c>
      <c r="N334" t="str">
        <f>IF(GhanaStream[[#This Row],[Churn Flag]]="Yes","Churned","Retained")</f>
        <v>Churned</v>
      </c>
    </row>
    <row r="335" spans="1:14" x14ac:dyDescent="0.25">
      <c r="A335" t="s">
        <v>373</v>
      </c>
      <c r="B335" s="1">
        <v>45425</v>
      </c>
      <c r="C335" t="s">
        <v>31</v>
      </c>
      <c r="D335" t="s">
        <v>27</v>
      </c>
      <c r="E335">
        <v>10800</v>
      </c>
      <c r="F335" t="s">
        <v>32</v>
      </c>
      <c r="G335" t="s">
        <v>24</v>
      </c>
      <c r="H335" t="s">
        <v>16</v>
      </c>
      <c r="I335" t="s">
        <v>17</v>
      </c>
      <c r="J335" t="s">
        <v>44</v>
      </c>
      <c r="K335">
        <v>0.1</v>
      </c>
      <c r="L33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335">
        <f>GhanaStream[[#This Row],[Subscription Fee]]-(GhanaStream[[#This Row],[Discount]]*GhanaStream[[#This Row],[Subscription Fee]])</f>
        <v>9720</v>
      </c>
      <c r="N335" t="str">
        <f>IF(GhanaStream[[#This Row],[Churn Flag]]="Yes","Churned","Retained")</f>
        <v>Churned</v>
      </c>
    </row>
    <row r="336" spans="1:14" x14ac:dyDescent="0.25">
      <c r="A336" t="s">
        <v>374</v>
      </c>
      <c r="B336" s="1">
        <v>45391</v>
      </c>
      <c r="C336" t="s">
        <v>20</v>
      </c>
      <c r="D336" t="s">
        <v>27</v>
      </c>
      <c r="E336">
        <v>5400</v>
      </c>
      <c r="F336" t="s">
        <v>32</v>
      </c>
      <c r="G336" t="s">
        <v>28</v>
      </c>
      <c r="H336" t="s">
        <v>16</v>
      </c>
      <c r="I336" t="s">
        <v>17</v>
      </c>
      <c r="J336" t="s">
        <v>66</v>
      </c>
      <c r="K336">
        <v>0.1</v>
      </c>
      <c r="L33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336">
        <f>GhanaStream[[#This Row],[Subscription Fee]]-(GhanaStream[[#This Row],[Discount]]*GhanaStream[[#This Row],[Subscription Fee]])</f>
        <v>4860</v>
      </c>
      <c r="N336" t="str">
        <f>IF(GhanaStream[[#This Row],[Churn Flag]]="Yes","Churned","Retained")</f>
        <v>Churned</v>
      </c>
    </row>
    <row r="337" spans="1:14" x14ac:dyDescent="0.25">
      <c r="A337" t="s">
        <v>375</v>
      </c>
      <c r="B337" s="1">
        <v>45493</v>
      </c>
      <c r="C337" t="s">
        <v>12</v>
      </c>
      <c r="D337" t="s">
        <v>27</v>
      </c>
      <c r="E337">
        <v>16200</v>
      </c>
      <c r="F337" t="s">
        <v>14</v>
      </c>
      <c r="G337" t="s">
        <v>28</v>
      </c>
      <c r="H337" t="s">
        <v>16</v>
      </c>
      <c r="I337" t="s">
        <v>17</v>
      </c>
      <c r="J337" t="s">
        <v>22</v>
      </c>
      <c r="K337">
        <v>0.1</v>
      </c>
      <c r="L33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337">
        <f>GhanaStream[[#This Row],[Subscription Fee]]-(GhanaStream[[#This Row],[Discount]]*GhanaStream[[#This Row],[Subscription Fee]])</f>
        <v>14580</v>
      </c>
      <c r="N337" t="str">
        <f>IF(GhanaStream[[#This Row],[Churn Flag]]="Yes","Churned","Retained")</f>
        <v>Churned</v>
      </c>
    </row>
    <row r="338" spans="1:14" x14ac:dyDescent="0.25">
      <c r="A338" t="s">
        <v>376</v>
      </c>
      <c r="B338" s="1">
        <v>45122</v>
      </c>
      <c r="C338" t="s">
        <v>20</v>
      </c>
      <c r="D338" t="s">
        <v>27</v>
      </c>
      <c r="E338">
        <v>5400</v>
      </c>
      <c r="F338" t="s">
        <v>14</v>
      </c>
      <c r="G338" t="s">
        <v>28</v>
      </c>
      <c r="H338" t="s">
        <v>16</v>
      </c>
      <c r="I338" t="s">
        <v>17</v>
      </c>
      <c r="J338" t="s">
        <v>55</v>
      </c>
      <c r="K338">
        <v>0.1</v>
      </c>
      <c r="L33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338">
        <f>GhanaStream[[#This Row],[Subscription Fee]]-(GhanaStream[[#This Row],[Discount]]*GhanaStream[[#This Row],[Subscription Fee]])</f>
        <v>4860</v>
      </c>
      <c r="N338" t="str">
        <f>IF(GhanaStream[[#This Row],[Churn Flag]]="Yes","Churned","Retained")</f>
        <v>Churned</v>
      </c>
    </row>
    <row r="339" spans="1:14" x14ac:dyDescent="0.25">
      <c r="A339" t="s">
        <v>377</v>
      </c>
      <c r="B339" s="1">
        <v>45238</v>
      </c>
      <c r="C339" t="s">
        <v>31</v>
      </c>
      <c r="D339" t="s">
        <v>13</v>
      </c>
      <c r="E339">
        <v>1000</v>
      </c>
      <c r="F339" t="s">
        <v>49</v>
      </c>
      <c r="G339" t="s">
        <v>15</v>
      </c>
      <c r="H339" t="s">
        <v>16</v>
      </c>
      <c r="I339" t="s">
        <v>17</v>
      </c>
      <c r="J339" t="s">
        <v>22</v>
      </c>
      <c r="K339">
        <v>0</v>
      </c>
      <c r="L33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339">
        <f>GhanaStream[[#This Row],[Subscription Fee]]-(GhanaStream[[#This Row],[Discount]]*GhanaStream[[#This Row],[Subscription Fee]])</f>
        <v>1000</v>
      </c>
      <c r="N339" t="str">
        <f>IF(GhanaStream[[#This Row],[Churn Flag]]="Yes","Churned","Retained")</f>
        <v>Churned</v>
      </c>
    </row>
    <row r="340" spans="1:14" x14ac:dyDescent="0.25">
      <c r="A340" t="s">
        <v>378</v>
      </c>
      <c r="B340" s="1">
        <v>45137</v>
      </c>
      <c r="C340" t="s">
        <v>12</v>
      </c>
      <c r="D340" t="s">
        <v>13</v>
      </c>
      <c r="E340">
        <v>1500</v>
      </c>
      <c r="F340" t="s">
        <v>49</v>
      </c>
      <c r="G340" t="s">
        <v>28</v>
      </c>
      <c r="H340" t="s">
        <v>33</v>
      </c>
      <c r="I340" t="s">
        <v>34</v>
      </c>
      <c r="J340" t="s">
        <v>25</v>
      </c>
      <c r="K340">
        <v>0</v>
      </c>
      <c r="L34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340">
        <f>GhanaStream[[#This Row],[Subscription Fee]]-(GhanaStream[[#This Row],[Discount]]*GhanaStream[[#This Row],[Subscription Fee]])</f>
        <v>1500</v>
      </c>
      <c r="N340" t="str">
        <f>IF(GhanaStream[[#This Row],[Churn Flag]]="Yes","Churned","Retained")</f>
        <v>Retained</v>
      </c>
    </row>
    <row r="341" spans="1:14" x14ac:dyDescent="0.25">
      <c r="A341" t="s">
        <v>379</v>
      </c>
      <c r="B341" s="1">
        <v>45189</v>
      </c>
      <c r="C341" t="s">
        <v>20</v>
      </c>
      <c r="D341" t="s">
        <v>13</v>
      </c>
      <c r="E341">
        <v>500</v>
      </c>
      <c r="F341" t="s">
        <v>21</v>
      </c>
      <c r="G341" t="s">
        <v>24</v>
      </c>
      <c r="H341" t="s">
        <v>33</v>
      </c>
      <c r="I341" t="s">
        <v>34</v>
      </c>
      <c r="J341" t="s">
        <v>29</v>
      </c>
      <c r="K341">
        <v>0</v>
      </c>
      <c r="L34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341">
        <f>GhanaStream[[#This Row],[Subscription Fee]]-(GhanaStream[[#This Row],[Discount]]*GhanaStream[[#This Row],[Subscription Fee]])</f>
        <v>500</v>
      </c>
      <c r="N341" t="str">
        <f>IF(GhanaStream[[#This Row],[Churn Flag]]="Yes","Churned","Retained")</f>
        <v>Retained</v>
      </c>
    </row>
    <row r="342" spans="1:14" x14ac:dyDescent="0.25">
      <c r="A342" t="s">
        <v>380</v>
      </c>
      <c r="B342" s="1">
        <v>45631</v>
      </c>
      <c r="C342" t="s">
        <v>20</v>
      </c>
      <c r="D342" t="s">
        <v>27</v>
      </c>
      <c r="E342">
        <v>5400</v>
      </c>
      <c r="F342" t="s">
        <v>32</v>
      </c>
      <c r="G342" t="s">
        <v>24</v>
      </c>
      <c r="H342" t="s">
        <v>33</v>
      </c>
      <c r="I342" t="s">
        <v>34</v>
      </c>
      <c r="J342" t="s">
        <v>25</v>
      </c>
      <c r="K342">
        <v>0.1</v>
      </c>
      <c r="L34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342">
        <f>GhanaStream[[#This Row],[Subscription Fee]]-(GhanaStream[[#This Row],[Discount]]*GhanaStream[[#This Row],[Subscription Fee]])</f>
        <v>4860</v>
      </c>
      <c r="N342" t="str">
        <f>IF(GhanaStream[[#This Row],[Churn Flag]]="Yes","Churned","Retained")</f>
        <v>Retained</v>
      </c>
    </row>
    <row r="343" spans="1:14" x14ac:dyDescent="0.25">
      <c r="A343" t="s">
        <v>381</v>
      </c>
      <c r="B343" s="1">
        <v>45536</v>
      </c>
      <c r="C343" t="s">
        <v>12</v>
      </c>
      <c r="D343" t="s">
        <v>13</v>
      </c>
      <c r="E343">
        <v>1500</v>
      </c>
      <c r="F343" t="s">
        <v>49</v>
      </c>
      <c r="G343" t="s">
        <v>15</v>
      </c>
      <c r="H343" t="s">
        <v>16</v>
      </c>
      <c r="I343" t="s">
        <v>17</v>
      </c>
      <c r="J343" t="s">
        <v>22</v>
      </c>
      <c r="K343">
        <v>0</v>
      </c>
      <c r="L34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343">
        <f>GhanaStream[[#This Row],[Subscription Fee]]-(GhanaStream[[#This Row],[Discount]]*GhanaStream[[#This Row],[Subscription Fee]])</f>
        <v>1500</v>
      </c>
      <c r="N343" t="str">
        <f>IF(GhanaStream[[#This Row],[Churn Flag]]="Yes","Churned","Retained")</f>
        <v>Churned</v>
      </c>
    </row>
    <row r="344" spans="1:14" x14ac:dyDescent="0.25">
      <c r="A344" t="s">
        <v>382</v>
      </c>
      <c r="B344" s="1">
        <v>45367</v>
      </c>
      <c r="C344" t="s">
        <v>20</v>
      </c>
      <c r="D344" t="s">
        <v>13</v>
      </c>
      <c r="E344">
        <v>500</v>
      </c>
      <c r="F344" t="s">
        <v>32</v>
      </c>
      <c r="G344" t="s">
        <v>28</v>
      </c>
      <c r="H344" t="s">
        <v>16</v>
      </c>
      <c r="I344" t="s">
        <v>17</v>
      </c>
      <c r="J344" t="s">
        <v>39</v>
      </c>
      <c r="K344">
        <v>0</v>
      </c>
      <c r="L34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344">
        <f>GhanaStream[[#This Row],[Subscription Fee]]-(GhanaStream[[#This Row],[Discount]]*GhanaStream[[#This Row],[Subscription Fee]])</f>
        <v>500</v>
      </c>
      <c r="N344" t="str">
        <f>IF(GhanaStream[[#This Row],[Churn Flag]]="Yes","Churned","Retained")</f>
        <v>Churned</v>
      </c>
    </row>
    <row r="345" spans="1:14" x14ac:dyDescent="0.25">
      <c r="A345" t="s">
        <v>383</v>
      </c>
      <c r="B345" s="1">
        <v>45235</v>
      </c>
      <c r="C345" t="s">
        <v>31</v>
      </c>
      <c r="D345" t="s">
        <v>27</v>
      </c>
      <c r="E345">
        <v>10800</v>
      </c>
      <c r="F345" t="s">
        <v>14</v>
      </c>
      <c r="G345" t="s">
        <v>28</v>
      </c>
      <c r="H345" t="s">
        <v>16</v>
      </c>
      <c r="I345" t="s">
        <v>17</v>
      </c>
      <c r="J345" t="s">
        <v>37</v>
      </c>
      <c r="K345">
        <v>0.1</v>
      </c>
      <c r="L34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345">
        <f>GhanaStream[[#This Row],[Subscription Fee]]-(GhanaStream[[#This Row],[Discount]]*GhanaStream[[#This Row],[Subscription Fee]])</f>
        <v>9720</v>
      </c>
      <c r="N345" t="str">
        <f>IF(GhanaStream[[#This Row],[Churn Flag]]="Yes","Churned","Retained")</f>
        <v>Churned</v>
      </c>
    </row>
    <row r="346" spans="1:14" x14ac:dyDescent="0.25">
      <c r="A346" t="s">
        <v>384</v>
      </c>
      <c r="B346" s="1">
        <v>45414</v>
      </c>
      <c r="C346" t="s">
        <v>31</v>
      </c>
      <c r="D346" t="s">
        <v>13</v>
      </c>
      <c r="E346">
        <v>1000</v>
      </c>
      <c r="F346" t="s">
        <v>49</v>
      </c>
      <c r="G346" t="s">
        <v>24</v>
      </c>
      <c r="H346" t="s">
        <v>16</v>
      </c>
      <c r="I346" t="s">
        <v>17</v>
      </c>
      <c r="J346" t="s">
        <v>50</v>
      </c>
      <c r="K346">
        <v>0</v>
      </c>
      <c r="L34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346">
        <f>GhanaStream[[#This Row],[Subscription Fee]]-(GhanaStream[[#This Row],[Discount]]*GhanaStream[[#This Row],[Subscription Fee]])</f>
        <v>1000</v>
      </c>
      <c r="N346" t="str">
        <f>IF(GhanaStream[[#This Row],[Churn Flag]]="Yes","Churned","Retained")</f>
        <v>Churned</v>
      </c>
    </row>
    <row r="347" spans="1:14" x14ac:dyDescent="0.25">
      <c r="A347" t="s">
        <v>385</v>
      </c>
      <c r="B347" s="1">
        <v>45285</v>
      </c>
      <c r="C347" t="s">
        <v>20</v>
      </c>
      <c r="D347" t="s">
        <v>27</v>
      </c>
      <c r="E347">
        <v>5400</v>
      </c>
      <c r="F347" t="s">
        <v>32</v>
      </c>
      <c r="G347" t="s">
        <v>28</v>
      </c>
      <c r="H347" t="s">
        <v>33</v>
      </c>
      <c r="I347" t="s">
        <v>34</v>
      </c>
      <c r="J347" t="s">
        <v>25</v>
      </c>
      <c r="K347">
        <v>0.1</v>
      </c>
      <c r="L34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347">
        <f>GhanaStream[[#This Row],[Subscription Fee]]-(GhanaStream[[#This Row],[Discount]]*GhanaStream[[#This Row],[Subscription Fee]])</f>
        <v>4860</v>
      </c>
      <c r="N347" t="str">
        <f>IF(GhanaStream[[#This Row],[Churn Flag]]="Yes","Churned","Retained")</f>
        <v>Retained</v>
      </c>
    </row>
    <row r="348" spans="1:14" x14ac:dyDescent="0.25">
      <c r="A348" t="s">
        <v>386</v>
      </c>
      <c r="B348" s="1">
        <v>44937</v>
      </c>
      <c r="C348" t="s">
        <v>12</v>
      </c>
      <c r="D348" t="s">
        <v>13</v>
      </c>
      <c r="E348">
        <v>1500</v>
      </c>
      <c r="F348" t="s">
        <v>32</v>
      </c>
      <c r="G348" t="s">
        <v>28</v>
      </c>
      <c r="H348" t="s">
        <v>33</v>
      </c>
      <c r="I348" t="s">
        <v>34</v>
      </c>
      <c r="J348" t="s">
        <v>25</v>
      </c>
      <c r="K348">
        <v>0</v>
      </c>
      <c r="L34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348">
        <f>GhanaStream[[#This Row],[Subscription Fee]]-(GhanaStream[[#This Row],[Discount]]*GhanaStream[[#This Row],[Subscription Fee]])</f>
        <v>1500</v>
      </c>
      <c r="N348" t="str">
        <f>IF(GhanaStream[[#This Row],[Churn Flag]]="Yes","Churned","Retained")</f>
        <v>Retained</v>
      </c>
    </row>
    <row r="349" spans="1:14" x14ac:dyDescent="0.25">
      <c r="A349" t="s">
        <v>387</v>
      </c>
      <c r="B349" s="1">
        <v>45002</v>
      </c>
      <c r="C349" t="s">
        <v>20</v>
      </c>
      <c r="D349" t="s">
        <v>27</v>
      </c>
      <c r="E349">
        <v>5400</v>
      </c>
      <c r="F349" t="s">
        <v>49</v>
      </c>
      <c r="G349" t="s">
        <v>28</v>
      </c>
      <c r="H349" t="s">
        <v>16</v>
      </c>
      <c r="I349" t="s">
        <v>17</v>
      </c>
      <c r="J349" t="s">
        <v>50</v>
      </c>
      <c r="K349">
        <v>0.1</v>
      </c>
      <c r="L34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349">
        <f>GhanaStream[[#This Row],[Subscription Fee]]-(GhanaStream[[#This Row],[Discount]]*GhanaStream[[#This Row],[Subscription Fee]])</f>
        <v>4860</v>
      </c>
      <c r="N349" t="str">
        <f>IF(GhanaStream[[#This Row],[Churn Flag]]="Yes","Churned","Retained")</f>
        <v>Churned</v>
      </c>
    </row>
    <row r="350" spans="1:14" x14ac:dyDescent="0.25">
      <c r="A350" t="s">
        <v>388</v>
      </c>
      <c r="B350" s="1">
        <v>45446</v>
      </c>
      <c r="C350" t="s">
        <v>31</v>
      </c>
      <c r="D350" t="s">
        <v>13</v>
      </c>
      <c r="E350">
        <v>1000</v>
      </c>
      <c r="F350" t="s">
        <v>32</v>
      </c>
      <c r="G350" t="s">
        <v>28</v>
      </c>
      <c r="H350" t="s">
        <v>16</v>
      </c>
      <c r="I350" t="s">
        <v>17</v>
      </c>
      <c r="J350" t="s">
        <v>25</v>
      </c>
      <c r="K350">
        <v>0</v>
      </c>
      <c r="L35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350">
        <f>GhanaStream[[#This Row],[Subscription Fee]]-(GhanaStream[[#This Row],[Discount]]*GhanaStream[[#This Row],[Subscription Fee]])</f>
        <v>1000</v>
      </c>
      <c r="N350" t="str">
        <f>IF(GhanaStream[[#This Row],[Churn Flag]]="Yes","Churned","Retained")</f>
        <v>Churned</v>
      </c>
    </row>
    <row r="351" spans="1:14" x14ac:dyDescent="0.25">
      <c r="A351" t="s">
        <v>389</v>
      </c>
      <c r="B351" s="1">
        <v>45326</v>
      </c>
      <c r="C351" t="s">
        <v>31</v>
      </c>
      <c r="D351" t="s">
        <v>27</v>
      </c>
      <c r="E351">
        <v>10800</v>
      </c>
      <c r="F351" t="s">
        <v>32</v>
      </c>
      <c r="G351" t="s">
        <v>15</v>
      </c>
      <c r="H351" t="s">
        <v>16</v>
      </c>
      <c r="I351" t="s">
        <v>17</v>
      </c>
      <c r="J351" t="s">
        <v>25</v>
      </c>
      <c r="K351">
        <v>0.1</v>
      </c>
      <c r="L35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351">
        <f>GhanaStream[[#This Row],[Subscription Fee]]-(GhanaStream[[#This Row],[Discount]]*GhanaStream[[#This Row],[Subscription Fee]])</f>
        <v>9720</v>
      </c>
      <c r="N351" t="str">
        <f>IF(GhanaStream[[#This Row],[Churn Flag]]="Yes","Churned","Retained")</f>
        <v>Churned</v>
      </c>
    </row>
    <row r="352" spans="1:14" x14ac:dyDescent="0.25">
      <c r="A352" t="s">
        <v>390</v>
      </c>
      <c r="B352" s="1">
        <v>45245</v>
      </c>
      <c r="C352" t="s">
        <v>20</v>
      </c>
      <c r="D352" t="s">
        <v>13</v>
      </c>
      <c r="E352">
        <v>500</v>
      </c>
      <c r="F352" t="s">
        <v>49</v>
      </c>
      <c r="G352" t="s">
        <v>24</v>
      </c>
      <c r="H352" t="s">
        <v>33</v>
      </c>
      <c r="I352" t="s">
        <v>34</v>
      </c>
      <c r="J352" t="s">
        <v>50</v>
      </c>
      <c r="K352">
        <v>0</v>
      </c>
      <c r="L35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352">
        <f>GhanaStream[[#This Row],[Subscription Fee]]-(GhanaStream[[#This Row],[Discount]]*GhanaStream[[#This Row],[Subscription Fee]])</f>
        <v>500</v>
      </c>
      <c r="N352" t="str">
        <f>IF(GhanaStream[[#This Row],[Churn Flag]]="Yes","Churned","Retained")</f>
        <v>Retained</v>
      </c>
    </row>
    <row r="353" spans="1:14" x14ac:dyDescent="0.25">
      <c r="A353" t="s">
        <v>391</v>
      </c>
      <c r="B353" s="1">
        <v>45155</v>
      </c>
      <c r="C353" t="s">
        <v>20</v>
      </c>
      <c r="D353" t="s">
        <v>27</v>
      </c>
      <c r="E353">
        <v>5400</v>
      </c>
      <c r="F353" t="s">
        <v>32</v>
      </c>
      <c r="G353" t="s">
        <v>24</v>
      </c>
      <c r="H353" t="s">
        <v>33</v>
      </c>
      <c r="I353" t="s">
        <v>34</v>
      </c>
      <c r="J353" t="s">
        <v>25</v>
      </c>
      <c r="K353">
        <v>0.1</v>
      </c>
      <c r="L35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353">
        <f>GhanaStream[[#This Row],[Subscription Fee]]-(GhanaStream[[#This Row],[Discount]]*GhanaStream[[#This Row],[Subscription Fee]])</f>
        <v>4860</v>
      </c>
      <c r="N353" t="str">
        <f>IF(GhanaStream[[#This Row],[Churn Flag]]="Yes","Churned","Retained")</f>
        <v>Retained</v>
      </c>
    </row>
    <row r="354" spans="1:14" x14ac:dyDescent="0.25">
      <c r="A354" t="s">
        <v>392</v>
      </c>
      <c r="B354" s="1">
        <v>45192</v>
      </c>
      <c r="C354" t="s">
        <v>20</v>
      </c>
      <c r="D354" t="s">
        <v>27</v>
      </c>
      <c r="E354">
        <v>5400</v>
      </c>
      <c r="F354" t="s">
        <v>14</v>
      </c>
      <c r="G354" t="s">
        <v>24</v>
      </c>
      <c r="H354" t="s">
        <v>16</v>
      </c>
      <c r="I354" t="s">
        <v>17</v>
      </c>
      <c r="J354" t="s">
        <v>41</v>
      </c>
      <c r="K354">
        <v>0.1</v>
      </c>
      <c r="L35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354">
        <f>GhanaStream[[#This Row],[Subscription Fee]]-(GhanaStream[[#This Row],[Discount]]*GhanaStream[[#This Row],[Subscription Fee]])</f>
        <v>4860</v>
      </c>
      <c r="N354" t="str">
        <f>IF(GhanaStream[[#This Row],[Churn Flag]]="Yes","Churned","Retained")</f>
        <v>Churned</v>
      </c>
    </row>
    <row r="355" spans="1:14" x14ac:dyDescent="0.25">
      <c r="A355" t="s">
        <v>393</v>
      </c>
      <c r="B355" s="1">
        <v>44935</v>
      </c>
      <c r="C355" t="s">
        <v>31</v>
      </c>
      <c r="D355" t="s">
        <v>27</v>
      </c>
      <c r="E355">
        <v>10800</v>
      </c>
      <c r="F355" t="s">
        <v>14</v>
      </c>
      <c r="G355" t="s">
        <v>24</v>
      </c>
      <c r="H355" t="s">
        <v>33</v>
      </c>
      <c r="I355" t="s">
        <v>34</v>
      </c>
      <c r="J355" t="s">
        <v>22</v>
      </c>
      <c r="K355">
        <v>0.1</v>
      </c>
      <c r="L35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355">
        <f>GhanaStream[[#This Row],[Subscription Fee]]-(GhanaStream[[#This Row],[Discount]]*GhanaStream[[#This Row],[Subscription Fee]])</f>
        <v>9720</v>
      </c>
      <c r="N355" t="str">
        <f>IF(GhanaStream[[#This Row],[Churn Flag]]="Yes","Churned","Retained")</f>
        <v>Retained</v>
      </c>
    </row>
    <row r="356" spans="1:14" x14ac:dyDescent="0.25">
      <c r="A356" t="s">
        <v>394</v>
      </c>
      <c r="B356" s="1">
        <v>45476</v>
      </c>
      <c r="C356" t="s">
        <v>31</v>
      </c>
      <c r="D356" t="s">
        <v>13</v>
      </c>
      <c r="E356">
        <v>1000</v>
      </c>
      <c r="F356" t="s">
        <v>49</v>
      </c>
      <c r="G356" t="s">
        <v>24</v>
      </c>
      <c r="H356" t="s">
        <v>16</v>
      </c>
      <c r="I356" t="s">
        <v>17</v>
      </c>
      <c r="J356" t="s">
        <v>50</v>
      </c>
      <c r="K356">
        <v>0</v>
      </c>
      <c r="L35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356">
        <f>GhanaStream[[#This Row],[Subscription Fee]]-(GhanaStream[[#This Row],[Discount]]*GhanaStream[[#This Row],[Subscription Fee]])</f>
        <v>1000</v>
      </c>
      <c r="N356" t="str">
        <f>IF(GhanaStream[[#This Row],[Churn Flag]]="Yes","Churned","Retained")</f>
        <v>Churned</v>
      </c>
    </row>
    <row r="357" spans="1:14" x14ac:dyDescent="0.25">
      <c r="A357" t="s">
        <v>395</v>
      </c>
      <c r="B357" s="1">
        <v>44932</v>
      </c>
      <c r="C357" t="s">
        <v>31</v>
      </c>
      <c r="D357" t="s">
        <v>13</v>
      </c>
      <c r="E357">
        <v>1000</v>
      </c>
      <c r="F357" t="s">
        <v>21</v>
      </c>
      <c r="G357" t="s">
        <v>24</v>
      </c>
      <c r="H357" t="s">
        <v>33</v>
      </c>
      <c r="I357" t="s">
        <v>34</v>
      </c>
      <c r="J357" t="s">
        <v>18</v>
      </c>
      <c r="K357">
        <v>0</v>
      </c>
      <c r="L35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357">
        <f>GhanaStream[[#This Row],[Subscription Fee]]-(GhanaStream[[#This Row],[Discount]]*GhanaStream[[#This Row],[Subscription Fee]])</f>
        <v>1000</v>
      </c>
      <c r="N357" t="str">
        <f>IF(GhanaStream[[#This Row],[Churn Flag]]="Yes","Churned","Retained")</f>
        <v>Retained</v>
      </c>
    </row>
    <row r="358" spans="1:14" x14ac:dyDescent="0.25">
      <c r="A358" t="s">
        <v>396</v>
      </c>
      <c r="B358" s="1">
        <v>45163</v>
      </c>
      <c r="C358" t="s">
        <v>31</v>
      </c>
      <c r="D358" t="s">
        <v>13</v>
      </c>
      <c r="E358">
        <v>1000</v>
      </c>
      <c r="F358" t="s">
        <v>14</v>
      </c>
      <c r="G358" t="s">
        <v>28</v>
      </c>
      <c r="H358" t="s">
        <v>33</v>
      </c>
      <c r="I358" t="s">
        <v>34</v>
      </c>
      <c r="J358" t="s">
        <v>37</v>
      </c>
      <c r="K358">
        <v>0</v>
      </c>
      <c r="L35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358">
        <f>GhanaStream[[#This Row],[Subscription Fee]]-(GhanaStream[[#This Row],[Discount]]*GhanaStream[[#This Row],[Subscription Fee]])</f>
        <v>1000</v>
      </c>
      <c r="N358" t="str">
        <f>IF(GhanaStream[[#This Row],[Churn Flag]]="Yes","Churned","Retained")</f>
        <v>Retained</v>
      </c>
    </row>
    <row r="359" spans="1:14" x14ac:dyDescent="0.25">
      <c r="A359" t="s">
        <v>397</v>
      </c>
      <c r="B359" s="1">
        <v>45532</v>
      </c>
      <c r="C359" t="s">
        <v>31</v>
      </c>
      <c r="D359" t="s">
        <v>27</v>
      </c>
      <c r="E359">
        <v>10800</v>
      </c>
      <c r="F359" t="s">
        <v>21</v>
      </c>
      <c r="G359" t="s">
        <v>15</v>
      </c>
      <c r="H359" t="s">
        <v>16</v>
      </c>
      <c r="I359" t="s">
        <v>17</v>
      </c>
      <c r="J359" t="s">
        <v>29</v>
      </c>
      <c r="K359">
        <v>0.1</v>
      </c>
      <c r="L35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359">
        <f>GhanaStream[[#This Row],[Subscription Fee]]-(GhanaStream[[#This Row],[Discount]]*GhanaStream[[#This Row],[Subscription Fee]])</f>
        <v>9720</v>
      </c>
      <c r="N359" t="str">
        <f>IF(GhanaStream[[#This Row],[Churn Flag]]="Yes","Churned","Retained")</f>
        <v>Churned</v>
      </c>
    </row>
    <row r="360" spans="1:14" x14ac:dyDescent="0.25">
      <c r="A360" t="s">
        <v>398</v>
      </c>
      <c r="B360" s="1">
        <v>45437</v>
      </c>
      <c r="C360" t="s">
        <v>31</v>
      </c>
      <c r="D360" t="s">
        <v>13</v>
      </c>
      <c r="E360">
        <v>1000</v>
      </c>
      <c r="F360" t="s">
        <v>14</v>
      </c>
      <c r="G360" t="s">
        <v>24</v>
      </c>
      <c r="H360" t="s">
        <v>33</v>
      </c>
      <c r="I360" t="s">
        <v>34</v>
      </c>
      <c r="J360" t="s">
        <v>41</v>
      </c>
      <c r="K360">
        <v>0</v>
      </c>
      <c r="L36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360">
        <f>GhanaStream[[#This Row],[Subscription Fee]]-(GhanaStream[[#This Row],[Discount]]*GhanaStream[[#This Row],[Subscription Fee]])</f>
        <v>1000</v>
      </c>
      <c r="N360" t="str">
        <f>IF(GhanaStream[[#This Row],[Churn Flag]]="Yes","Churned","Retained")</f>
        <v>Retained</v>
      </c>
    </row>
    <row r="361" spans="1:14" x14ac:dyDescent="0.25">
      <c r="A361" t="s">
        <v>399</v>
      </c>
      <c r="B361" s="1">
        <v>44975</v>
      </c>
      <c r="C361" t="s">
        <v>31</v>
      </c>
      <c r="D361" t="s">
        <v>27</v>
      </c>
      <c r="E361">
        <v>10800</v>
      </c>
      <c r="F361" t="s">
        <v>32</v>
      </c>
      <c r="G361" t="s">
        <v>15</v>
      </c>
      <c r="H361" t="s">
        <v>16</v>
      </c>
      <c r="I361" t="s">
        <v>17</v>
      </c>
      <c r="J361" t="s">
        <v>35</v>
      </c>
      <c r="K361">
        <v>0.1</v>
      </c>
      <c r="L36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361">
        <f>GhanaStream[[#This Row],[Subscription Fee]]-(GhanaStream[[#This Row],[Discount]]*GhanaStream[[#This Row],[Subscription Fee]])</f>
        <v>9720</v>
      </c>
      <c r="N361" t="str">
        <f>IF(GhanaStream[[#This Row],[Churn Flag]]="Yes","Churned","Retained")</f>
        <v>Churned</v>
      </c>
    </row>
    <row r="362" spans="1:14" x14ac:dyDescent="0.25">
      <c r="A362" t="s">
        <v>400</v>
      </c>
      <c r="B362" s="1">
        <v>45207</v>
      </c>
      <c r="C362" t="s">
        <v>31</v>
      </c>
      <c r="D362" t="s">
        <v>13</v>
      </c>
      <c r="E362">
        <v>1000</v>
      </c>
      <c r="F362" t="s">
        <v>32</v>
      </c>
      <c r="G362" t="s">
        <v>24</v>
      </c>
      <c r="H362" t="s">
        <v>16</v>
      </c>
      <c r="I362" t="s">
        <v>17</v>
      </c>
      <c r="J362" t="s">
        <v>35</v>
      </c>
      <c r="K362">
        <v>0</v>
      </c>
      <c r="L36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362">
        <f>GhanaStream[[#This Row],[Subscription Fee]]-(GhanaStream[[#This Row],[Discount]]*GhanaStream[[#This Row],[Subscription Fee]])</f>
        <v>1000</v>
      </c>
      <c r="N362" t="str">
        <f>IF(GhanaStream[[#This Row],[Churn Flag]]="Yes","Churned","Retained")</f>
        <v>Churned</v>
      </c>
    </row>
    <row r="363" spans="1:14" x14ac:dyDescent="0.25">
      <c r="A363" t="s">
        <v>401</v>
      </c>
      <c r="B363" s="1">
        <v>45213</v>
      </c>
      <c r="C363" t="s">
        <v>12</v>
      </c>
      <c r="D363" t="s">
        <v>27</v>
      </c>
      <c r="E363">
        <v>16200</v>
      </c>
      <c r="F363" t="s">
        <v>14</v>
      </c>
      <c r="G363" t="s">
        <v>15</v>
      </c>
      <c r="H363" t="s">
        <v>16</v>
      </c>
      <c r="I363" t="s">
        <v>17</v>
      </c>
      <c r="J363" t="s">
        <v>37</v>
      </c>
      <c r="K363">
        <v>0.1</v>
      </c>
      <c r="L36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363">
        <f>GhanaStream[[#This Row],[Subscription Fee]]-(GhanaStream[[#This Row],[Discount]]*GhanaStream[[#This Row],[Subscription Fee]])</f>
        <v>14580</v>
      </c>
      <c r="N363" t="str">
        <f>IF(GhanaStream[[#This Row],[Churn Flag]]="Yes","Churned","Retained")</f>
        <v>Churned</v>
      </c>
    </row>
    <row r="364" spans="1:14" x14ac:dyDescent="0.25">
      <c r="A364" t="s">
        <v>402</v>
      </c>
      <c r="B364" s="1">
        <v>45322</v>
      </c>
      <c r="C364" t="s">
        <v>20</v>
      </c>
      <c r="D364" t="s">
        <v>27</v>
      </c>
      <c r="E364">
        <v>5400</v>
      </c>
      <c r="F364" t="s">
        <v>32</v>
      </c>
      <c r="G364" t="s">
        <v>24</v>
      </c>
      <c r="H364" t="s">
        <v>33</v>
      </c>
      <c r="I364" t="s">
        <v>34</v>
      </c>
      <c r="J364" t="s">
        <v>35</v>
      </c>
      <c r="K364">
        <v>0.1</v>
      </c>
      <c r="L36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364">
        <f>GhanaStream[[#This Row],[Subscription Fee]]-(GhanaStream[[#This Row],[Discount]]*GhanaStream[[#This Row],[Subscription Fee]])</f>
        <v>4860</v>
      </c>
      <c r="N364" t="str">
        <f>IF(GhanaStream[[#This Row],[Churn Flag]]="Yes","Churned","Retained")</f>
        <v>Retained</v>
      </c>
    </row>
    <row r="365" spans="1:14" x14ac:dyDescent="0.25">
      <c r="A365" t="s">
        <v>403</v>
      </c>
      <c r="B365" s="1">
        <v>45234</v>
      </c>
      <c r="C365" t="s">
        <v>31</v>
      </c>
      <c r="D365" t="s">
        <v>27</v>
      </c>
      <c r="E365">
        <v>10800</v>
      </c>
      <c r="F365" t="s">
        <v>21</v>
      </c>
      <c r="G365" t="s">
        <v>15</v>
      </c>
      <c r="H365" t="s">
        <v>16</v>
      </c>
      <c r="I365" t="s">
        <v>17</v>
      </c>
      <c r="J365" t="s">
        <v>25</v>
      </c>
      <c r="K365">
        <v>0.1</v>
      </c>
      <c r="L36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365">
        <f>GhanaStream[[#This Row],[Subscription Fee]]-(GhanaStream[[#This Row],[Discount]]*GhanaStream[[#This Row],[Subscription Fee]])</f>
        <v>9720</v>
      </c>
      <c r="N365" t="str">
        <f>IF(GhanaStream[[#This Row],[Churn Flag]]="Yes","Churned","Retained")</f>
        <v>Churned</v>
      </c>
    </row>
    <row r="366" spans="1:14" x14ac:dyDescent="0.25">
      <c r="A366" t="s">
        <v>404</v>
      </c>
      <c r="B366" s="1">
        <v>45452</v>
      </c>
      <c r="C366" t="s">
        <v>12</v>
      </c>
      <c r="D366" t="s">
        <v>27</v>
      </c>
      <c r="E366">
        <v>16200</v>
      </c>
      <c r="F366" t="s">
        <v>14</v>
      </c>
      <c r="G366" t="s">
        <v>24</v>
      </c>
      <c r="H366" t="s">
        <v>16</v>
      </c>
      <c r="I366" t="s">
        <v>17</v>
      </c>
      <c r="J366" t="s">
        <v>18</v>
      </c>
      <c r="K366">
        <v>0.1</v>
      </c>
      <c r="L36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366">
        <f>GhanaStream[[#This Row],[Subscription Fee]]-(GhanaStream[[#This Row],[Discount]]*GhanaStream[[#This Row],[Subscription Fee]])</f>
        <v>14580</v>
      </c>
      <c r="N366" t="str">
        <f>IF(GhanaStream[[#This Row],[Churn Flag]]="Yes","Churned","Retained")</f>
        <v>Churned</v>
      </c>
    </row>
    <row r="367" spans="1:14" x14ac:dyDescent="0.25">
      <c r="A367" t="s">
        <v>405</v>
      </c>
      <c r="B367" s="1">
        <v>45355</v>
      </c>
      <c r="C367" t="s">
        <v>20</v>
      </c>
      <c r="D367" t="s">
        <v>13</v>
      </c>
      <c r="E367">
        <v>500</v>
      </c>
      <c r="F367" t="s">
        <v>14</v>
      </c>
      <c r="G367" t="s">
        <v>24</v>
      </c>
      <c r="H367" t="s">
        <v>33</v>
      </c>
      <c r="I367" t="s">
        <v>34</v>
      </c>
      <c r="J367" t="s">
        <v>18</v>
      </c>
      <c r="K367">
        <v>0</v>
      </c>
      <c r="L36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367">
        <f>GhanaStream[[#This Row],[Subscription Fee]]-(GhanaStream[[#This Row],[Discount]]*GhanaStream[[#This Row],[Subscription Fee]])</f>
        <v>500</v>
      </c>
      <c r="N367" t="str">
        <f>IF(GhanaStream[[#This Row],[Churn Flag]]="Yes","Churned","Retained")</f>
        <v>Retained</v>
      </c>
    </row>
    <row r="368" spans="1:14" x14ac:dyDescent="0.25">
      <c r="A368" t="s">
        <v>406</v>
      </c>
      <c r="B368" s="1">
        <v>45473</v>
      </c>
      <c r="C368" t="s">
        <v>31</v>
      </c>
      <c r="D368" t="s">
        <v>27</v>
      </c>
      <c r="E368">
        <v>10800</v>
      </c>
      <c r="F368" t="s">
        <v>21</v>
      </c>
      <c r="G368" t="s">
        <v>24</v>
      </c>
      <c r="H368" t="s">
        <v>33</v>
      </c>
      <c r="I368" t="s">
        <v>34</v>
      </c>
      <c r="J368" t="s">
        <v>25</v>
      </c>
      <c r="K368">
        <v>0.1</v>
      </c>
      <c r="L36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368">
        <f>GhanaStream[[#This Row],[Subscription Fee]]-(GhanaStream[[#This Row],[Discount]]*GhanaStream[[#This Row],[Subscription Fee]])</f>
        <v>9720</v>
      </c>
      <c r="N368" t="str">
        <f>IF(GhanaStream[[#This Row],[Churn Flag]]="Yes","Churned","Retained")</f>
        <v>Retained</v>
      </c>
    </row>
    <row r="369" spans="1:14" x14ac:dyDescent="0.25">
      <c r="A369" t="s">
        <v>407</v>
      </c>
      <c r="B369" s="1">
        <v>45609</v>
      </c>
      <c r="C369" t="s">
        <v>31</v>
      </c>
      <c r="D369" t="s">
        <v>27</v>
      </c>
      <c r="E369">
        <v>10800</v>
      </c>
      <c r="F369" t="s">
        <v>14</v>
      </c>
      <c r="G369" t="s">
        <v>24</v>
      </c>
      <c r="H369" t="s">
        <v>33</v>
      </c>
      <c r="I369" t="s">
        <v>34</v>
      </c>
      <c r="J369" t="s">
        <v>55</v>
      </c>
      <c r="K369">
        <v>0.1</v>
      </c>
      <c r="L36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369">
        <f>GhanaStream[[#This Row],[Subscription Fee]]-(GhanaStream[[#This Row],[Discount]]*GhanaStream[[#This Row],[Subscription Fee]])</f>
        <v>9720</v>
      </c>
      <c r="N369" t="str">
        <f>IF(GhanaStream[[#This Row],[Churn Flag]]="Yes","Churned","Retained")</f>
        <v>Retained</v>
      </c>
    </row>
    <row r="370" spans="1:14" x14ac:dyDescent="0.25">
      <c r="A370" t="s">
        <v>408</v>
      </c>
      <c r="B370" s="1">
        <v>45451</v>
      </c>
      <c r="C370" t="s">
        <v>20</v>
      </c>
      <c r="D370" t="s">
        <v>13</v>
      </c>
      <c r="E370">
        <v>500</v>
      </c>
      <c r="F370" t="s">
        <v>14</v>
      </c>
      <c r="G370" t="s">
        <v>24</v>
      </c>
      <c r="H370" t="s">
        <v>33</v>
      </c>
      <c r="I370" t="s">
        <v>34</v>
      </c>
      <c r="J370" t="s">
        <v>41</v>
      </c>
      <c r="K370">
        <v>0</v>
      </c>
      <c r="L37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370">
        <f>GhanaStream[[#This Row],[Subscription Fee]]-(GhanaStream[[#This Row],[Discount]]*GhanaStream[[#This Row],[Subscription Fee]])</f>
        <v>500</v>
      </c>
      <c r="N370" t="str">
        <f>IF(GhanaStream[[#This Row],[Churn Flag]]="Yes","Churned","Retained")</f>
        <v>Retained</v>
      </c>
    </row>
    <row r="371" spans="1:14" x14ac:dyDescent="0.25">
      <c r="A371" t="s">
        <v>409</v>
      </c>
      <c r="B371" s="1">
        <v>45453</v>
      </c>
      <c r="C371" t="s">
        <v>20</v>
      </c>
      <c r="D371" t="s">
        <v>27</v>
      </c>
      <c r="E371">
        <v>5400</v>
      </c>
      <c r="F371" t="s">
        <v>14</v>
      </c>
      <c r="G371" t="s">
        <v>24</v>
      </c>
      <c r="H371" t="s">
        <v>16</v>
      </c>
      <c r="I371" t="s">
        <v>17</v>
      </c>
      <c r="J371" t="s">
        <v>37</v>
      </c>
      <c r="K371">
        <v>0.1</v>
      </c>
      <c r="L37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371">
        <f>GhanaStream[[#This Row],[Subscription Fee]]-(GhanaStream[[#This Row],[Discount]]*GhanaStream[[#This Row],[Subscription Fee]])</f>
        <v>4860</v>
      </c>
      <c r="N371" t="str">
        <f>IF(GhanaStream[[#This Row],[Churn Flag]]="Yes","Churned","Retained")</f>
        <v>Churned</v>
      </c>
    </row>
    <row r="372" spans="1:14" x14ac:dyDescent="0.25">
      <c r="A372" t="s">
        <v>410</v>
      </c>
      <c r="B372" s="1">
        <v>45005</v>
      </c>
      <c r="C372" t="s">
        <v>31</v>
      </c>
      <c r="D372" t="s">
        <v>13</v>
      </c>
      <c r="E372">
        <v>1000</v>
      </c>
      <c r="F372" t="s">
        <v>14</v>
      </c>
      <c r="G372" t="s">
        <v>24</v>
      </c>
      <c r="H372" t="s">
        <v>33</v>
      </c>
      <c r="I372" t="s">
        <v>34</v>
      </c>
      <c r="J372" t="s">
        <v>37</v>
      </c>
      <c r="K372">
        <v>0</v>
      </c>
      <c r="L37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372">
        <f>GhanaStream[[#This Row],[Subscription Fee]]-(GhanaStream[[#This Row],[Discount]]*GhanaStream[[#This Row],[Subscription Fee]])</f>
        <v>1000</v>
      </c>
      <c r="N372" t="str">
        <f>IF(GhanaStream[[#This Row],[Churn Flag]]="Yes","Churned","Retained")</f>
        <v>Retained</v>
      </c>
    </row>
    <row r="373" spans="1:14" x14ac:dyDescent="0.25">
      <c r="A373" t="s">
        <v>411</v>
      </c>
      <c r="B373" s="1">
        <v>45550</v>
      </c>
      <c r="C373" t="s">
        <v>12</v>
      </c>
      <c r="D373" t="s">
        <v>27</v>
      </c>
      <c r="E373">
        <v>16200</v>
      </c>
      <c r="F373" t="s">
        <v>14</v>
      </c>
      <c r="G373" t="s">
        <v>24</v>
      </c>
      <c r="H373" t="s">
        <v>16</v>
      </c>
      <c r="I373" t="s">
        <v>17</v>
      </c>
      <c r="J373" t="s">
        <v>41</v>
      </c>
      <c r="K373">
        <v>0.1</v>
      </c>
      <c r="L37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373">
        <f>GhanaStream[[#This Row],[Subscription Fee]]-(GhanaStream[[#This Row],[Discount]]*GhanaStream[[#This Row],[Subscription Fee]])</f>
        <v>14580</v>
      </c>
      <c r="N373" t="str">
        <f>IF(GhanaStream[[#This Row],[Churn Flag]]="Yes","Churned","Retained")</f>
        <v>Churned</v>
      </c>
    </row>
    <row r="374" spans="1:14" x14ac:dyDescent="0.25">
      <c r="A374" t="s">
        <v>412</v>
      </c>
      <c r="B374" s="1">
        <v>45273</v>
      </c>
      <c r="C374" t="s">
        <v>20</v>
      </c>
      <c r="D374" t="s">
        <v>13</v>
      </c>
      <c r="E374">
        <v>500</v>
      </c>
      <c r="F374" t="s">
        <v>14</v>
      </c>
      <c r="G374" t="s">
        <v>15</v>
      </c>
      <c r="H374" t="s">
        <v>16</v>
      </c>
      <c r="I374" t="s">
        <v>17</v>
      </c>
      <c r="J374" t="s">
        <v>18</v>
      </c>
      <c r="K374">
        <v>0</v>
      </c>
      <c r="L37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374">
        <f>GhanaStream[[#This Row],[Subscription Fee]]-(GhanaStream[[#This Row],[Discount]]*GhanaStream[[#This Row],[Subscription Fee]])</f>
        <v>500</v>
      </c>
      <c r="N374" t="str">
        <f>IF(GhanaStream[[#This Row],[Churn Flag]]="Yes","Churned","Retained")</f>
        <v>Churned</v>
      </c>
    </row>
    <row r="375" spans="1:14" x14ac:dyDescent="0.25">
      <c r="A375" t="s">
        <v>413</v>
      </c>
      <c r="B375" s="1">
        <v>44962</v>
      </c>
      <c r="C375" t="s">
        <v>20</v>
      </c>
      <c r="D375" t="s">
        <v>13</v>
      </c>
      <c r="E375">
        <v>500</v>
      </c>
      <c r="F375" t="s">
        <v>14</v>
      </c>
      <c r="G375" t="s">
        <v>28</v>
      </c>
      <c r="H375" t="s">
        <v>33</v>
      </c>
      <c r="I375" t="s">
        <v>34</v>
      </c>
      <c r="J375" t="s">
        <v>37</v>
      </c>
      <c r="K375">
        <v>0</v>
      </c>
      <c r="L37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375">
        <f>GhanaStream[[#This Row],[Subscription Fee]]-(GhanaStream[[#This Row],[Discount]]*GhanaStream[[#This Row],[Subscription Fee]])</f>
        <v>500</v>
      </c>
      <c r="N375" t="str">
        <f>IF(GhanaStream[[#This Row],[Churn Flag]]="Yes","Churned","Retained")</f>
        <v>Retained</v>
      </c>
    </row>
    <row r="376" spans="1:14" x14ac:dyDescent="0.25">
      <c r="A376" t="s">
        <v>414</v>
      </c>
      <c r="B376" s="1">
        <v>45355</v>
      </c>
      <c r="C376" t="s">
        <v>12</v>
      </c>
      <c r="D376" t="s">
        <v>13</v>
      </c>
      <c r="E376">
        <v>1500</v>
      </c>
      <c r="F376" t="s">
        <v>14</v>
      </c>
      <c r="G376" t="s">
        <v>15</v>
      </c>
      <c r="H376" t="s">
        <v>16</v>
      </c>
      <c r="I376" t="s">
        <v>17</v>
      </c>
      <c r="J376" t="s">
        <v>37</v>
      </c>
      <c r="K376">
        <v>0</v>
      </c>
      <c r="L37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376">
        <f>GhanaStream[[#This Row],[Subscription Fee]]-(GhanaStream[[#This Row],[Discount]]*GhanaStream[[#This Row],[Subscription Fee]])</f>
        <v>1500</v>
      </c>
      <c r="N376" t="str">
        <f>IF(GhanaStream[[#This Row],[Churn Flag]]="Yes","Churned","Retained")</f>
        <v>Churned</v>
      </c>
    </row>
    <row r="377" spans="1:14" x14ac:dyDescent="0.25">
      <c r="A377" t="s">
        <v>415</v>
      </c>
      <c r="B377" s="1">
        <v>45391</v>
      </c>
      <c r="C377" t="s">
        <v>31</v>
      </c>
      <c r="D377" t="s">
        <v>27</v>
      </c>
      <c r="E377">
        <v>10800</v>
      </c>
      <c r="F377" t="s">
        <v>21</v>
      </c>
      <c r="G377" t="s">
        <v>24</v>
      </c>
      <c r="H377" t="s">
        <v>33</v>
      </c>
      <c r="I377" t="s">
        <v>34</v>
      </c>
      <c r="J377" t="s">
        <v>22</v>
      </c>
      <c r="K377">
        <v>0.1</v>
      </c>
      <c r="L37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377">
        <f>GhanaStream[[#This Row],[Subscription Fee]]-(GhanaStream[[#This Row],[Discount]]*GhanaStream[[#This Row],[Subscription Fee]])</f>
        <v>9720</v>
      </c>
      <c r="N377" t="str">
        <f>IF(GhanaStream[[#This Row],[Churn Flag]]="Yes","Churned","Retained")</f>
        <v>Retained</v>
      </c>
    </row>
    <row r="378" spans="1:14" x14ac:dyDescent="0.25">
      <c r="A378" t="s">
        <v>416</v>
      </c>
      <c r="B378" s="1">
        <v>45206</v>
      </c>
      <c r="C378" t="s">
        <v>31</v>
      </c>
      <c r="D378" t="s">
        <v>13</v>
      </c>
      <c r="E378">
        <v>1000</v>
      </c>
      <c r="F378" t="s">
        <v>21</v>
      </c>
      <c r="G378" t="s">
        <v>28</v>
      </c>
      <c r="H378" t="s">
        <v>33</v>
      </c>
      <c r="I378" t="s">
        <v>34</v>
      </c>
      <c r="J378" t="s">
        <v>18</v>
      </c>
      <c r="K378">
        <v>0</v>
      </c>
      <c r="L37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378">
        <f>GhanaStream[[#This Row],[Subscription Fee]]-(GhanaStream[[#This Row],[Discount]]*GhanaStream[[#This Row],[Subscription Fee]])</f>
        <v>1000</v>
      </c>
      <c r="N378" t="str">
        <f>IF(GhanaStream[[#This Row],[Churn Flag]]="Yes","Churned","Retained")</f>
        <v>Retained</v>
      </c>
    </row>
    <row r="379" spans="1:14" x14ac:dyDescent="0.25">
      <c r="A379" t="s">
        <v>417</v>
      </c>
      <c r="B379" s="1">
        <v>45578</v>
      </c>
      <c r="C379" t="s">
        <v>31</v>
      </c>
      <c r="D379" t="s">
        <v>27</v>
      </c>
      <c r="E379">
        <v>10800</v>
      </c>
      <c r="F379" t="s">
        <v>21</v>
      </c>
      <c r="G379" t="s">
        <v>28</v>
      </c>
      <c r="H379" t="s">
        <v>16</v>
      </c>
      <c r="I379" t="s">
        <v>17</v>
      </c>
      <c r="J379" t="s">
        <v>22</v>
      </c>
      <c r="K379">
        <v>0.1</v>
      </c>
      <c r="L37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379">
        <f>GhanaStream[[#This Row],[Subscription Fee]]-(GhanaStream[[#This Row],[Discount]]*GhanaStream[[#This Row],[Subscription Fee]])</f>
        <v>9720</v>
      </c>
      <c r="N379" t="str">
        <f>IF(GhanaStream[[#This Row],[Churn Flag]]="Yes","Churned","Retained")</f>
        <v>Churned</v>
      </c>
    </row>
    <row r="380" spans="1:14" x14ac:dyDescent="0.25">
      <c r="A380" t="s">
        <v>418</v>
      </c>
      <c r="B380" s="1">
        <v>45004</v>
      </c>
      <c r="C380" t="s">
        <v>31</v>
      </c>
      <c r="D380" t="s">
        <v>13</v>
      </c>
      <c r="E380">
        <v>1000</v>
      </c>
      <c r="F380" t="s">
        <v>32</v>
      </c>
      <c r="G380" t="s">
        <v>24</v>
      </c>
      <c r="H380" t="s">
        <v>33</v>
      </c>
      <c r="I380" t="s">
        <v>34</v>
      </c>
      <c r="J380" t="s">
        <v>66</v>
      </c>
      <c r="K380">
        <v>0</v>
      </c>
      <c r="L38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380">
        <f>GhanaStream[[#This Row],[Subscription Fee]]-(GhanaStream[[#This Row],[Discount]]*GhanaStream[[#This Row],[Subscription Fee]])</f>
        <v>1000</v>
      </c>
      <c r="N380" t="str">
        <f>IF(GhanaStream[[#This Row],[Churn Flag]]="Yes","Churned","Retained")</f>
        <v>Retained</v>
      </c>
    </row>
    <row r="381" spans="1:14" x14ac:dyDescent="0.25">
      <c r="A381" t="s">
        <v>419</v>
      </c>
      <c r="B381" s="1">
        <v>45036</v>
      </c>
      <c r="C381" t="s">
        <v>31</v>
      </c>
      <c r="D381" t="s">
        <v>13</v>
      </c>
      <c r="E381">
        <v>1000</v>
      </c>
      <c r="F381" t="s">
        <v>14</v>
      </c>
      <c r="G381" t="s">
        <v>24</v>
      </c>
      <c r="H381" t="s">
        <v>33</v>
      </c>
      <c r="I381" t="s">
        <v>34</v>
      </c>
      <c r="J381" t="s">
        <v>18</v>
      </c>
      <c r="K381">
        <v>0</v>
      </c>
      <c r="L38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381">
        <f>GhanaStream[[#This Row],[Subscription Fee]]-(GhanaStream[[#This Row],[Discount]]*GhanaStream[[#This Row],[Subscription Fee]])</f>
        <v>1000</v>
      </c>
      <c r="N381" t="str">
        <f>IF(GhanaStream[[#This Row],[Churn Flag]]="Yes","Churned","Retained")</f>
        <v>Retained</v>
      </c>
    </row>
    <row r="382" spans="1:14" x14ac:dyDescent="0.25">
      <c r="A382" t="s">
        <v>420</v>
      </c>
      <c r="B382" s="1">
        <v>45639</v>
      </c>
      <c r="C382" t="s">
        <v>12</v>
      </c>
      <c r="D382" t="s">
        <v>27</v>
      </c>
      <c r="E382">
        <v>16200</v>
      </c>
      <c r="F382" t="s">
        <v>49</v>
      </c>
      <c r="G382" t="s">
        <v>28</v>
      </c>
      <c r="H382" t="s">
        <v>33</v>
      </c>
      <c r="I382" t="s">
        <v>34</v>
      </c>
      <c r="J382" t="s">
        <v>35</v>
      </c>
      <c r="K382">
        <v>0.1</v>
      </c>
      <c r="L38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382">
        <f>GhanaStream[[#This Row],[Subscription Fee]]-(GhanaStream[[#This Row],[Discount]]*GhanaStream[[#This Row],[Subscription Fee]])</f>
        <v>14580</v>
      </c>
      <c r="N382" t="str">
        <f>IF(GhanaStream[[#This Row],[Churn Flag]]="Yes","Churned","Retained")</f>
        <v>Retained</v>
      </c>
    </row>
    <row r="383" spans="1:14" x14ac:dyDescent="0.25">
      <c r="A383" t="s">
        <v>421</v>
      </c>
      <c r="B383" s="1">
        <v>44971</v>
      </c>
      <c r="C383" t="s">
        <v>31</v>
      </c>
      <c r="D383" t="s">
        <v>27</v>
      </c>
      <c r="E383">
        <v>10800</v>
      </c>
      <c r="F383" t="s">
        <v>21</v>
      </c>
      <c r="G383" t="s">
        <v>24</v>
      </c>
      <c r="H383" t="s">
        <v>16</v>
      </c>
      <c r="I383" t="s">
        <v>17</v>
      </c>
      <c r="J383" t="s">
        <v>25</v>
      </c>
      <c r="K383">
        <v>0.1</v>
      </c>
      <c r="L38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383">
        <f>GhanaStream[[#This Row],[Subscription Fee]]-(GhanaStream[[#This Row],[Discount]]*GhanaStream[[#This Row],[Subscription Fee]])</f>
        <v>9720</v>
      </c>
      <c r="N383" t="str">
        <f>IF(GhanaStream[[#This Row],[Churn Flag]]="Yes","Churned","Retained")</f>
        <v>Churned</v>
      </c>
    </row>
    <row r="384" spans="1:14" x14ac:dyDescent="0.25">
      <c r="A384" t="s">
        <v>422</v>
      </c>
      <c r="B384" s="1">
        <v>45037</v>
      </c>
      <c r="C384" t="s">
        <v>12</v>
      </c>
      <c r="D384" t="s">
        <v>13</v>
      </c>
      <c r="E384">
        <v>1500</v>
      </c>
      <c r="F384" t="s">
        <v>32</v>
      </c>
      <c r="G384" t="s">
        <v>28</v>
      </c>
      <c r="H384" t="s">
        <v>33</v>
      </c>
      <c r="I384" t="s">
        <v>34</v>
      </c>
      <c r="J384" t="s">
        <v>39</v>
      </c>
      <c r="K384">
        <v>0</v>
      </c>
      <c r="L38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384">
        <f>GhanaStream[[#This Row],[Subscription Fee]]-(GhanaStream[[#This Row],[Discount]]*GhanaStream[[#This Row],[Subscription Fee]])</f>
        <v>1500</v>
      </c>
      <c r="N384" t="str">
        <f>IF(GhanaStream[[#This Row],[Churn Flag]]="Yes","Churned","Retained")</f>
        <v>Retained</v>
      </c>
    </row>
    <row r="385" spans="1:14" x14ac:dyDescent="0.25">
      <c r="A385" t="s">
        <v>423</v>
      </c>
      <c r="B385" s="1">
        <v>45432</v>
      </c>
      <c r="C385" t="s">
        <v>12</v>
      </c>
      <c r="D385" t="s">
        <v>13</v>
      </c>
      <c r="E385">
        <v>1500</v>
      </c>
      <c r="F385" t="s">
        <v>21</v>
      </c>
      <c r="G385" t="s">
        <v>15</v>
      </c>
      <c r="H385" t="s">
        <v>16</v>
      </c>
      <c r="I385" t="s">
        <v>17</v>
      </c>
      <c r="J385" t="s">
        <v>29</v>
      </c>
      <c r="K385">
        <v>0</v>
      </c>
      <c r="L38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385">
        <f>GhanaStream[[#This Row],[Subscription Fee]]-(GhanaStream[[#This Row],[Discount]]*GhanaStream[[#This Row],[Subscription Fee]])</f>
        <v>1500</v>
      </c>
      <c r="N385" t="str">
        <f>IF(GhanaStream[[#This Row],[Churn Flag]]="Yes","Churned","Retained")</f>
        <v>Churned</v>
      </c>
    </row>
    <row r="386" spans="1:14" x14ac:dyDescent="0.25">
      <c r="A386" t="s">
        <v>424</v>
      </c>
      <c r="B386" s="1">
        <v>45173</v>
      </c>
      <c r="C386" t="s">
        <v>20</v>
      </c>
      <c r="D386" t="s">
        <v>27</v>
      </c>
      <c r="E386">
        <v>5400</v>
      </c>
      <c r="F386" t="s">
        <v>32</v>
      </c>
      <c r="G386" t="s">
        <v>24</v>
      </c>
      <c r="H386" t="s">
        <v>33</v>
      </c>
      <c r="I386" t="s">
        <v>34</v>
      </c>
      <c r="J386" t="s">
        <v>66</v>
      </c>
      <c r="K386">
        <v>0.1</v>
      </c>
      <c r="L38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386">
        <f>GhanaStream[[#This Row],[Subscription Fee]]-(GhanaStream[[#This Row],[Discount]]*GhanaStream[[#This Row],[Subscription Fee]])</f>
        <v>4860</v>
      </c>
      <c r="N386" t="str">
        <f>IF(GhanaStream[[#This Row],[Churn Flag]]="Yes","Churned","Retained")</f>
        <v>Retained</v>
      </c>
    </row>
    <row r="387" spans="1:14" x14ac:dyDescent="0.25">
      <c r="A387" t="s">
        <v>425</v>
      </c>
      <c r="B387" s="1">
        <v>45420</v>
      </c>
      <c r="C387" t="s">
        <v>12</v>
      </c>
      <c r="D387" t="s">
        <v>13</v>
      </c>
      <c r="E387">
        <v>1500</v>
      </c>
      <c r="F387" t="s">
        <v>21</v>
      </c>
      <c r="G387" t="s">
        <v>24</v>
      </c>
      <c r="H387" t="s">
        <v>16</v>
      </c>
      <c r="I387" t="s">
        <v>17</v>
      </c>
      <c r="J387" t="s">
        <v>29</v>
      </c>
      <c r="K387">
        <v>0</v>
      </c>
      <c r="L38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387">
        <f>GhanaStream[[#This Row],[Subscription Fee]]-(GhanaStream[[#This Row],[Discount]]*GhanaStream[[#This Row],[Subscription Fee]])</f>
        <v>1500</v>
      </c>
      <c r="N387" t="str">
        <f>IF(GhanaStream[[#This Row],[Churn Flag]]="Yes","Churned","Retained")</f>
        <v>Churned</v>
      </c>
    </row>
    <row r="388" spans="1:14" x14ac:dyDescent="0.25">
      <c r="A388" t="s">
        <v>426</v>
      </c>
      <c r="B388" s="1">
        <v>45274</v>
      </c>
      <c r="C388" t="s">
        <v>20</v>
      </c>
      <c r="D388" t="s">
        <v>27</v>
      </c>
      <c r="E388">
        <v>5400</v>
      </c>
      <c r="F388" t="s">
        <v>49</v>
      </c>
      <c r="G388" t="s">
        <v>24</v>
      </c>
      <c r="H388" t="s">
        <v>16</v>
      </c>
      <c r="I388" t="s">
        <v>17</v>
      </c>
      <c r="J388" t="s">
        <v>22</v>
      </c>
      <c r="K388">
        <v>0.1</v>
      </c>
      <c r="L38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388">
        <f>GhanaStream[[#This Row],[Subscription Fee]]-(GhanaStream[[#This Row],[Discount]]*GhanaStream[[#This Row],[Subscription Fee]])</f>
        <v>4860</v>
      </c>
      <c r="N388" t="str">
        <f>IF(GhanaStream[[#This Row],[Churn Flag]]="Yes","Churned","Retained")</f>
        <v>Churned</v>
      </c>
    </row>
    <row r="389" spans="1:14" x14ac:dyDescent="0.25">
      <c r="A389" t="s">
        <v>427</v>
      </c>
      <c r="B389" s="1">
        <v>45216</v>
      </c>
      <c r="C389" t="s">
        <v>31</v>
      </c>
      <c r="D389" t="s">
        <v>13</v>
      </c>
      <c r="E389">
        <v>1000</v>
      </c>
      <c r="F389" t="s">
        <v>32</v>
      </c>
      <c r="G389" t="s">
        <v>15</v>
      </c>
      <c r="H389" t="s">
        <v>16</v>
      </c>
      <c r="I389" t="s">
        <v>17</v>
      </c>
      <c r="J389" t="s">
        <v>35</v>
      </c>
      <c r="K389">
        <v>0</v>
      </c>
      <c r="L38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389">
        <f>GhanaStream[[#This Row],[Subscription Fee]]-(GhanaStream[[#This Row],[Discount]]*GhanaStream[[#This Row],[Subscription Fee]])</f>
        <v>1000</v>
      </c>
      <c r="N389" t="str">
        <f>IF(GhanaStream[[#This Row],[Churn Flag]]="Yes","Churned","Retained")</f>
        <v>Churned</v>
      </c>
    </row>
    <row r="390" spans="1:14" x14ac:dyDescent="0.25">
      <c r="A390" t="s">
        <v>428</v>
      </c>
      <c r="B390" s="1">
        <v>45085</v>
      </c>
      <c r="C390" t="s">
        <v>12</v>
      </c>
      <c r="D390" t="s">
        <v>13</v>
      </c>
      <c r="E390">
        <v>1500</v>
      </c>
      <c r="F390" t="s">
        <v>14</v>
      </c>
      <c r="G390" t="s">
        <v>28</v>
      </c>
      <c r="H390" t="s">
        <v>16</v>
      </c>
      <c r="I390" t="s">
        <v>17</v>
      </c>
      <c r="J390" t="s">
        <v>18</v>
      </c>
      <c r="K390">
        <v>0</v>
      </c>
      <c r="L39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390">
        <f>GhanaStream[[#This Row],[Subscription Fee]]-(GhanaStream[[#This Row],[Discount]]*GhanaStream[[#This Row],[Subscription Fee]])</f>
        <v>1500</v>
      </c>
      <c r="N390" t="str">
        <f>IF(GhanaStream[[#This Row],[Churn Flag]]="Yes","Churned","Retained")</f>
        <v>Churned</v>
      </c>
    </row>
    <row r="391" spans="1:14" x14ac:dyDescent="0.25">
      <c r="A391" t="s">
        <v>429</v>
      </c>
      <c r="B391" s="1">
        <v>45451</v>
      </c>
      <c r="C391" t="s">
        <v>31</v>
      </c>
      <c r="D391" t="s">
        <v>27</v>
      </c>
      <c r="E391">
        <v>10800</v>
      </c>
      <c r="F391" t="s">
        <v>32</v>
      </c>
      <c r="G391" t="s">
        <v>24</v>
      </c>
      <c r="H391" t="s">
        <v>16</v>
      </c>
      <c r="I391" t="s">
        <v>17</v>
      </c>
      <c r="J391" t="s">
        <v>39</v>
      </c>
      <c r="K391">
        <v>0.1</v>
      </c>
      <c r="L39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391">
        <f>GhanaStream[[#This Row],[Subscription Fee]]-(GhanaStream[[#This Row],[Discount]]*GhanaStream[[#This Row],[Subscription Fee]])</f>
        <v>9720</v>
      </c>
      <c r="N391" t="str">
        <f>IF(GhanaStream[[#This Row],[Churn Flag]]="Yes","Churned","Retained")</f>
        <v>Churned</v>
      </c>
    </row>
    <row r="392" spans="1:14" x14ac:dyDescent="0.25">
      <c r="A392" t="s">
        <v>430</v>
      </c>
      <c r="B392" s="1">
        <v>45648</v>
      </c>
      <c r="C392" t="s">
        <v>31</v>
      </c>
      <c r="D392" t="s">
        <v>13</v>
      </c>
      <c r="E392">
        <v>1000</v>
      </c>
      <c r="F392" t="s">
        <v>14</v>
      </c>
      <c r="G392" t="s">
        <v>24</v>
      </c>
      <c r="H392" t="s">
        <v>33</v>
      </c>
      <c r="I392" t="s">
        <v>34</v>
      </c>
      <c r="J392" t="s">
        <v>37</v>
      </c>
      <c r="K392">
        <v>0</v>
      </c>
      <c r="L39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392">
        <f>GhanaStream[[#This Row],[Subscription Fee]]-(GhanaStream[[#This Row],[Discount]]*GhanaStream[[#This Row],[Subscription Fee]])</f>
        <v>1000</v>
      </c>
      <c r="N392" t="str">
        <f>IF(GhanaStream[[#This Row],[Churn Flag]]="Yes","Churned","Retained")</f>
        <v>Retained</v>
      </c>
    </row>
    <row r="393" spans="1:14" x14ac:dyDescent="0.25">
      <c r="A393" t="s">
        <v>431</v>
      </c>
      <c r="B393" s="1">
        <v>45043</v>
      </c>
      <c r="C393" t="s">
        <v>31</v>
      </c>
      <c r="D393" t="s">
        <v>27</v>
      </c>
      <c r="E393">
        <v>10800</v>
      </c>
      <c r="F393" t="s">
        <v>49</v>
      </c>
      <c r="G393" t="s">
        <v>24</v>
      </c>
      <c r="H393" t="s">
        <v>16</v>
      </c>
      <c r="I393" t="s">
        <v>17</v>
      </c>
      <c r="J393" t="s">
        <v>35</v>
      </c>
      <c r="K393">
        <v>0.1</v>
      </c>
      <c r="L39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393">
        <f>GhanaStream[[#This Row],[Subscription Fee]]-(GhanaStream[[#This Row],[Discount]]*GhanaStream[[#This Row],[Subscription Fee]])</f>
        <v>9720</v>
      </c>
      <c r="N393" t="str">
        <f>IF(GhanaStream[[#This Row],[Churn Flag]]="Yes","Churned","Retained")</f>
        <v>Churned</v>
      </c>
    </row>
    <row r="394" spans="1:14" x14ac:dyDescent="0.25">
      <c r="A394" t="s">
        <v>432</v>
      </c>
      <c r="B394" s="1">
        <v>45398</v>
      </c>
      <c r="C394" t="s">
        <v>12</v>
      </c>
      <c r="D394" t="s">
        <v>13</v>
      </c>
      <c r="E394">
        <v>1500</v>
      </c>
      <c r="F394" t="s">
        <v>49</v>
      </c>
      <c r="G394" t="s">
        <v>24</v>
      </c>
      <c r="H394" t="s">
        <v>33</v>
      </c>
      <c r="I394" t="s">
        <v>34</v>
      </c>
      <c r="J394" t="s">
        <v>22</v>
      </c>
      <c r="K394">
        <v>0</v>
      </c>
      <c r="L39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394">
        <f>GhanaStream[[#This Row],[Subscription Fee]]-(GhanaStream[[#This Row],[Discount]]*GhanaStream[[#This Row],[Subscription Fee]])</f>
        <v>1500</v>
      </c>
      <c r="N394" t="str">
        <f>IF(GhanaStream[[#This Row],[Churn Flag]]="Yes","Churned","Retained")</f>
        <v>Retained</v>
      </c>
    </row>
    <row r="395" spans="1:14" x14ac:dyDescent="0.25">
      <c r="A395" t="s">
        <v>433</v>
      </c>
      <c r="B395" s="1">
        <v>45162</v>
      </c>
      <c r="C395" t="s">
        <v>20</v>
      </c>
      <c r="D395" t="s">
        <v>13</v>
      </c>
      <c r="E395">
        <v>500</v>
      </c>
      <c r="F395" t="s">
        <v>21</v>
      </c>
      <c r="G395" t="s">
        <v>28</v>
      </c>
      <c r="H395" t="s">
        <v>16</v>
      </c>
      <c r="I395" t="s">
        <v>17</v>
      </c>
      <c r="J395" t="s">
        <v>18</v>
      </c>
      <c r="K395">
        <v>0</v>
      </c>
      <c r="L39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395">
        <f>GhanaStream[[#This Row],[Subscription Fee]]-(GhanaStream[[#This Row],[Discount]]*GhanaStream[[#This Row],[Subscription Fee]])</f>
        <v>500</v>
      </c>
      <c r="N395" t="str">
        <f>IF(GhanaStream[[#This Row],[Churn Flag]]="Yes","Churned","Retained")</f>
        <v>Churned</v>
      </c>
    </row>
    <row r="396" spans="1:14" x14ac:dyDescent="0.25">
      <c r="A396" t="s">
        <v>434</v>
      </c>
      <c r="B396" s="1">
        <v>45655</v>
      </c>
      <c r="C396" t="s">
        <v>20</v>
      </c>
      <c r="D396" t="s">
        <v>13</v>
      </c>
      <c r="E396">
        <v>500</v>
      </c>
      <c r="F396" t="s">
        <v>49</v>
      </c>
      <c r="G396" t="s">
        <v>15</v>
      </c>
      <c r="H396" t="s">
        <v>16</v>
      </c>
      <c r="I396" t="s">
        <v>17</v>
      </c>
      <c r="J396" t="s">
        <v>25</v>
      </c>
      <c r="K396">
        <v>0</v>
      </c>
      <c r="L39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396">
        <f>GhanaStream[[#This Row],[Subscription Fee]]-(GhanaStream[[#This Row],[Discount]]*GhanaStream[[#This Row],[Subscription Fee]])</f>
        <v>500</v>
      </c>
      <c r="N396" t="str">
        <f>IF(GhanaStream[[#This Row],[Churn Flag]]="Yes","Churned","Retained")</f>
        <v>Churned</v>
      </c>
    </row>
    <row r="397" spans="1:14" x14ac:dyDescent="0.25">
      <c r="A397" t="s">
        <v>435</v>
      </c>
      <c r="B397" s="1">
        <v>45030</v>
      </c>
      <c r="C397" t="s">
        <v>20</v>
      </c>
      <c r="D397" t="s">
        <v>13</v>
      </c>
      <c r="E397">
        <v>500</v>
      </c>
      <c r="F397" t="s">
        <v>49</v>
      </c>
      <c r="G397" t="s">
        <v>28</v>
      </c>
      <c r="H397" t="s">
        <v>16</v>
      </c>
      <c r="I397" t="s">
        <v>17</v>
      </c>
      <c r="J397" t="s">
        <v>58</v>
      </c>
      <c r="K397">
        <v>0</v>
      </c>
      <c r="L39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397">
        <f>GhanaStream[[#This Row],[Subscription Fee]]-(GhanaStream[[#This Row],[Discount]]*GhanaStream[[#This Row],[Subscription Fee]])</f>
        <v>500</v>
      </c>
      <c r="N397" t="str">
        <f>IF(GhanaStream[[#This Row],[Churn Flag]]="Yes","Churned","Retained")</f>
        <v>Churned</v>
      </c>
    </row>
    <row r="398" spans="1:14" x14ac:dyDescent="0.25">
      <c r="A398" t="s">
        <v>436</v>
      </c>
      <c r="B398" s="1">
        <v>45538</v>
      </c>
      <c r="C398" t="s">
        <v>12</v>
      </c>
      <c r="D398" t="s">
        <v>27</v>
      </c>
      <c r="E398">
        <v>16200</v>
      </c>
      <c r="F398" t="s">
        <v>49</v>
      </c>
      <c r="G398" t="s">
        <v>28</v>
      </c>
      <c r="H398" t="s">
        <v>16</v>
      </c>
      <c r="I398" t="s">
        <v>17</v>
      </c>
      <c r="J398" t="s">
        <v>35</v>
      </c>
      <c r="K398">
        <v>0.1</v>
      </c>
      <c r="L39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398">
        <f>GhanaStream[[#This Row],[Subscription Fee]]-(GhanaStream[[#This Row],[Discount]]*GhanaStream[[#This Row],[Subscription Fee]])</f>
        <v>14580</v>
      </c>
      <c r="N398" t="str">
        <f>IF(GhanaStream[[#This Row],[Churn Flag]]="Yes","Churned","Retained")</f>
        <v>Churned</v>
      </c>
    </row>
    <row r="399" spans="1:14" x14ac:dyDescent="0.25">
      <c r="A399" t="s">
        <v>437</v>
      </c>
      <c r="B399" s="1">
        <v>45590</v>
      </c>
      <c r="C399" t="s">
        <v>12</v>
      </c>
      <c r="D399" t="s">
        <v>27</v>
      </c>
      <c r="E399">
        <v>16200</v>
      </c>
      <c r="F399" t="s">
        <v>14</v>
      </c>
      <c r="G399" t="s">
        <v>15</v>
      </c>
      <c r="H399" t="s">
        <v>16</v>
      </c>
      <c r="I399" t="s">
        <v>17</v>
      </c>
      <c r="J399" t="s">
        <v>22</v>
      </c>
      <c r="K399">
        <v>0.1</v>
      </c>
      <c r="L39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399">
        <f>GhanaStream[[#This Row],[Subscription Fee]]-(GhanaStream[[#This Row],[Discount]]*GhanaStream[[#This Row],[Subscription Fee]])</f>
        <v>14580</v>
      </c>
      <c r="N399" t="str">
        <f>IF(GhanaStream[[#This Row],[Churn Flag]]="Yes","Churned","Retained")</f>
        <v>Churned</v>
      </c>
    </row>
    <row r="400" spans="1:14" x14ac:dyDescent="0.25">
      <c r="A400" t="s">
        <v>438</v>
      </c>
      <c r="B400" s="1">
        <v>45441</v>
      </c>
      <c r="C400" t="s">
        <v>12</v>
      </c>
      <c r="D400" t="s">
        <v>27</v>
      </c>
      <c r="E400">
        <v>16200</v>
      </c>
      <c r="F400" t="s">
        <v>32</v>
      </c>
      <c r="G400" t="s">
        <v>24</v>
      </c>
      <c r="H400" t="s">
        <v>33</v>
      </c>
      <c r="I400" t="s">
        <v>34</v>
      </c>
      <c r="J400" t="s">
        <v>25</v>
      </c>
      <c r="K400">
        <v>0.1</v>
      </c>
      <c r="L40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400">
        <f>GhanaStream[[#This Row],[Subscription Fee]]-(GhanaStream[[#This Row],[Discount]]*GhanaStream[[#This Row],[Subscription Fee]])</f>
        <v>14580</v>
      </c>
      <c r="N400" t="str">
        <f>IF(GhanaStream[[#This Row],[Churn Flag]]="Yes","Churned","Retained")</f>
        <v>Retained</v>
      </c>
    </row>
    <row r="401" spans="1:14" x14ac:dyDescent="0.25">
      <c r="A401" t="s">
        <v>439</v>
      </c>
      <c r="B401" s="1">
        <v>45405</v>
      </c>
      <c r="C401" t="s">
        <v>12</v>
      </c>
      <c r="D401" t="s">
        <v>27</v>
      </c>
      <c r="E401">
        <v>16200</v>
      </c>
      <c r="F401" t="s">
        <v>14</v>
      </c>
      <c r="G401" t="s">
        <v>24</v>
      </c>
      <c r="H401" t="s">
        <v>16</v>
      </c>
      <c r="I401" t="s">
        <v>17</v>
      </c>
      <c r="J401" t="s">
        <v>55</v>
      </c>
      <c r="K401">
        <v>0.1</v>
      </c>
      <c r="L40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401">
        <f>GhanaStream[[#This Row],[Subscription Fee]]-(GhanaStream[[#This Row],[Discount]]*GhanaStream[[#This Row],[Subscription Fee]])</f>
        <v>14580</v>
      </c>
      <c r="N401" t="str">
        <f>IF(GhanaStream[[#This Row],[Churn Flag]]="Yes","Churned","Retained")</f>
        <v>Churned</v>
      </c>
    </row>
    <row r="402" spans="1:14" x14ac:dyDescent="0.25">
      <c r="A402" t="s">
        <v>440</v>
      </c>
      <c r="B402" s="1">
        <v>45365</v>
      </c>
      <c r="C402" t="s">
        <v>12</v>
      </c>
      <c r="D402" t="s">
        <v>27</v>
      </c>
      <c r="E402">
        <v>16200</v>
      </c>
      <c r="F402" t="s">
        <v>21</v>
      </c>
      <c r="G402" t="s">
        <v>28</v>
      </c>
      <c r="H402" t="s">
        <v>33</v>
      </c>
      <c r="I402" t="s">
        <v>34</v>
      </c>
      <c r="J402" t="s">
        <v>29</v>
      </c>
      <c r="K402">
        <v>0.1</v>
      </c>
      <c r="L40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402">
        <f>GhanaStream[[#This Row],[Subscription Fee]]-(GhanaStream[[#This Row],[Discount]]*GhanaStream[[#This Row],[Subscription Fee]])</f>
        <v>14580</v>
      </c>
      <c r="N402" t="str">
        <f>IF(GhanaStream[[#This Row],[Churn Flag]]="Yes","Churned","Retained")</f>
        <v>Retained</v>
      </c>
    </row>
    <row r="403" spans="1:14" x14ac:dyDescent="0.25">
      <c r="A403" t="s">
        <v>441</v>
      </c>
      <c r="B403" s="1">
        <v>45080</v>
      </c>
      <c r="C403" t="s">
        <v>12</v>
      </c>
      <c r="D403" t="s">
        <v>13</v>
      </c>
      <c r="E403">
        <v>1500</v>
      </c>
      <c r="F403" t="s">
        <v>21</v>
      </c>
      <c r="G403" t="s">
        <v>15</v>
      </c>
      <c r="H403" t="s">
        <v>16</v>
      </c>
      <c r="I403" t="s">
        <v>17</v>
      </c>
      <c r="J403" t="s">
        <v>29</v>
      </c>
      <c r="K403">
        <v>0</v>
      </c>
      <c r="L40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403">
        <f>GhanaStream[[#This Row],[Subscription Fee]]-(GhanaStream[[#This Row],[Discount]]*GhanaStream[[#This Row],[Subscription Fee]])</f>
        <v>1500</v>
      </c>
      <c r="N403" t="str">
        <f>IF(GhanaStream[[#This Row],[Churn Flag]]="Yes","Churned","Retained")</f>
        <v>Churned</v>
      </c>
    </row>
    <row r="404" spans="1:14" x14ac:dyDescent="0.25">
      <c r="A404" t="s">
        <v>442</v>
      </c>
      <c r="B404" s="1">
        <v>45175</v>
      </c>
      <c r="C404" t="s">
        <v>12</v>
      </c>
      <c r="D404" t="s">
        <v>13</v>
      </c>
      <c r="E404">
        <v>1500</v>
      </c>
      <c r="F404" t="s">
        <v>49</v>
      </c>
      <c r="G404" t="s">
        <v>28</v>
      </c>
      <c r="H404" t="s">
        <v>33</v>
      </c>
      <c r="I404" t="s">
        <v>34</v>
      </c>
      <c r="J404" t="s">
        <v>22</v>
      </c>
      <c r="K404">
        <v>0</v>
      </c>
      <c r="L40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404">
        <f>GhanaStream[[#This Row],[Subscription Fee]]-(GhanaStream[[#This Row],[Discount]]*GhanaStream[[#This Row],[Subscription Fee]])</f>
        <v>1500</v>
      </c>
      <c r="N404" t="str">
        <f>IF(GhanaStream[[#This Row],[Churn Flag]]="Yes","Churned","Retained")</f>
        <v>Retained</v>
      </c>
    </row>
    <row r="405" spans="1:14" x14ac:dyDescent="0.25">
      <c r="A405" t="s">
        <v>443</v>
      </c>
      <c r="B405" s="1">
        <v>45483</v>
      </c>
      <c r="C405" t="s">
        <v>20</v>
      </c>
      <c r="D405" t="s">
        <v>27</v>
      </c>
      <c r="E405">
        <v>5400</v>
      </c>
      <c r="F405" t="s">
        <v>21</v>
      </c>
      <c r="G405" t="s">
        <v>24</v>
      </c>
      <c r="H405" t="s">
        <v>33</v>
      </c>
      <c r="I405" t="s">
        <v>34</v>
      </c>
      <c r="J405" t="s">
        <v>18</v>
      </c>
      <c r="K405">
        <v>0.1</v>
      </c>
      <c r="L40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405">
        <f>GhanaStream[[#This Row],[Subscription Fee]]-(GhanaStream[[#This Row],[Discount]]*GhanaStream[[#This Row],[Subscription Fee]])</f>
        <v>4860</v>
      </c>
      <c r="N405" t="str">
        <f>IF(GhanaStream[[#This Row],[Churn Flag]]="Yes","Churned","Retained")</f>
        <v>Retained</v>
      </c>
    </row>
    <row r="406" spans="1:14" x14ac:dyDescent="0.25">
      <c r="A406" t="s">
        <v>444</v>
      </c>
      <c r="B406" s="1">
        <v>45416</v>
      </c>
      <c r="C406" t="s">
        <v>20</v>
      </c>
      <c r="D406" t="s">
        <v>27</v>
      </c>
      <c r="E406">
        <v>5400</v>
      </c>
      <c r="F406" t="s">
        <v>14</v>
      </c>
      <c r="G406" t="s">
        <v>28</v>
      </c>
      <c r="H406" t="s">
        <v>16</v>
      </c>
      <c r="I406" t="s">
        <v>17</v>
      </c>
      <c r="J406" t="s">
        <v>22</v>
      </c>
      <c r="K406">
        <v>0.1</v>
      </c>
      <c r="L40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406">
        <f>GhanaStream[[#This Row],[Subscription Fee]]-(GhanaStream[[#This Row],[Discount]]*GhanaStream[[#This Row],[Subscription Fee]])</f>
        <v>4860</v>
      </c>
      <c r="N406" t="str">
        <f>IF(GhanaStream[[#This Row],[Churn Flag]]="Yes","Churned","Retained")</f>
        <v>Churned</v>
      </c>
    </row>
    <row r="407" spans="1:14" x14ac:dyDescent="0.25">
      <c r="A407" t="s">
        <v>445</v>
      </c>
      <c r="B407" s="1">
        <v>45293</v>
      </c>
      <c r="C407" t="s">
        <v>31</v>
      </c>
      <c r="D407" t="s">
        <v>13</v>
      </c>
      <c r="E407">
        <v>1000</v>
      </c>
      <c r="F407" t="s">
        <v>32</v>
      </c>
      <c r="G407" t="s">
        <v>24</v>
      </c>
      <c r="H407" t="s">
        <v>16</v>
      </c>
      <c r="I407" t="s">
        <v>17</v>
      </c>
      <c r="J407" t="s">
        <v>35</v>
      </c>
      <c r="K407">
        <v>0</v>
      </c>
      <c r="L40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407">
        <f>GhanaStream[[#This Row],[Subscription Fee]]-(GhanaStream[[#This Row],[Discount]]*GhanaStream[[#This Row],[Subscription Fee]])</f>
        <v>1000</v>
      </c>
      <c r="N407" t="str">
        <f>IF(GhanaStream[[#This Row],[Churn Flag]]="Yes","Churned","Retained")</f>
        <v>Churned</v>
      </c>
    </row>
    <row r="408" spans="1:14" x14ac:dyDescent="0.25">
      <c r="A408" t="s">
        <v>446</v>
      </c>
      <c r="B408" s="1">
        <v>45329</v>
      </c>
      <c r="C408" t="s">
        <v>12</v>
      </c>
      <c r="D408" t="s">
        <v>13</v>
      </c>
      <c r="E408">
        <v>1500</v>
      </c>
      <c r="F408" t="s">
        <v>21</v>
      </c>
      <c r="G408" t="s">
        <v>24</v>
      </c>
      <c r="H408" t="s">
        <v>33</v>
      </c>
      <c r="I408" t="s">
        <v>34</v>
      </c>
      <c r="J408" t="s">
        <v>18</v>
      </c>
      <c r="K408">
        <v>0</v>
      </c>
      <c r="L40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408">
        <f>GhanaStream[[#This Row],[Subscription Fee]]-(GhanaStream[[#This Row],[Discount]]*GhanaStream[[#This Row],[Subscription Fee]])</f>
        <v>1500</v>
      </c>
      <c r="N408" t="str">
        <f>IF(GhanaStream[[#This Row],[Churn Flag]]="Yes","Churned","Retained")</f>
        <v>Retained</v>
      </c>
    </row>
    <row r="409" spans="1:14" x14ac:dyDescent="0.25">
      <c r="A409" t="s">
        <v>447</v>
      </c>
      <c r="B409" s="1">
        <v>45309</v>
      </c>
      <c r="C409" t="s">
        <v>31</v>
      </c>
      <c r="D409" t="s">
        <v>13</v>
      </c>
      <c r="E409">
        <v>1000</v>
      </c>
      <c r="F409" t="s">
        <v>32</v>
      </c>
      <c r="G409" t="s">
        <v>24</v>
      </c>
      <c r="H409" t="s">
        <v>33</v>
      </c>
      <c r="I409" t="s">
        <v>34</v>
      </c>
      <c r="J409" t="s">
        <v>35</v>
      </c>
      <c r="K409">
        <v>0</v>
      </c>
      <c r="L40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409">
        <f>GhanaStream[[#This Row],[Subscription Fee]]-(GhanaStream[[#This Row],[Discount]]*GhanaStream[[#This Row],[Subscription Fee]])</f>
        <v>1000</v>
      </c>
      <c r="N409" t="str">
        <f>IF(GhanaStream[[#This Row],[Churn Flag]]="Yes","Churned","Retained")</f>
        <v>Retained</v>
      </c>
    </row>
    <row r="410" spans="1:14" x14ac:dyDescent="0.25">
      <c r="A410" t="s">
        <v>448</v>
      </c>
      <c r="B410" s="1">
        <v>45420</v>
      </c>
      <c r="C410" t="s">
        <v>12</v>
      </c>
      <c r="D410" t="s">
        <v>13</v>
      </c>
      <c r="E410">
        <v>1500</v>
      </c>
      <c r="F410" t="s">
        <v>14</v>
      </c>
      <c r="G410" t="s">
        <v>24</v>
      </c>
      <c r="H410" t="s">
        <v>33</v>
      </c>
      <c r="I410" t="s">
        <v>34</v>
      </c>
      <c r="J410" t="s">
        <v>37</v>
      </c>
      <c r="K410">
        <v>0</v>
      </c>
      <c r="L41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410">
        <f>GhanaStream[[#This Row],[Subscription Fee]]-(GhanaStream[[#This Row],[Discount]]*GhanaStream[[#This Row],[Subscription Fee]])</f>
        <v>1500</v>
      </c>
      <c r="N410" t="str">
        <f>IF(GhanaStream[[#This Row],[Churn Flag]]="Yes","Churned","Retained")</f>
        <v>Retained</v>
      </c>
    </row>
    <row r="411" spans="1:14" x14ac:dyDescent="0.25">
      <c r="A411" t="s">
        <v>449</v>
      </c>
      <c r="B411" s="1">
        <v>45131</v>
      </c>
      <c r="C411" t="s">
        <v>20</v>
      </c>
      <c r="D411" t="s">
        <v>27</v>
      </c>
      <c r="E411">
        <v>5400</v>
      </c>
      <c r="F411" t="s">
        <v>32</v>
      </c>
      <c r="G411" t="s">
        <v>28</v>
      </c>
      <c r="H411" t="s">
        <v>33</v>
      </c>
      <c r="I411" t="s">
        <v>34</v>
      </c>
      <c r="J411" t="s">
        <v>25</v>
      </c>
      <c r="K411">
        <v>0.1</v>
      </c>
      <c r="L41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411">
        <f>GhanaStream[[#This Row],[Subscription Fee]]-(GhanaStream[[#This Row],[Discount]]*GhanaStream[[#This Row],[Subscription Fee]])</f>
        <v>4860</v>
      </c>
      <c r="N411" t="str">
        <f>IF(GhanaStream[[#This Row],[Churn Flag]]="Yes","Churned","Retained")</f>
        <v>Retained</v>
      </c>
    </row>
    <row r="412" spans="1:14" x14ac:dyDescent="0.25">
      <c r="A412" t="s">
        <v>450</v>
      </c>
      <c r="B412" s="1">
        <v>45627</v>
      </c>
      <c r="C412" t="s">
        <v>31</v>
      </c>
      <c r="D412" t="s">
        <v>27</v>
      </c>
      <c r="E412">
        <v>10800</v>
      </c>
      <c r="F412" t="s">
        <v>49</v>
      </c>
      <c r="G412" t="s">
        <v>24</v>
      </c>
      <c r="H412" t="s">
        <v>33</v>
      </c>
      <c r="I412" t="s">
        <v>34</v>
      </c>
      <c r="J412" t="s">
        <v>50</v>
      </c>
      <c r="K412">
        <v>0.1</v>
      </c>
      <c r="L41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412">
        <f>GhanaStream[[#This Row],[Subscription Fee]]-(GhanaStream[[#This Row],[Discount]]*GhanaStream[[#This Row],[Subscription Fee]])</f>
        <v>9720</v>
      </c>
      <c r="N412" t="str">
        <f>IF(GhanaStream[[#This Row],[Churn Flag]]="Yes","Churned","Retained")</f>
        <v>Retained</v>
      </c>
    </row>
    <row r="413" spans="1:14" x14ac:dyDescent="0.25">
      <c r="A413" t="s">
        <v>451</v>
      </c>
      <c r="B413" s="1">
        <v>45078</v>
      </c>
      <c r="C413" t="s">
        <v>12</v>
      </c>
      <c r="D413" t="s">
        <v>27</v>
      </c>
      <c r="E413">
        <v>16200</v>
      </c>
      <c r="F413" t="s">
        <v>21</v>
      </c>
      <c r="G413" t="s">
        <v>24</v>
      </c>
      <c r="H413" t="s">
        <v>16</v>
      </c>
      <c r="I413" t="s">
        <v>17</v>
      </c>
      <c r="J413" t="s">
        <v>29</v>
      </c>
      <c r="K413">
        <v>0.1</v>
      </c>
      <c r="L41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413">
        <f>GhanaStream[[#This Row],[Subscription Fee]]-(GhanaStream[[#This Row],[Discount]]*GhanaStream[[#This Row],[Subscription Fee]])</f>
        <v>14580</v>
      </c>
      <c r="N413" t="str">
        <f>IF(GhanaStream[[#This Row],[Churn Flag]]="Yes","Churned","Retained")</f>
        <v>Churned</v>
      </c>
    </row>
    <row r="414" spans="1:14" x14ac:dyDescent="0.25">
      <c r="A414" t="s">
        <v>452</v>
      </c>
      <c r="B414" s="1">
        <v>45592</v>
      </c>
      <c r="C414" t="s">
        <v>12</v>
      </c>
      <c r="D414" t="s">
        <v>27</v>
      </c>
      <c r="E414">
        <v>16200</v>
      </c>
      <c r="F414" t="s">
        <v>21</v>
      </c>
      <c r="G414" t="s">
        <v>24</v>
      </c>
      <c r="H414" t="s">
        <v>33</v>
      </c>
      <c r="I414" t="s">
        <v>34</v>
      </c>
      <c r="J414" t="s">
        <v>25</v>
      </c>
      <c r="K414">
        <v>0.1</v>
      </c>
      <c r="L41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414">
        <f>GhanaStream[[#This Row],[Subscription Fee]]-(GhanaStream[[#This Row],[Discount]]*GhanaStream[[#This Row],[Subscription Fee]])</f>
        <v>14580</v>
      </c>
      <c r="N414" t="str">
        <f>IF(GhanaStream[[#This Row],[Churn Flag]]="Yes","Churned","Retained")</f>
        <v>Retained</v>
      </c>
    </row>
    <row r="415" spans="1:14" x14ac:dyDescent="0.25">
      <c r="A415" t="s">
        <v>453</v>
      </c>
      <c r="B415" s="1">
        <v>44952</v>
      </c>
      <c r="C415" t="s">
        <v>31</v>
      </c>
      <c r="D415" t="s">
        <v>13</v>
      </c>
      <c r="E415">
        <v>1000</v>
      </c>
      <c r="F415" t="s">
        <v>49</v>
      </c>
      <c r="G415" t="s">
        <v>24</v>
      </c>
      <c r="H415" t="s">
        <v>16</v>
      </c>
      <c r="I415" t="s">
        <v>17</v>
      </c>
      <c r="J415" t="s">
        <v>22</v>
      </c>
      <c r="K415">
        <v>0</v>
      </c>
      <c r="L41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415">
        <f>GhanaStream[[#This Row],[Subscription Fee]]-(GhanaStream[[#This Row],[Discount]]*GhanaStream[[#This Row],[Subscription Fee]])</f>
        <v>1000</v>
      </c>
      <c r="N415" t="str">
        <f>IF(GhanaStream[[#This Row],[Churn Flag]]="Yes","Churned","Retained")</f>
        <v>Churned</v>
      </c>
    </row>
    <row r="416" spans="1:14" x14ac:dyDescent="0.25">
      <c r="A416" t="s">
        <v>454</v>
      </c>
      <c r="B416" s="1">
        <v>44950</v>
      </c>
      <c r="C416" t="s">
        <v>12</v>
      </c>
      <c r="D416" t="s">
        <v>13</v>
      </c>
      <c r="E416">
        <v>1500</v>
      </c>
      <c r="F416" t="s">
        <v>32</v>
      </c>
      <c r="G416" t="s">
        <v>24</v>
      </c>
      <c r="H416" t="s">
        <v>33</v>
      </c>
      <c r="I416" t="s">
        <v>34</v>
      </c>
      <c r="J416" t="s">
        <v>39</v>
      </c>
      <c r="K416">
        <v>0</v>
      </c>
      <c r="L41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416">
        <f>GhanaStream[[#This Row],[Subscription Fee]]-(GhanaStream[[#This Row],[Discount]]*GhanaStream[[#This Row],[Subscription Fee]])</f>
        <v>1500</v>
      </c>
      <c r="N416" t="str">
        <f>IF(GhanaStream[[#This Row],[Churn Flag]]="Yes","Churned","Retained")</f>
        <v>Retained</v>
      </c>
    </row>
    <row r="417" spans="1:14" x14ac:dyDescent="0.25">
      <c r="A417" t="s">
        <v>455</v>
      </c>
      <c r="B417" s="1">
        <v>45596</v>
      </c>
      <c r="C417" t="s">
        <v>31</v>
      </c>
      <c r="D417" t="s">
        <v>13</v>
      </c>
      <c r="E417">
        <v>1000</v>
      </c>
      <c r="F417" t="s">
        <v>32</v>
      </c>
      <c r="G417" t="s">
        <v>24</v>
      </c>
      <c r="H417" t="s">
        <v>33</v>
      </c>
      <c r="I417" t="s">
        <v>34</v>
      </c>
      <c r="J417" t="s">
        <v>44</v>
      </c>
      <c r="K417">
        <v>0</v>
      </c>
      <c r="L41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417">
        <f>GhanaStream[[#This Row],[Subscription Fee]]-(GhanaStream[[#This Row],[Discount]]*GhanaStream[[#This Row],[Subscription Fee]])</f>
        <v>1000</v>
      </c>
      <c r="N417" t="str">
        <f>IF(GhanaStream[[#This Row],[Churn Flag]]="Yes","Churned","Retained")</f>
        <v>Retained</v>
      </c>
    </row>
    <row r="418" spans="1:14" x14ac:dyDescent="0.25">
      <c r="A418" t="s">
        <v>456</v>
      </c>
      <c r="B418" s="1">
        <v>45420</v>
      </c>
      <c r="C418" t="s">
        <v>31</v>
      </c>
      <c r="D418" t="s">
        <v>27</v>
      </c>
      <c r="E418">
        <v>10800</v>
      </c>
      <c r="F418" t="s">
        <v>14</v>
      </c>
      <c r="G418" t="s">
        <v>28</v>
      </c>
      <c r="H418" t="s">
        <v>16</v>
      </c>
      <c r="I418" t="s">
        <v>17</v>
      </c>
      <c r="J418" t="s">
        <v>37</v>
      </c>
      <c r="K418">
        <v>0.1</v>
      </c>
      <c r="L41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418">
        <f>GhanaStream[[#This Row],[Subscription Fee]]-(GhanaStream[[#This Row],[Discount]]*GhanaStream[[#This Row],[Subscription Fee]])</f>
        <v>9720</v>
      </c>
      <c r="N418" t="str">
        <f>IF(GhanaStream[[#This Row],[Churn Flag]]="Yes","Churned","Retained")</f>
        <v>Churned</v>
      </c>
    </row>
    <row r="419" spans="1:14" x14ac:dyDescent="0.25">
      <c r="A419" t="s">
        <v>457</v>
      </c>
      <c r="B419" s="1">
        <v>45455</v>
      </c>
      <c r="C419" t="s">
        <v>31</v>
      </c>
      <c r="D419" t="s">
        <v>13</v>
      </c>
      <c r="E419">
        <v>1000</v>
      </c>
      <c r="F419" t="s">
        <v>49</v>
      </c>
      <c r="G419" t="s">
        <v>15</v>
      </c>
      <c r="H419" t="s">
        <v>16</v>
      </c>
      <c r="I419" t="s">
        <v>17</v>
      </c>
      <c r="J419" t="s">
        <v>58</v>
      </c>
      <c r="K419">
        <v>0</v>
      </c>
      <c r="L41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419">
        <f>GhanaStream[[#This Row],[Subscription Fee]]-(GhanaStream[[#This Row],[Discount]]*GhanaStream[[#This Row],[Subscription Fee]])</f>
        <v>1000</v>
      </c>
      <c r="N419" t="str">
        <f>IF(GhanaStream[[#This Row],[Churn Flag]]="Yes","Churned","Retained")</f>
        <v>Churned</v>
      </c>
    </row>
    <row r="420" spans="1:14" x14ac:dyDescent="0.25">
      <c r="A420" t="s">
        <v>458</v>
      </c>
      <c r="B420" s="1">
        <v>45512</v>
      </c>
      <c r="C420" t="s">
        <v>20</v>
      </c>
      <c r="D420" t="s">
        <v>13</v>
      </c>
      <c r="E420">
        <v>500</v>
      </c>
      <c r="F420" t="s">
        <v>32</v>
      </c>
      <c r="G420" t="s">
        <v>24</v>
      </c>
      <c r="H420" t="s">
        <v>33</v>
      </c>
      <c r="I420" t="s">
        <v>34</v>
      </c>
      <c r="J420" t="s">
        <v>25</v>
      </c>
      <c r="K420">
        <v>0</v>
      </c>
      <c r="L42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420">
        <f>GhanaStream[[#This Row],[Subscription Fee]]-(GhanaStream[[#This Row],[Discount]]*GhanaStream[[#This Row],[Subscription Fee]])</f>
        <v>500</v>
      </c>
      <c r="N420" t="str">
        <f>IF(GhanaStream[[#This Row],[Churn Flag]]="Yes","Churned","Retained")</f>
        <v>Retained</v>
      </c>
    </row>
    <row r="421" spans="1:14" x14ac:dyDescent="0.25">
      <c r="A421" t="s">
        <v>459</v>
      </c>
      <c r="B421" s="1">
        <v>45215</v>
      </c>
      <c r="C421" t="s">
        <v>12</v>
      </c>
      <c r="D421" t="s">
        <v>13</v>
      </c>
      <c r="E421">
        <v>1500</v>
      </c>
      <c r="F421" t="s">
        <v>14</v>
      </c>
      <c r="G421" t="s">
        <v>24</v>
      </c>
      <c r="H421" t="s">
        <v>33</v>
      </c>
      <c r="I421" t="s">
        <v>34</v>
      </c>
      <c r="J421" t="s">
        <v>55</v>
      </c>
      <c r="K421">
        <v>0</v>
      </c>
      <c r="L42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421">
        <f>GhanaStream[[#This Row],[Subscription Fee]]-(GhanaStream[[#This Row],[Discount]]*GhanaStream[[#This Row],[Subscription Fee]])</f>
        <v>1500</v>
      </c>
      <c r="N421" t="str">
        <f>IF(GhanaStream[[#This Row],[Churn Flag]]="Yes","Churned","Retained")</f>
        <v>Retained</v>
      </c>
    </row>
    <row r="422" spans="1:14" x14ac:dyDescent="0.25">
      <c r="A422" t="s">
        <v>460</v>
      </c>
      <c r="B422" s="1">
        <v>45455</v>
      </c>
      <c r="C422" t="s">
        <v>31</v>
      </c>
      <c r="D422" t="s">
        <v>27</v>
      </c>
      <c r="E422">
        <v>10800</v>
      </c>
      <c r="F422" t="s">
        <v>14</v>
      </c>
      <c r="G422" t="s">
        <v>15</v>
      </c>
      <c r="H422" t="s">
        <v>16</v>
      </c>
      <c r="I422" t="s">
        <v>17</v>
      </c>
      <c r="J422" t="s">
        <v>37</v>
      </c>
      <c r="K422">
        <v>0.1</v>
      </c>
      <c r="L42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422">
        <f>GhanaStream[[#This Row],[Subscription Fee]]-(GhanaStream[[#This Row],[Discount]]*GhanaStream[[#This Row],[Subscription Fee]])</f>
        <v>9720</v>
      </c>
      <c r="N422" t="str">
        <f>IF(GhanaStream[[#This Row],[Churn Flag]]="Yes","Churned","Retained")</f>
        <v>Churned</v>
      </c>
    </row>
    <row r="423" spans="1:14" x14ac:dyDescent="0.25">
      <c r="A423" t="s">
        <v>461</v>
      </c>
      <c r="B423" s="1">
        <v>45400</v>
      </c>
      <c r="C423" t="s">
        <v>12</v>
      </c>
      <c r="D423" t="s">
        <v>13</v>
      </c>
      <c r="E423">
        <v>1500</v>
      </c>
      <c r="F423" t="s">
        <v>14</v>
      </c>
      <c r="G423" t="s">
        <v>28</v>
      </c>
      <c r="H423" t="s">
        <v>16</v>
      </c>
      <c r="I423" t="s">
        <v>17</v>
      </c>
      <c r="J423" t="s">
        <v>37</v>
      </c>
      <c r="K423">
        <v>0</v>
      </c>
      <c r="L42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423">
        <f>GhanaStream[[#This Row],[Subscription Fee]]-(GhanaStream[[#This Row],[Discount]]*GhanaStream[[#This Row],[Subscription Fee]])</f>
        <v>1500</v>
      </c>
      <c r="N423" t="str">
        <f>IF(GhanaStream[[#This Row],[Churn Flag]]="Yes","Churned","Retained")</f>
        <v>Churned</v>
      </c>
    </row>
    <row r="424" spans="1:14" x14ac:dyDescent="0.25">
      <c r="A424" t="s">
        <v>462</v>
      </c>
      <c r="B424" s="1">
        <v>45478</v>
      </c>
      <c r="C424" t="s">
        <v>12</v>
      </c>
      <c r="D424" t="s">
        <v>13</v>
      </c>
      <c r="E424">
        <v>1500</v>
      </c>
      <c r="F424" t="s">
        <v>14</v>
      </c>
      <c r="G424" t="s">
        <v>24</v>
      </c>
      <c r="H424" t="s">
        <v>33</v>
      </c>
      <c r="I424" t="s">
        <v>34</v>
      </c>
      <c r="J424" t="s">
        <v>18</v>
      </c>
      <c r="K424">
        <v>0</v>
      </c>
      <c r="L42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424">
        <f>GhanaStream[[#This Row],[Subscription Fee]]-(GhanaStream[[#This Row],[Discount]]*GhanaStream[[#This Row],[Subscription Fee]])</f>
        <v>1500</v>
      </c>
      <c r="N424" t="str">
        <f>IF(GhanaStream[[#This Row],[Churn Flag]]="Yes","Churned","Retained")</f>
        <v>Retained</v>
      </c>
    </row>
    <row r="425" spans="1:14" x14ac:dyDescent="0.25">
      <c r="A425" t="s">
        <v>463</v>
      </c>
      <c r="B425" s="1">
        <v>45595</v>
      </c>
      <c r="C425" t="s">
        <v>12</v>
      </c>
      <c r="D425" t="s">
        <v>27</v>
      </c>
      <c r="E425">
        <v>16200</v>
      </c>
      <c r="F425" t="s">
        <v>14</v>
      </c>
      <c r="G425" t="s">
        <v>28</v>
      </c>
      <c r="H425" t="s">
        <v>16</v>
      </c>
      <c r="I425" t="s">
        <v>17</v>
      </c>
      <c r="J425" t="s">
        <v>41</v>
      </c>
      <c r="K425">
        <v>0.1</v>
      </c>
      <c r="L42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425">
        <f>GhanaStream[[#This Row],[Subscription Fee]]-(GhanaStream[[#This Row],[Discount]]*GhanaStream[[#This Row],[Subscription Fee]])</f>
        <v>14580</v>
      </c>
      <c r="N425" t="str">
        <f>IF(GhanaStream[[#This Row],[Churn Flag]]="Yes","Churned","Retained")</f>
        <v>Churned</v>
      </c>
    </row>
    <row r="426" spans="1:14" x14ac:dyDescent="0.25">
      <c r="A426" t="s">
        <v>464</v>
      </c>
      <c r="B426" s="1">
        <v>45054</v>
      </c>
      <c r="C426" t="s">
        <v>20</v>
      </c>
      <c r="D426" t="s">
        <v>13</v>
      </c>
      <c r="E426">
        <v>500</v>
      </c>
      <c r="F426" t="s">
        <v>32</v>
      </c>
      <c r="G426" t="s">
        <v>24</v>
      </c>
      <c r="H426" t="s">
        <v>33</v>
      </c>
      <c r="I426" t="s">
        <v>34</v>
      </c>
      <c r="J426" t="s">
        <v>35</v>
      </c>
      <c r="K426">
        <v>0</v>
      </c>
      <c r="L42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426">
        <f>GhanaStream[[#This Row],[Subscription Fee]]-(GhanaStream[[#This Row],[Discount]]*GhanaStream[[#This Row],[Subscription Fee]])</f>
        <v>500</v>
      </c>
      <c r="N426" t="str">
        <f>IF(GhanaStream[[#This Row],[Churn Flag]]="Yes","Churned","Retained")</f>
        <v>Retained</v>
      </c>
    </row>
    <row r="427" spans="1:14" x14ac:dyDescent="0.25">
      <c r="A427" t="s">
        <v>465</v>
      </c>
      <c r="B427" s="1">
        <v>45434</v>
      </c>
      <c r="C427" t="s">
        <v>12</v>
      </c>
      <c r="D427" t="s">
        <v>13</v>
      </c>
      <c r="E427">
        <v>1500</v>
      </c>
      <c r="F427" t="s">
        <v>49</v>
      </c>
      <c r="G427" t="s">
        <v>24</v>
      </c>
      <c r="H427" t="s">
        <v>16</v>
      </c>
      <c r="I427" t="s">
        <v>17</v>
      </c>
      <c r="J427" t="s">
        <v>58</v>
      </c>
      <c r="K427">
        <v>0</v>
      </c>
      <c r="L42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427">
        <f>GhanaStream[[#This Row],[Subscription Fee]]-(GhanaStream[[#This Row],[Discount]]*GhanaStream[[#This Row],[Subscription Fee]])</f>
        <v>1500</v>
      </c>
      <c r="N427" t="str">
        <f>IF(GhanaStream[[#This Row],[Churn Flag]]="Yes","Churned","Retained")</f>
        <v>Churned</v>
      </c>
    </row>
    <row r="428" spans="1:14" x14ac:dyDescent="0.25">
      <c r="A428" t="s">
        <v>466</v>
      </c>
      <c r="B428" s="1">
        <v>45512</v>
      </c>
      <c r="C428" t="s">
        <v>20</v>
      </c>
      <c r="D428" t="s">
        <v>13</v>
      </c>
      <c r="E428">
        <v>500</v>
      </c>
      <c r="F428" t="s">
        <v>32</v>
      </c>
      <c r="G428" t="s">
        <v>24</v>
      </c>
      <c r="H428" t="s">
        <v>33</v>
      </c>
      <c r="I428" t="s">
        <v>34</v>
      </c>
      <c r="J428" t="s">
        <v>44</v>
      </c>
      <c r="K428">
        <v>0</v>
      </c>
      <c r="L42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428">
        <f>GhanaStream[[#This Row],[Subscription Fee]]-(GhanaStream[[#This Row],[Discount]]*GhanaStream[[#This Row],[Subscription Fee]])</f>
        <v>500</v>
      </c>
      <c r="N428" t="str">
        <f>IF(GhanaStream[[#This Row],[Churn Flag]]="Yes","Churned","Retained")</f>
        <v>Retained</v>
      </c>
    </row>
    <row r="429" spans="1:14" x14ac:dyDescent="0.25">
      <c r="A429" t="s">
        <v>467</v>
      </c>
      <c r="B429" s="1">
        <v>45551</v>
      </c>
      <c r="C429" t="s">
        <v>31</v>
      </c>
      <c r="D429" t="s">
        <v>13</v>
      </c>
      <c r="E429">
        <v>1000</v>
      </c>
      <c r="F429" t="s">
        <v>14</v>
      </c>
      <c r="G429" t="s">
        <v>28</v>
      </c>
      <c r="H429" t="s">
        <v>33</v>
      </c>
      <c r="I429" t="s">
        <v>34</v>
      </c>
      <c r="J429" t="s">
        <v>55</v>
      </c>
      <c r="K429">
        <v>0</v>
      </c>
      <c r="L42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429">
        <f>GhanaStream[[#This Row],[Subscription Fee]]-(GhanaStream[[#This Row],[Discount]]*GhanaStream[[#This Row],[Subscription Fee]])</f>
        <v>1000</v>
      </c>
      <c r="N429" t="str">
        <f>IF(GhanaStream[[#This Row],[Churn Flag]]="Yes","Churned","Retained")</f>
        <v>Retained</v>
      </c>
    </row>
    <row r="430" spans="1:14" x14ac:dyDescent="0.25">
      <c r="A430" t="s">
        <v>468</v>
      </c>
      <c r="B430" s="1">
        <v>45155</v>
      </c>
      <c r="C430" t="s">
        <v>12</v>
      </c>
      <c r="D430" t="s">
        <v>27</v>
      </c>
      <c r="E430">
        <v>16200</v>
      </c>
      <c r="F430" t="s">
        <v>21</v>
      </c>
      <c r="G430" t="s">
        <v>15</v>
      </c>
      <c r="H430" t="s">
        <v>16</v>
      </c>
      <c r="I430" t="s">
        <v>17</v>
      </c>
      <c r="J430" t="s">
        <v>22</v>
      </c>
      <c r="K430">
        <v>0.1</v>
      </c>
      <c r="L43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430">
        <f>GhanaStream[[#This Row],[Subscription Fee]]-(GhanaStream[[#This Row],[Discount]]*GhanaStream[[#This Row],[Subscription Fee]])</f>
        <v>14580</v>
      </c>
      <c r="N430" t="str">
        <f>IF(GhanaStream[[#This Row],[Churn Flag]]="Yes","Churned","Retained")</f>
        <v>Churned</v>
      </c>
    </row>
    <row r="431" spans="1:14" x14ac:dyDescent="0.25">
      <c r="A431" t="s">
        <v>469</v>
      </c>
      <c r="B431" s="1">
        <v>45146</v>
      </c>
      <c r="C431" t="s">
        <v>12</v>
      </c>
      <c r="D431" t="s">
        <v>27</v>
      </c>
      <c r="E431">
        <v>16200</v>
      </c>
      <c r="F431" t="s">
        <v>49</v>
      </c>
      <c r="G431" t="s">
        <v>24</v>
      </c>
      <c r="H431" t="s">
        <v>16</v>
      </c>
      <c r="I431" t="s">
        <v>17</v>
      </c>
      <c r="J431" t="s">
        <v>18</v>
      </c>
      <c r="K431">
        <v>0.1</v>
      </c>
      <c r="L43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431">
        <f>GhanaStream[[#This Row],[Subscription Fee]]-(GhanaStream[[#This Row],[Discount]]*GhanaStream[[#This Row],[Subscription Fee]])</f>
        <v>14580</v>
      </c>
      <c r="N431" t="str">
        <f>IF(GhanaStream[[#This Row],[Churn Flag]]="Yes","Churned","Retained")</f>
        <v>Churned</v>
      </c>
    </row>
    <row r="432" spans="1:14" x14ac:dyDescent="0.25">
      <c r="A432" t="s">
        <v>470</v>
      </c>
      <c r="B432" s="1">
        <v>45172</v>
      </c>
      <c r="C432" t="s">
        <v>20</v>
      </c>
      <c r="D432" t="s">
        <v>27</v>
      </c>
      <c r="E432">
        <v>5400</v>
      </c>
      <c r="F432" t="s">
        <v>49</v>
      </c>
      <c r="G432" t="s">
        <v>24</v>
      </c>
      <c r="H432" t="s">
        <v>33</v>
      </c>
      <c r="I432" t="s">
        <v>34</v>
      </c>
      <c r="J432" t="s">
        <v>35</v>
      </c>
      <c r="K432">
        <v>0.1</v>
      </c>
      <c r="L43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432">
        <f>GhanaStream[[#This Row],[Subscription Fee]]-(GhanaStream[[#This Row],[Discount]]*GhanaStream[[#This Row],[Subscription Fee]])</f>
        <v>4860</v>
      </c>
      <c r="N432" t="str">
        <f>IF(GhanaStream[[#This Row],[Churn Flag]]="Yes","Churned","Retained")</f>
        <v>Retained</v>
      </c>
    </row>
    <row r="433" spans="1:14" x14ac:dyDescent="0.25">
      <c r="A433" t="s">
        <v>471</v>
      </c>
      <c r="B433" s="1">
        <v>45039</v>
      </c>
      <c r="C433" t="s">
        <v>12</v>
      </c>
      <c r="D433" t="s">
        <v>13</v>
      </c>
      <c r="E433">
        <v>1500</v>
      </c>
      <c r="F433" t="s">
        <v>21</v>
      </c>
      <c r="G433" t="s">
        <v>15</v>
      </c>
      <c r="H433" t="s">
        <v>16</v>
      </c>
      <c r="I433" t="s">
        <v>17</v>
      </c>
      <c r="J433" t="s">
        <v>25</v>
      </c>
      <c r="K433">
        <v>0</v>
      </c>
      <c r="L43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433">
        <f>GhanaStream[[#This Row],[Subscription Fee]]-(GhanaStream[[#This Row],[Discount]]*GhanaStream[[#This Row],[Subscription Fee]])</f>
        <v>1500</v>
      </c>
      <c r="N433" t="str">
        <f>IF(GhanaStream[[#This Row],[Churn Flag]]="Yes","Churned","Retained")</f>
        <v>Churned</v>
      </c>
    </row>
    <row r="434" spans="1:14" x14ac:dyDescent="0.25">
      <c r="A434" t="s">
        <v>472</v>
      </c>
      <c r="B434" s="1">
        <v>45248</v>
      </c>
      <c r="C434" t="s">
        <v>12</v>
      </c>
      <c r="D434" t="s">
        <v>13</v>
      </c>
      <c r="E434">
        <v>1500</v>
      </c>
      <c r="F434" t="s">
        <v>49</v>
      </c>
      <c r="G434" t="s">
        <v>24</v>
      </c>
      <c r="H434" t="s">
        <v>16</v>
      </c>
      <c r="I434" t="s">
        <v>17</v>
      </c>
      <c r="J434" t="s">
        <v>50</v>
      </c>
      <c r="K434">
        <v>0</v>
      </c>
      <c r="L43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434">
        <f>GhanaStream[[#This Row],[Subscription Fee]]-(GhanaStream[[#This Row],[Discount]]*GhanaStream[[#This Row],[Subscription Fee]])</f>
        <v>1500</v>
      </c>
      <c r="N434" t="str">
        <f>IF(GhanaStream[[#This Row],[Churn Flag]]="Yes","Churned","Retained")</f>
        <v>Churned</v>
      </c>
    </row>
    <row r="435" spans="1:14" x14ac:dyDescent="0.25">
      <c r="A435" t="s">
        <v>473</v>
      </c>
      <c r="B435" s="1">
        <v>44942</v>
      </c>
      <c r="C435" t="s">
        <v>31</v>
      </c>
      <c r="D435" t="s">
        <v>27</v>
      </c>
      <c r="E435">
        <v>10800</v>
      </c>
      <c r="F435" t="s">
        <v>49</v>
      </c>
      <c r="G435" t="s">
        <v>15</v>
      </c>
      <c r="H435" t="s">
        <v>16</v>
      </c>
      <c r="I435" t="s">
        <v>17</v>
      </c>
      <c r="J435" t="s">
        <v>58</v>
      </c>
      <c r="K435">
        <v>0.1</v>
      </c>
      <c r="L43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435">
        <f>GhanaStream[[#This Row],[Subscription Fee]]-(GhanaStream[[#This Row],[Discount]]*GhanaStream[[#This Row],[Subscription Fee]])</f>
        <v>9720</v>
      </c>
      <c r="N435" t="str">
        <f>IF(GhanaStream[[#This Row],[Churn Flag]]="Yes","Churned","Retained")</f>
        <v>Churned</v>
      </c>
    </row>
    <row r="436" spans="1:14" x14ac:dyDescent="0.25">
      <c r="A436" t="s">
        <v>474</v>
      </c>
      <c r="B436" s="1">
        <v>45234</v>
      </c>
      <c r="C436" t="s">
        <v>31</v>
      </c>
      <c r="D436" t="s">
        <v>13</v>
      </c>
      <c r="E436">
        <v>1000</v>
      </c>
      <c r="F436" t="s">
        <v>14</v>
      </c>
      <c r="G436" t="s">
        <v>24</v>
      </c>
      <c r="H436" t="s">
        <v>16</v>
      </c>
      <c r="I436" t="s">
        <v>17</v>
      </c>
      <c r="J436" t="s">
        <v>37</v>
      </c>
      <c r="K436">
        <v>0</v>
      </c>
      <c r="L43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436">
        <f>GhanaStream[[#This Row],[Subscription Fee]]-(GhanaStream[[#This Row],[Discount]]*GhanaStream[[#This Row],[Subscription Fee]])</f>
        <v>1000</v>
      </c>
      <c r="N436" t="str">
        <f>IF(GhanaStream[[#This Row],[Churn Flag]]="Yes","Churned","Retained")</f>
        <v>Churned</v>
      </c>
    </row>
    <row r="437" spans="1:14" x14ac:dyDescent="0.25">
      <c r="A437" t="s">
        <v>475</v>
      </c>
      <c r="B437" s="1">
        <v>45323</v>
      </c>
      <c r="C437" t="s">
        <v>31</v>
      </c>
      <c r="D437" t="s">
        <v>27</v>
      </c>
      <c r="E437">
        <v>10800</v>
      </c>
      <c r="F437" t="s">
        <v>14</v>
      </c>
      <c r="G437" t="s">
        <v>28</v>
      </c>
      <c r="H437" t="s">
        <v>33</v>
      </c>
      <c r="I437" t="s">
        <v>34</v>
      </c>
      <c r="J437" t="s">
        <v>37</v>
      </c>
      <c r="K437">
        <v>0.1</v>
      </c>
      <c r="L43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437">
        <f>GhanaStream[[#This Row],[Subscription Fee]]-(GhanaStream[[#This Row],[Discount]]*GhanaStream[[#This Row],[Subscription Fee]])</f>
        <v>9720</v>
      </c>
      <c r="N437" t="str">
        <f>IF(GhanaStream[[#This Row],[Churn Flag]]="Yes","Churned","Retained")</f>
        <v>Retained</v>
      </c>
    </row>
    <row r="438" spans="1:14" x14ac:dyDescent="0.25">
      <c r="A438" t="s">
        <v>476</v>
      </c>
      <c r="B438" s="1">
        <v>45112</v>
      </c>
      <c r="C438" t="s">
        <v>12</v>
      </c>
      <c r="D438" t="s">
        <v>27</v>
      </c>
      <c r="E438">
        <v>16200</v>
      </c>
      <c r="F438" t="s">
        <v>32</v>
      </c>
      <c r="G438" t="s">
        <v>15</v>
      </c>
      <c r="H438" t="s">
        <v>16</v>
      </c>
      <c r="I438" t="s">
        <v>17</v>
      </c>
      <c r="J438" t="s">
        <v>66</v>
      </c>
      <c r="K438">
        <v>0.1</v>
      </c>
      <c r="L43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438">
        <f>GhanaStream[[#This Row],[Subscription Fee]]-(GhanaStream[[#This Row],[Discount]]*GhanaStream[[#This Row],[Subscription Fee]])</f>
        <v>14580</v>
      </c>
      <c r="N438" t="str">
        <f>IF(GhanaStream[[#This Row],[Churn Flag]]="Yes","Churned","Retained")</f>
        <v>Churned</v>
      </c>
    </row>
    <row r="439" spans="1:14" x14ac:dyDescent="0.25">
      <c r="A439" t="s">
        <v>477</v>
      </c>
      <c r="B439" s="1">
        <v>45253</v>
      </c>
      <c r="C439" t="s">
        <v>12</v>
      </c>
      <c r="D439" t="s">
        <v>13</v>
      </c>
      <c r="E439">
        <v>1500</v>
      </c>
      <c r="F439" t="s">
        <v>21</v>
      </c>
      <c r="G439" t="s">
        <v>15</v>
      </c>
      <c r="H439" t="s">
        <v>16</v>
      </c>
      <c r="I439" t="s">
        <v>17</v>
      </c>
      <c r="J439" t="s">
        <v>22</v>
      </c>
      <c r="K439">
        <v>0</v>
      </c>
      <c r="L43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439">
        <f>GhanaStream[[#This Row],[Subscription Fee]]-(GhanaStream[[#This Row],[Discount]]*GhanaStream[[#This Row],[Subscription Fee]])</f>
        <v>1500</v>
      </c>
      <c r="N439" t="str">
        <f>IF(GhanaStream[[#This Row],[Churn Flag]]="Yes","Churned","Retained")</f>
        <v>Churned</v>
      </c>
    </row>
    <row r="440" spans="1:14" x14ac:dyDescent="0.25">
      <c r="A440" t="s">
        <v>478</v>
      </c>
      <c r="B440" s="1">
        <v>45026</v>
      </c>
      <c r="C440" t="s">
        <v>31</v>
      </c>
      <c r="D440" t="s">
        <v>27</v>
      </c>
      <c r="E440">
        <v>10800</v>
      </c>
      <c r="F440" t="s">
        <v>14</v>
      </c>
      <c r="G440" t="s">
        <v>28</v>
      </c>
      <c r="H440" t="s">
        <v>16</v>
      </c>
      <c r="I440" t="s">
        <v>17</v>
      </c>
      <c r="J440" t="s">
        <v>37</v>
      </c>
      <c r="K440">
        <v>0.1</v>
      </c>
      <c r="L44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440">
        <f>GhanaStream[[#This Row],[Subscription Fee]]-(GhanaStream[[#This Row],[Discount]]*GhanaStream[[#This Row],[Subscription Fee]])</f>
        <v>9720</v>
      </c>
      <c r="N440" t="str">
        <f>IF(GhanaStream[[#This Row],[Churn Flag]]="Yes","Churned","Retained")</f>
        <v>Churned</v>
      </c>
    </row>
    <row r="441" spans="1:14" x14ac:dyDescent="0.25">
      <c r="A441" t="s">
        <v>479</v>
      </c>
      <c r="B441" s="1">
        <v>45564</v>
      </c>
      <c r="C441" t="s">
        <v>12</v>
      </c>
      <c r="D441" t="s">
        <v>13</v>
      </c>
      <c r="E441">
        <v>1500</v>
      </c>
      <c r="F441" t="s">
        <v>14</v>
      </c>
      <c r="G441" t="s">
        <v>28</v>
      </c>
      <c r="H441" t="s">
        <v>16</v>
      </c>
      <c r="I441" t="s">
        <v>17</v>
      </c>
      <c r="J441" t="s">
        <v>22</v>
      </c>
      <c r="K441">
        <v>0</v>
      </c>
      <c r="L44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441">
        <f>GhanaStream[[#This Row],[Subscription Fee]]-(GhanaStream[[#This Row],[Discount]]*GhanaStream[[#This Row],[Subscription Fee]])</f>
        <v>1500</v>
      </c>
      <c r="N441" t="str">
        <f>IF(GhanaStream[[#This Row],[Churn Flag]]="Yes","Churned","Retained")</f>
        <v>Churned</v>
      </c>
    </row>
    <row r="442" spans="1:14" x14ac:dyDescent="0.25">
      <c r="A442" t="s">
        <v>480</v>
      </c>
      <c r="B442" s="1">
        <v>44938</v>
      </c>
      <c r="C442" t="s">
        <v>31</v>
      </c>
      <c r="D442" t="s">
        <v>13</v>
      </c>
      <c r="E442">
        <v>1000</v>
      </c>
      <c r="F442" t="s">
        <v>32</v>
      </c>
      <c r="G442" t="s">
        <v>15</v>
      </c>
      <c r="H442" t="s">
        <v>16</v>
      </c>
      <c r="I442" t="s">
        <v>17</v>
      </c>
      <c r="J442" t="s">
        <v>35</v>
      </c>
      <c r="K442">
        <v>0</v>
      </c>
      <c r="L44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442">
        <f>GhanaStream[[#This Row],[Subscription Fee]]-(GhanaStream[[#This Row],[Discount]]*GhanaStream[[#This Row],[Subscription Fee]])</f>
        <v>1000</v>
      </c>
      <c r="N442" t="str">
        <f>IF(GhanaStream[[#This Row],[Churn Flag]]="Yes","Churned","Retained")</f>
        <v>Churned</v>
      </c>
    </row>
    <row r="443" spans="1:14" x14ac:dyDescent="0.25">
      <c r="A443" t="s">
        <v>481</v>
      </c>
      <c r="B443" s="1">
        <v>45441</v>
      </c>
      <c r="C443" t="s">
        <v>20</v>
      </c>
      <c r="D443" t="s">
        <v>13</v>
      </c>
      <c r="E443">
        <v>500</v>
      </c>
      <c r="F443" t="s">
        <v>49</v>
      </c>
      <c r="G443" t="s">
        <v>24</v>
      </c>
      <c r="H443" t="s">
        <v>33</v>
      </c>
      <c r="I443" t="s">
        <v>34</v>
      </c>
      <c r="J443" t="s">
        <v>22</v>
      </c>
      <c r="K443">
        <v>0</v>
      </c>
      <c r="L44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443">
        <f>GhanaStream[[#This Row],[Subscription Fee]]-(GhanaStream[[#This Row],[Discount]]*GhanaStream[[#This Row],[Subscription Fee]])</f>
        <v>500</v>
      </c>
      <c r="N443" t="str">
        <f>IF(GhanaStream[[#This Row],[Churn Flag]]="Yes","Churned","Retained")</f>
        <v>Retained</v>
      </c>
    </row>
    <row r="444" spans="1:14" x14ac:dyDescent="0.25">
      <c r="A444" t="s">
        <v>482</v>
      </c>
      <c r="B444" s="1">
        <v>45652</v>
      </c>
      <c r="C444" t="s">
        <v>20</v>
      </c>
      <c r="D444" t="s">
        <v>13</v>
      </c>
      <c r="E444">
        <v>500</v>
      </c>
      <c r="F444" t="s">
        <v>14</v>
      </c>
      <c r="G444" t="s">
        <v>24</v>
      </c>
      <c r="H444" t="s">
        <v>33</v>
      </c>
      <c r="I444" t="s">
        <v>34</v>
      </c>
      <c r="J444" t="s">
        <v>18</v>
      </c>
      <c r="K444">
        <v>0</v>
      </c>
      <c r="L44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444">
        <f>GhanaStream[[#This Row],[Subscription Fee]]-(GhanaStream[[#This Row],[Discount]]*GhanaStream[[#This Row],[Subscription Fee]])</f>
        <v>500</v>
      </c>
      <c r="N444" t="str">
        <f>IF(GhanaStream[[#This Row],[Churn Flag]]="Yes","Churned","Retained")</f>
        <v>Retained</v>
      </c>
    </row>
    <row r="445" spans="1:14" x14ac:dyDescent="0.25">
      <c r="A445" t="s">
        <v>483</v>
      </c>
      <c r="B445" s="1">
        <v>45428</v>
      </c>
      <c r="C445" t="s">
        <v>20</v>
      </c>
      <c r="D445" t="s">
        <v>13</v>
      </c>
      <c r="E445">
        <v>500</v>
      </c>
      <c r="F445" t="s">
        <v>21</v>
      </c>
      <c r="G445" t="s">
        <v>24</v>
      </c>
      <c r="H445" t="s">
        <v>33</v>
      </c>
      <c r="I445" t="s">
        <v>34</v>
      </c>
      <c r="J445" t="s">
        <v>29</v>
      </c>
      <c r="K445">
        <v>0</v>
      </c>
      <c r="L44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445">
        <f>GhanaStream[[#This Row],[Subscription Fee]]-(GhanaStream[[#This Row],[Discount]]*GhanaStream[[#This Row],[Subscription Fee]])</f>
        <v>500</v>
      </c>
      <c r="N445" t="str">
        <f>IF(GhanaStream[[#This Row],[Churn Flag]]="Yes","Churned","Retained")</f>
        <v>Retained</v>
      </c>
    </row>
    <row r="446" spans="1:14" x14ac:dyDescent="0.25">
      <c r="A446" t="s">
        <v>484</v>
      </c>
      <c r="B446" s="1">
        <v>45135</v>
      </c>
      <c r="C446" t="s">
        <v>20</v>
      </c>
      <c r="D446" t="s">
        <v>13</v>
      </c>
      <c r="E446">
        <v>500</v>
      </c>
      <c r="F446" t="s">
        <v>32</v>
      </c>
      <c r="G446" t="s">
        <v>24</v>
      </c>
      <c r="H446" t="s">
        <v>33</v>
      </c>
      <c r="I446" t="s">
        <v>34</v>
      </c>
      <c r="J446" t="s">
        <v>66</v>
      </c>
      <c r="K446">
        <v>0</v>
      </c>
      <c r="L44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446">
        <f>GhanaStream[[#This Row],[Subscription Fee]]-(GhanaStream[[#This Row],[Discount]]*GhanaStream[[#This Row],[Subscription Fee]])</f>
        <v>500</v>
      </c>
      <c r="N446" t="str">
        <f>IF(GhanaStream[[#This Row],[Churn Flag]]="Yes","Churned","Retained")</f>
        <v>Retained</v>
      </c>
    </row>
    <row r="447" spans="1:14" x14ac:dyDescent="0.25">
      <c r="A447" t="s">
        <v>485</v>
      </c>
      <c r="B447" s="1">
        <v>45384</v>
      </c>
      <c r="C447" t="s">
        <v>31</v>
      </c>
      <c r="D447" t="s">
        <v>13</v>
      </c>
      <c r="E447">
        <v>1000</v>
      </c>
      <c r="F447" t="s">
        <v>14</v>
      </c>
      <c r="G447" t="s">
        <v>15</v>
      </c>
      <c r="H447" t="s">
        <v>16</v>
      </c>
      <c r="I447" t="s">
        <v>17</v>
      </c>
      <c r="J447" t="s">
        <v>37</v>
      </c>
      <c r="K447">
        <v>0</v>
      </c>
      <c r="L44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447">
        <f>GhanaStream[[#This Row],[Subscription Fee]]-(GhanaStream[[#This Row],[Discount]]*GhanaStream[[#This Row],[Subscription Fee]])</f>
        <v>1000</v>
      </c>
      <c r="N447" t="str">
        <f>IF(GhanaStream[[#This Row],[Churn Flag]]="Yes","Churned","Retained")</f>
        <v>Churned</v>
      </c>
    </row>
    <row r="448" spans="1:14" x14ac:dyDescent="0.25">
      <c r="A448" t="s">
        <v>486</v>
      </c>
      <c r="B448" s="1">
        <v>45638</v>
      </c>
      <c r="C448" t="s">
        <v>31</v>
      </c>
      <c r="D448" t="s">
        <v>13</v>
      </c>
      <c r="E448">
        <v>1000</v>
      </c>
      <c r="F448" t="s">
        <v>49</v>
      </c>
      <c r="G448" t="s">
        <v>28</v>
      </c>
      <c r="H448" t="s">
        <v>16</v>
      </c>
      <c r="I448" t="s">
        <v>17</v>
      </c>
      <c r="J448" t="s">
        <v>35</v>
      </c>
      <c r="K448">
        <v>0</v>
      </c>
      <c r="L44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448">
        <f>GhanaStream[[#This Row],[Subscription Fee]]-(GhanaStream[[#This Row],[Discount]]*GhanaStream[[#This Row],[Subscription Fee]])</f>
        <v>1000</v>
      </c>
      <c r="N448" t="str">
        <f>IF(GhanaStream[[#This Row],[Churn Flag]]="Yes","Churned","Retained")</f>
        <v>Churned</v>
      </c>
    </row>
    <row r="449" spans="1:14" x14ac:dyDescent="0.25">
      <c r="A449" t="s">
        <v>487</v>
      </c>
      <c r="B449" s="1">
        <v>45505</v>
      </c>
      <c r="C449" t="s">
        <v>20</v>
      </c>
      <c r="D449" t="s">
        <v>13</v>
      </c>
      <c r="E449">
        <v>500</v>
      </c>
      <c r="F449" t="s">
        <v>32</v>
      </c>
      <c r="G449" t="s">
        <v>28</v>
      </c>
      <c r="H449" t="s">
        <v>33</v>
      </c>
      <c r="I449" t="s">
        <v>34</v>
      </c>
      <c r="J449" t="s">
        <v>39</v>
      </c>
      <c r="K449">
        <v>0</v>
      </c>
      <c r="L44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449">
        <f>GhanaStream[[#This Row],[Subscription Fee]]-(GhanaStream[[#This Row],[Discount]]*GhanaStream[[#This Row],[Subscription Fee]])</f>
        <v>500</v>
      </c>
      <c r="N449" t="str">
        <f>IF(GhanaStream[[#This Row],[Churn Flag]]="Yes","Churned","Retained")</f>
        <v>Retained</v>
      </c>
    </row>
    <row r="450" spans="1:14" x14ac:dyDescent="0.25">
      <c r="A450" t="s">
        <v>488</v>
      </c>
      <c r="B450" s="1">
        <v>44948</v>
      </c>
      <c r="C450" t="s">
        <v>31</v>
      </c>
      <c r="D450" t="s">
        <v>13</v>
      </c>
      <c r="E450">
        <v>1000</v>
      </c>
      <c r="F450" t="s">
        <v>14</v>
      </c>
      <c r="G450" t="s">
        <v>24</v>
      </c>
      <c r="H450" t="s">
        <v>33</v>
      </c>
      <c r="I450" t="s">
        <v>34</v>
      </c>
      <c r="J450" t="s">
        <v>22</v>
      </c>
      <c r="K450">
        <v>0</v>
      </c>
      <c r="L45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450">
        <f>GhanaStream[[#This Row],[Subscription Fee]]-(GhanaStream[[#This Row],[Discount]]*GhanaStream[[#This Row],[Subscription Fee]])</f>
        <v>1000</v>
      </c>
      <c r="N450" t="str">
        <f>IF(GhanaStream[[#This Row],[Churn Flag]]="Yes","Churned","Retained")</f>
        <v>Retained</v>
      </c>
    </row>
    <row r="451" spans="1:14" x14ac:dyDescent="0.25">
      <c r="A451" t="s">
        <v>489</v>
      </c>
      <c r="B451" s="1">
        <v>45222</v>
      </c>
      <c r="C451" t="s">
        <v>12</v>
      </c>
      <c r="D451" t="s">
        <v>27</v>
      </c>
      <c r="E451">
        <v>16200</v>
      </c>
      <c r="F451" t="s">
        <v>14</v>
      </c>
      <c r="G451" t="s">
        <v>24</v>
      </c>
      <c r="H451" t="s">
        <v>33</v>
      </c>
      <c r="I451" t="s">
        <v>34</v>
      </c>
      <c r="J451" t="s">
        <v>37</v>
      </c>
      <c r="K451">
        <v>0.1</v>
      </c>
      <c r="L45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451">
        <f>GhanaStream[[#This Row],[Subscription Fee]]-(GhanaStream[[#This Row],[Discount]]*GhanaStream[[#This Row],[Subscription Fee]])</f>
        <v>14580</v>
      </c>
      <c r="N451" t="str">
        <f>IF(GhanaStream[[#This Row],[Churn Flag]]="Yes","Churned","Retained")</f>
        <v>Retained</v>
      </c>
    </row>
    <row r="452" spans="1:14" x14ac:dyDescent="0.25">
      <c r="A452" t="s">
        <v>490</v>
      </c>
      <c r="B452" s="1">
        <v>45158</v>
      </c>
      <c r="C452" t="s">
        <v>31</v>
      </c>
      <c r="D452" t="s">
        <v>13</v>
      </c>
      <c r="E452">
        <v>1000</v>
      </c>
      <c r="F452" t="s">
        <v>14</v>
      </c>
      <c r="G452" t="s">
        <v>28</v>
      </c>
      <c r="H452" t="s">
        <v>16</v>
      </c>
      <c r="I452" t="s">
        <v>17</v>
      </c>
      <c r="J452" t="s">
        <v>18</v>
      </c>
      <c r="K452">
        <v>0</v>
      </c>
      <c r="L45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452">
        <f>GhanaStream[[#This Row],[Subscription Fee]]-(GhanaStream[[#This Row],[Discount]]*GhanaStream[[#This Row],[Subscription Fee]])</f>
        <v>1000</v>
      </c>
      <c r="N452" t="str">
        <f>IF(GhanaStream[[#This Row],[Churn Flag]]="Yes","Churned","Retained")</f>
        <v>Churned</v>
      </c>
    </row>
    <row r="453" spans="1:14" x14ac:dyDescent="0.25">
      <c r="A453" t="s">
        <v>491</v>
      </c>
      <c r="B453" s="1">
        <v>45147</v>
      </c>
      <c r="C453" t="s">
        <v>20</v>
      </c>
      <c r="D453" t="s">
        <v>27</v>
      </c>
      <c r="E453">
        <v>5400</v>
      </c>
      <c r="F453" t="s">
        <v>14</v>
      </c>
      <c r="G453" t="s">
        <v>28</v>
      </c>
      <c r="H453" t="s">
        <v>16</v>
      </c>
      <c r="I453" t="s">
        <v>17</v>
      </c>
      <c r="J453" t="s">
        <v>22</v>
      </c>
      <c r="K453">
        <v>0.1</v>
      </c>
      <c r="L45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453">
        <f>GhanaStream[[#This Row],[Subscription Fee]]-(GhanaStream[[#This Row],[Discount]]*GhanaStream[[#This Row],[Subscription Fee]])</f>
        <v>4860</v>
      </c>
      <c r="N453" t="str">
        <f>IF(GhanaStream[[#This Row],[Churn Flag]]="Yes","Churned","Retained")</f>
        <v>Churned</v>
      </c>
    </row>
    <row r="454" spans="1:14" x14ac:dyDescent="0.25">
      <c r="A454" t="s">
        <v>492</v>
      </c>
      <c r="B454" s="1">
        <v>44938</v>
      </c>
      <c r="C454" t="s">
        <v>31</v>
      </c>
      <c r="D454" t="s">
        <v>27</v>
      </c>
      <c r="E454">
        <v>10800</v>
      </c>
      <c r="F454" t="s">
        <v>21</v>
      </c>
      <c r="G454" t="s">
        <v>24</v>
      </c>
      <c r="H454" t="s">
        <v>16</v>
      </c>
      <c r="I454" t="s">
        <v>17</v>
      </c>
      <c r="J454" t="s">
        <v>22</v>
      </c>
      <c r="K454">
        <v>0.1</v>
      </c>
      <c r="L45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454">
        <f>GhanaStream[[#This Row],[Subscription Fee]]-(GhanaStream[[#This Row],[Discount]]*GhanaStream[[#This Row],[Subscription Fee]])</f>
        <v>9720</v>
      </c>
      <c r="N454" t="str">
        <f>IF(GhanaStream[[#This Row],[Churn Flag]]="Yes","Churned","Retained")</f>
        <v>Churned</v>
      </c>
    </row>
    <row r="455" spans="1:14" x14ac:dyDescent="0.25">
      <c r="A455" t="s">
        <v>493</v>
      </c>
      <c r="B455" s="1">
        <v>45353</v>
      </c>
      <c r="C455" t="s">
        <v>12</v>
      </c>
      <c r="D455" t="s">
        <v>27</v>
      </c>
      <c r="E455">
        <v>16200</v>
      </c>
      <c r="F455" t="s">
        <v>49</v>
      </c>
      <c r="G455" t="s">
        <v>28</v>
      </c>
      <c r="H455" t="s">
        <v>33</v>
      </c>
      <c r="I455" t="s">
        <v>34</v>
      </c>
      <c r="J455" t="s">
        <v>22</v>
      </c>
      <c r="K455">
        <v>0.1</v>
      </c>
      <c r="L45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455">
        <f>GhanaStream[[#This Row],[Subscription Fee]]-(GhanaStream[[#This Row],[Discount]]*GhanaStream[[#This Row],[Subscription Fee]])</f>
        <v>14580</v>
      </c>
      <c r="N455" t="str">
        <f>IF(GhanaStream[[#This Row],[Churn Flag]]="Yes","Churned","Retained")</f>
        <v>Retained</v>
      </c>
    </row>
    <row r="456" spans="1:14" x14ac:dyDescent="0.25">
      <c r="A456" t="s">
        <v>494</v>
      </c>
      <c r="B456" s="1">
        <v>45485</v>
      </c>
      <c r="C456" t="s">
        <v>12</v>
      </c>
      <c r="D456" t="s">
        <v>13</v>
      </c>
      <c r="E456">
        <v>1500</v>
      </c>
      <c r="F456" t="s">
        <v>49</v>
      </c>
      <c r="G456" t="s">
        <v>24</v>
      </c>
      <c r="H456" t="s">
        <v>16</v>
      </c>
      <c r="I456" t="s">
        <v>17</v>
      </c>
      <c r="J456" t="s">
        <v>25</v>
      </c>
      <c r="K456">
        <v>0</v>
      </c>
      <c r="L45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456">
        <f>GhanaStream[[#This Row],[Subscription Fee]]-(GhanaStream[[#This Row],[Discount]]*GhanaStream[[#This Row],[Subscription Fee]])</f>
        <v>1500</v>
      </c>
      <c r="N456" t="str">
        <f>IF(GhanaStream[[#This Row],[Churn Flag]]="Yes","Churned","Retained")</f>
        <v>Churned</v>
      </c>
    </row>
    <row r="457" spans="1:14" x14ac:dyDescent="0.25">
      <c r="A457" t="s">
        <v>495</v>
      </c>
      <c r="B457" s="1">
        <v>45022</v>
      </c>
      <c r="C457" t="s">
        <v>20</v>
      </c>
      <c r="D457" t="s">
        <v>13</v>
      </c>
      <c r="E457">
        <v>500</v>
      </c>
      <c r="F457" t="s">
        <v>21</v>
      </c>
      <c r="G457" t="s">
        <v>28</v>
      </c>
      <c r="H457" t="s">
        <v>33</v>
      </c>
      <c r="I457" t="s">
        <v>34</v>
      </c>
      <c r="J457" t="s">
        <v>25</v>
      </c>
      <c r="K457">
        <v>0</v>
      </c>
      <c r="L45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457">
        <f>GhanaStream[[#This Row],[Subscription Fee]]-(GhanaStream[[#This Row],[Discount]]*GhanaStream[[#This Row],[Subscription Fee]])</f>
        <v>500</v>
      </c>
      <c r="N457" t="str">
        <f>IF(GhanaStream[[#This Row],[Churn Flag]]="Yes","Churned","Retained")</f>
        <v>Retained</v>
      </c>
    </row>
    <row r="458" spans="1:14" x14ac:dyDescent="0.25">
      <c r="A458" t="s">
        <v>496</v>
      </c>
      <c r="B458" s="1">
        <v>45437</v>
      </c>
      <c r="C458" t="s">
        <v>20</v>
      </c>
      <c r="D458" t="s">
        <v>13</v>
      </c>
      <c r="E458">
        <v>500</v>
      </c>
      <c r="F458" t="s">
        <v>32</v>
      </c>
      <c r="G458" t="s">
        <v>24</v>
      </c>
      <c r="H458" t="s">
        <v>33</v>
      </c>
      <c r="I458" t="s">
        <v>34</v>
      </c>
      <c r="J458" t="s">
        <v>25</v>
      </c>
      <c r="K458">
        <v>0</v>
      </c>
      <c r="L45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458">
        <f>GhanaStream[[#This Row],[Subscription Fee]]-(GhanaStream[[#This Row],[Discount]]*GhanaStream[[#This Row],[Subscription Fee]])</f>
        <v>500</v>
      </c>
      <c r="N458" t="str">
        <f>IF(GhanaStream[[#This Row],[Churn Flag]]="Yes","Churned","Retained")</f>
        <v>Retained</v>
      </c>
    </row>
    <row r="459" spans="1:14" x14ac:dyDescent="0.25">
      <c r="A459" t="s">
        <v>497</v>
      </c>
      <c r="B459" s="1">
        <v>45026</v>
      </c>
      <c r="C459" t="s">
        <v>31</v>
      </c>
      <c r="D459" t="s">
        <v>27</v>
      </c>
      <c r="E459">
        <v>10800</v>
      </c>
      <c r="F459" t="s">
        <v>49</v>
      </c>
      <c r="G459" t="s">
        <v>15</v>
      </c>
      <c r="H459" t="s">
        <v>16</v>
      </c>
      <c r="I459" t="s">
        <v>17</v>
      </c>
      <c r="J459" t="s">
        <v>35</v>
      </c>
      <c r="K459">
        <v>0.1</v>
      </c>
      <c r="L45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459">
        <f>GhanaStream[[#This Row],[Subscription Fee]]-(GhanaStream[[#This Row],[Discount]]*GhanaStream[[#This Row],[Subscription Fee]])</f>
        <v>9720</v>
      </c>
      <c r="N459" t="str">
        <f>IF(GhanaStream[[#This Row],[Churn Flag]]="Yes","Churned","Retained")</f>
        <v>Churned</v>
      </c>
    </row>
    <row r="460" spans="1:14" x14ac:dyDescent="0.25">
      <c r="A460" t="s">
        <v>498</v>
      </c>
      <c r="B460" s="1">
        <v>45643</v>
      </c>
      <c r="C460" t="s">
        <v>12</v>
      </c>
      <c r="D460" t="s">
        <v>13</v>
      </c>
      <c r="E460">
        <v>1500</v>
      </c>
      <c r="F460" t="s">
        <v>32</v>
      </c>
      <c r="G460" t="s">
        <v>15</v>
      </c>
      <c r="H460" t="s">
        <v>16</v>
      </c>
      <c r="I460" t="s">
        <v>17</v>
      </c>
      <c r="J460" t="s">
        <v>66</v>
      </c>
      <c r="K460">
        <v>0</v>
      </c>
      <c r="L46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460">
        <f>GhanaStream[[#This Row],[Subscription Fee]]-(GhanaStream[[#This Row],[Discount]]*GhanaStream[[#This Row],[Subscription Fee]])</f>
        <v>1500</v>
      </c>
      <c r="N460" t="str">
        <f>IF(GhanaStream[[#This Row],[Churn Flag]]="Yes","Churned","Retained")</f>
        <v>Churned</v>
      </c>
    </row>
    <row r="461" spans="1:14" x14ac:dyDescent="0.25">
      <c r="A461" t="s">
        <v>499</v>
      </c>
      <c r="B461" s="1">
        <v>45504</v>
      </c>
      <c r="C461" t="s">
        <v>20</v>
      </c>
      <c r="D461" t="s">
        <v>13</v>
      </c>
      <c r="E461">
        <v>500</v>
      </c>
      <c r="F461" t="s">
        <v>49</v>
      </c>
      <c r="G461" t="s">
        <v>24</v>
      </c>
      <c r="H461" t="s">
        <v>33</v>
      </c>
      <c r="I461" t="s">
        <v>34</v>
      </c>
      <c r="J461" t="s">
        <v>25</v>
      </c>
      <c r="K461">
        <v>0</v>
      </c>
      <c r="L46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461">
        <f>GhanaStream[[#This Row],[Subscription Fee]]-(GhanaStream[[#This Row],[Discount]]*GhanaStream[[#This Row],[Subscription Fee]])</f>
        <v>500</v>
      </c>
      <c r="N461" t="str">
        <f>IF(GhanaStream[[#This Row],[Churn Flag]]="Yes","Churned","Retained")</f>
        <v>Retained</v>
      </c>
    </row>
    <row r="462" spans="1:14" x14ac:dyDescent="0.25">
      <c r="A462" t="s">
        <v>500</v>
      </c>
      <c r="B462" s="1">
        <v>45584</v>
      </c>
      <c r="C462" t="s">
        <v>31</v>
      </c>
      <c r="D462" t="s">
        <v>27</v>
      </c>
      <c r="E462">
        <v>10800</v>
      </c>
      <c r="F462" t="s">
        <v>49</v>
      </c>
      <c r="G462" t="s">
        <v>24</v>
      </c>
      <c r="H462" t="s">
        <v>33</v>
      </c>
      <c r="I462" t="s">
        <v>34</v>
      </c>
      <c r="J462" t="s">
        <v>22</v>
      </c>
      <c r="K462">
        <v>0.1</v>
      </c>
      <c r="L46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462">
        <f>GhanaStream[[#This Row],[Subscription Fee]]-(GhanaStream[[#This Row],[Discount]]*GhanaStream[[#This Row],[Subscription Fee]])</f>
        <v>9720</v>
      </c>
      <c r="N462" t="str">
        <f>IF(GhanaStream[[#This Row],[Churn Flag]]="Yes","Churned","Retained")</f>
        <v>Retained</v>
      </c>
    </row>
    <row r="463" spans="1:14" x14ac:dyDescent="0.25">
      <c r="A463" t="s">
        <v>501</v>
      </c>
      <c r="B463" s="1">
        <v>45279</v>
      </c>
      <c r="C463" t="s">
        <v>20</v>
      </c>
      <c r="D463" t="s">
        <v>27</v>
      </c>
      <c r="E463">
        <v>5400</v>
      </c>
      <c r="F463" t="s">
        <v>49</v>
      </c>
      <c r="G463" t="s">
        <v>15</v>
      </c>
      <c r="H463" t="s">
        <v>16</v>
      </c>
      <c r="I463" t="s">
        <v>17</v>
      </c>
      <c r="J463" t="s">
        <v>22</v>
      </c>
      <c r="K463">
        <v>0.1</v>
      </c>
      <c r="L46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463">
        <f>GhanaStream[[#This Row],[Subscription Fee]]-(GhanaStream[[#This Row],[Discount]]*GhanaStream[[#This Row],[Subscription Fee]])</f>
        <v>4860</v>
      </c>
      <c r="N463" t="str">
        <f>IF(GhanaStream[[#This Row],[Churn Flag]]="Yes","Churned","Retained")</f>
        <v>Churned</v>
      </c>
    </row>
    <row r="464" spans="1:14" x14ac:dyDescent="0.25">
      <c r="A464" t="s">
        <v>502</v>
      </c>
      <c r="B464" s="1">
        <v>44987</v>
      </c>
      <c r="C464" t="s">
        <v>20</v>
      </c>
      <c r="D464" t="s">
        <v>27</v>
      </c>
      <c r="E464">
        <v>5400</v>
      </c>
      <c r="F464" t="s">
        <v>32</v>
      </c>
      <c r="G464" t="s">
        <v>24</v>
      </c>
      <c r="H464" t="s">
        <v>33</v>
      </c>
      <c r="I464" t="s">
        <v>34</v>
      </c>
      <c r="J464" t="s">
        <v>25</v>
      </c>
      <c r="K464">
        <v>0.1</v>
      </c>
      <c r="L46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464">
        <f>GhanaStream[[#This Row],[Subscription Fee]]-(GhanaStream[[#This Row],[Discount]]*GhanaStream[[#This Row],[Subscription Fee]])</f>
        <v>4860</v>
      </c>
      <c r="N464" t="str">
        <f>IF(GhanaStream[[#This Row],[Churn Flag]]="Yes","Churned","Retained")</f>
        <v>Retained</v>
      </c>
    </row>
    <row r="465" spans="1:14" x14ac:dyDescent="0.25">
      <c r="A465" t="s">
        <v>503</v>
      </c>
      <c r="B465" s="1">
        <v>44966</v>
      </c>
      <c r="C465" t="s">
        <v>31</v>
      </c>
      <c r="D465" t="s">
        <v>13</v>
      </c>
      <c r="E465">
        <v>1000</v>
      </c>
      <c r="F465" t="s">
        <v>14</v>
      </c>
      <c r="G465" t="s">
        <v>28</v>
      </c>
      <c r="H465" t="s">
        <v>33</v>
      </c>
      <c r="I465" t="s">
        <v>34</v>
      </c>
      <c r="J465" t="s">
        <v>18</v>
      </c>
      <c r="K465">
        <v>0</v>
      </c>
      <c r="L46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465">
        <f>GhanaStream[[#This Row],[Subscription Fee]]-(GhanaStream[[#This Row],[Discount]]*GhanaStream[[#This Row],[Subscription Fee]])</f>
        <v>1000</v>
      </c>
      <c r="N465" t="str">
        <f>IF(GhanaStream[[#This Row],[Churn Flag]]="Yes","Churned","Retained")</f>
        <v>Retained</v>
      </c>
    </row>
    <row r="466" spans="1:14" x14ac:dyDescent="0.25">
      <c r="A466" t="s">
        <v>504</v>
      </c>
      <c r="B466" s="1">
        <v>45181</v>
      </c>
      <c r="C466" t="s">
        <v>12</v>
      </c>
      <c r="D466" t="s">
        <v>13</v>
      </c>
      <c r="E466">
        <v>1500</v>
      </c>
      <c r="F466" t="s">
        <v>32</v>
      </c>
      <c r="G466" t="s">
        <v>28</v>
      </c>
      <c r="H466" t="s">
        <v>16</v>
      </c>
      <c r="I466" t="s">
        <v>17</v>
      </c>
      <c r="J466" t="s">
        <v>35</v>
      </c>
      <c r="K466">
        <v>0</v>
      </c>
      <c r="L46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466">
        <f>GhanaStream[[#This Row],[Subscription Fee]]-(GhanaStream[[#This Row],[Discount]]*GhanaStream[[#This Row],[Subscription Fee]])</f>
        <v>1500</v>
      </c>
      <c r="N466" t="str">
        <f>IF(GhanaStream[[#This Row],[Churn Flag]]="Yes","Churned","Retained")</f>
        <v>Churned</v>
      </c>
    </row>
    <row r="467" spans="1:14" x14ac:dyDescent="0.25">
      <c r="A467" t="s">
        <v>505</v>
      </c>
      <c r="B467" s="1">
        <v>45165</v>
      </c>
      <c r="C467" t="s">
        <v>31</v>
      </c>
      <c r="D467" t="s">
        <v>13</v>
      </c>
      <c r="E467">
        <v>1000</v>
      </c>
      <c r="F467" t="s">
        <v>49</v>
      </c>
      <c r="G467" t="s">
        <v>24</v>
      </c>
      <c r="H467" t="s">
        <v>16</v>
      </c>
      <c r="I467" t="s">
        <v>17</v>
      </c>
      <c r="J467" t="s">
        <v>18</v>
      </c>
      <c r="K467">
        <v>0</v>
      </c>
      <c r="L46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467">
        <f>GhanaStream[[#This Row],[Subscription Fee]]-(GhanaStream[[#This Row],[Discount]]*GhanaStream[[#This Row],[Subscription Fee]])</f>
        <v>1000</v>
      </c>
      <c r="N467" t="str">
        <f>IF(GhanaStream[[#This Row],[Churn Flag]]="Yes","Churned","Retained")</f>
        <v>Churned</v>
      </c>
    </row>
    <row r="468" spans="1:14" x14ac:dyDescent="0.25">
      <c r="A468" t="s">
        <v>506</v>
      </c>
      <c r="B468" s="1">
        <v>45128</v>
      </c>
      <c r="C468" t="s">
        <v>12</v>
      </c>
      <c r="D468" t="s">
        <v>13</v>
      </c>
      <c r="E468">
        <v>1500</v>
      </c>
      <c r="F468" t="s">
        <v>14</v>
      </c>
      <c r="G468" t="s">
        <v>28</v>
      </c>
      <c r="H468" t="s">
        <v>16</v>
      </c>
      <c r="I468" t="s">
        <v>17</v>
      </c>
      <c r="J468" t="s">
        <v>37</v>
      </c>
      <c r="K468">
        <v>0</v>
      </c>
      <c r="L46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468">
        <f>GhanaStream[[#This Row],[Subscription Fee]]-(GhanaStream[[#This Row],[Discount]]*GhanaStream[[#This Row],[Subscription Fee]])</f>
        <v>1500</v>
      </c>
      <c r="N468" t="str">
        <f>IF(GhanaStream[[#This Row],[Churn Flag]]="Yes","Churned","Retained")</f>
        <v>Churned</v>
      </c>
    </row>
    <row r="469" spans="1:14" x14ac:dyDescent="0.25">
      <c r="A469" t="s">
        <v>507</v>
      </c>
      <c r="B469" s="1">
        <v>45332</v>
      </c>
      <c r="C469" t="s">
        <v>12</v>
      </c>
      <c r="D469" t="s">
        <v>27</v>
      </c>
      <c r="E469">
        <v>16200</v>
      </c>
      <c r="F469" t="s">
        <v>21</v>
      </c>
      <c r="G469" t="s">
        <v>15</v>
      </c>
      <c r="H469" t="s">
        <v>16</v>
      </c>
      <c r="I469" t="s">
        <v>17</v>
      </c>
      <c r="J469" t="s">
        <v>29</v>
      </c>
      <c r="K469">
        <v>0.1</v>
      </c>
      <c r="L46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469">
        <f>GhanaStream[[#This Row],[Subscription Fee]]-(GhanaStream[[#This Row],[Discount]]*GhanaStream[[#This Row],[Subscription Fee]])</f>
        <v>14580</v>
      </c>
      <c r="N469" t="str">
        <f>IF(GhanaStream[[#This Row],[Churn Flag]]="Yes","Churned","Retained")</f>
        <v>Churned</v>
      </c>
    </row>
    <row r="470" spans="1:14" x14ac:dyDescent="0.25">
      <c r="A470" t="s">
        <v>508</v>
      </c>
      <c r="B470" s="1">
        <v>45343</v>
      </c>
      <c r="C470" t="s">
        <v>20</v>
      </c>
      <c r="D470" t="s">
        <v>13</v>
      </c>
      <c r="E470">
        <v>500</v>
      </c>
      <c r="F470" t="s">
        <v>32</v>
      </c>
      <c r="G470" t="s">
        <v>24</v>
      </c>
      <c r="H470" t="s">
        <v>16</v>
      </c>
      <c r="I470" t="s">
        <v>17</v>
      </c>
      <c r="J470" t="s">
        <v>35</v>
      </c>
      <c r="K470">
        <v>0</v>
      </c>
      <c r="L47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470">
        <f>GhanaStream[[#This Row],[Subscription Fee]]-(GhanaStream[[#This Row],[Discount]]*GhanaStream[[#This Row],[Subscription Fee]])</f>
        <v>500</v>
      </c>
      <c r="N470" t="str">
        <f>IF(GhanaStream[[#This Row],[Churn Flag]]="Yes","Churned","Retained")</f>
        <v>Churned</v>
      </c>
    </row>
    <row r="471" spans="1:14" x14ac:dyDescent="0.25">
      <c r="A471" t="s">
        <v>509</v>
      </c>
      <c r="B471" s="1">
        <v>45196</v>
      </c>
      <c r="C471" t="s">
        <v>20</v>
      </c>
      <c r="D471" t="s">
        <v>13</v>
      </c>
      <c r="E471">
        <v>500</v>
      </c>
      <c r="F471" t="s">
        <v>32</v>
      </c>
      <c r="G471" t="s">
        <v>24</v>
      </c>
      <c r="H471" t="s">
        <v>16</v>
      </c>
      <c r="I471" t="s">
        <v>17</v>
      </c>
      <c r="J471" t="s">
        <v>44</v>
      </c>
      <c r="K471">
        <v>0</v>
      </c>
      <c r="L47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471">
        <f>GhanaStream[[#This Row],[Subscription Fee]]-(GhanaStream[[#This Row],[Discount]]*GhanaStream[[#This Row],[Subscription Fee]])</f>
        <v>500</v>
      </c>
      <c r="N471" t="str">
        <f>IF(GhanaStream[[#This Row],[Churn Flag]]="Yes","Churned","Retained")</f>
        <v>Churned</v>
      </c>
    </row>
    <row r="472" spans="1:14" x14ac:dyDescent="0.25">
      <c r="A472" t="s">
        <v>510</v>
      </c>
      <c r="B472" s="1">
        <v>45417</v>
      </c>
      <c r="C472" t="s">
        <v>31</v>
      </c>
      <c r="D472" t="s">
        <v>27</v>
      </c>
      <c r="E472">
        <v>10800</v>
      </c>
      <c r="F472" t="s">
        <v>32</v>
      </c>
      <c r="G472" t="s">
        <v>24</v>
      </c>
      <c r="H472" t="s">
        <v>16</v>
      </c>
      <c r="I472" t="s">
        <v>17</v>
      </c>
      <c r="J472" t="s">
        <v>66</v>
      </c>
      <c r="K472">
        <v>0.1</v>
      </c>
      <c r="L47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472">
        <f>GhanaStream[[#This Row],[Subscription Fee]]-(GhanaStream[[#This Row],[Discount]]*GhanaStream[[#This Row],[Subscription Fee]])</f>
        <v>9720</v>
      </c>
      <c r="N472" t="str">
        <f>IF(GhanaStream[[#This Row],[Churn Flag]]="Yes","Churned","Retained")</f>
        <v>Churned</v>
      </c>
    </row>
    <row r="473" spans="1:14" x14ac:dyDescent="0.25">
      <c r="A473" t="s">
        <v>511</v>
      </c>
      <c r="B473" s="1">
        <v>45346</v>
      </c>
      <c r="C473" t="s">
        <v>12</v>
      </c>
      <c r="D473" t="s">
        <v>13</v>
      </c>
      <c r="E473">
        <v>1500</v>
      </c>
      <c r="F473" t="s">
        <v>21</v>
      </c>
      <c r="G473" t="s">
        <v>15</v>
      </c>
      <c r="H473" t="s">
        <v>16</v>
      </c>
      <c r="I473" t="s">
        <v>17</v>
      </c>
      <c r="J473" t="s">
        <v>25</v>
      </c>
      <c r="K473">
        <v>0</v>
      </c>
      <c r="L47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473">
        <f>GhanaStream[[#This Row],[Subscription Fee]]-(GhanaStream[[#This Row],[Discount]]*GhanaStream[[#This Row],[Subscription Fee]])</f>
        <v>1500</v>
      </c>
      <c r="N473" t="str">
        <f>IF(GhanaStream[[#This Row],[Churn Flag]]="Yes","Churned","Retained")</f>
        <v>Churned</v>
      </c>
    </row>
    <row r="474" spans="1:14" x14ac:dyDescent="0.25">
      <c r="A474" t="s">
        <v>512</v>
      </c>
      <c r="B474" s="1">
        <v>45144</v>
      </c>
      <c r="C474" t="s">
        <v>20</v>
      </c>
      <c r="D474" t="s">
        <v>27</v>
      </c>
      <c r="E474">
        <v>5400</v>
      </c>
      <c r="F474" t="s">
        <v>49</v>
      </c>
      <c r="G474" t="s">
        <v>28</v>
      </c>
      <c r="H474" t="s">
        <v>33</v>
      </c>
      <c r="I474" t="s">
        <v>34</v>
      </c>
      <c r="J474" t="s">
        <v>58</v>
      </c>
      <c r="K474">
        <v>0.1</v>
      </c>
      <c r="L47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474">
        <f>GhanaStream[[#This Row],[Subscription Fee]]-(GhanaStream[[#This Row],[Discount]]*GhanaStream[[#This Row],[Subscription Fee]])</f>
        <v>4860</v>
      </c>
      <c r="N474" t="str">
        <f>IF(GhanaStream[[#This Row],[Churn Flag]]="Yes","Churned","Retained")</f>
        <v>Retained</v>
      </c>
    </row>
    <row r="475" spans="1:14" x14ac:dyDescent="0.25">
      <c r="A475" t="s">
        <v>513</v>
      </c>
      <c r="B475" s="1">
        <v>45261</v>
      </c>
      <c r="C475" t="s">
        <v>20</v>
      </c>
      <c r="D475" t="s">
        <v>13</v>
      </c>
      <c r="E475">
        <v>500</v>
      </c>
      <c r="F475" t="s">
        <v>14</v>
      </c>
      <c r="G475" t="s">
        <v>28</v>
      </c>
      <c r="H475" t="s">
        <v>33</v>
      </c>
      <c r="I475" t="s">
        <v>34</v>
      </c>
      <c r="J475" t="s">
        <v>37</v>
      </c>
      <c r="K475">
        <v>0</v>
      </c>
      <c r="L47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475">
        <f>GhanaStream[[#This Row],[Subscription Fee]]-(GhanaStream[[#This Row],[Discount]]*GhanaStream[[#This Row],[Subscription Fee]])</f>
        <v>500</v>
      </c>
      <c r="N475" t="str">
        <f>IF(GhanaStream[[#This Row],[Churn Flag]]="Yes","Churned","Retained")</f>
        <v>Retained</v>
      </c>
    </row>
    <row r="476" spans="1:14" x14ac:dyDescent="0.25">
      <c r="A476" t="s">
        <v>514</v>
      </c>
      <c r="B476" s="1">
        <v>45232</v>
      </c>
      <c r="C476" t="s">
        <v>31</v>
      </c>
      <c r="D476" t="s">
        <v>27</v>
      </c>
      <c r="E476">
        <v>10800</v>
      </c>
      <c r="F476" t="s">
        <v>32</v>
      </c>
      <c r="G476" t="s">
        <v>15</v>
      </c>
      <c r="H476" t="s">
        <v>16</v>
      </c>
      <c r="I476" t="s">
        <v>17</v>
      </c>
      <c r="J476" t="s">
        <v>66</v>
      </c>
      <c r="K476">
        <v>0.1</v>
      </c>
      <c r="L47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476">
        <f>GhanaStream[[#This Row],[Subscription Fee]]-(GhanaStream[[#This Row],[Discount]]*GhanaStream[[#This Row],[Subscription Fee]])</f>
        <v>9720</v>
      </c>
      <c r="N476" t="str">
        <f>IF(GhanaStream[[#This Row],[Churn Flag]]="Yes","Churned","Retained")</f>
        <v>Churned</v>
      </c>
    </row>
    <row r="477" spans="1:14" x14ac:dyDescent="0.25">
      <c r="A477" t="s">
        <v>515</v>
      </c>
      <c r="B477" s="1">
        <v>45477</v>
      </c>
      <c r="C477" t="s">
        <v>12</v>
      </c>
      <c r="D477" t="s">
        <v>27</v>
      </c>
      <c r="E477">
        <v>16200</v>
      </c>
      <c r="F477" t="s">
        <v>14</v>
      </c>
      <c r="G477" t="s">
        <v>24</v>
      </c>
      <c r="H477" t="s">
        <v>33</v>
      </c>
      <c r="I477" t="s">
        <v>34</v>
      </c>
      <c r="J477" t="s">
        <v>41</v>
      </c>
      <c r="K477">
        <v>0.1</v>
      </c>
      <c r="L47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477">
        <f>GhanaStream[[#This Row],[Subscription Fee]]-(GhanaStream[[#This Row],[Discount]]*GhanaStream[[#This Row],[Subscription Fee]])</f>
        <v>14580</v>
      </c>
      <c r="N477" t="str">
        <f>IF(GhanaStream[[#This Row],[Churn Flag]]="Yes","Churned","Retained")</f>
        <v>Retained</v>
      </c>
    </row>
    <row r="478" spans="1:14" x14ac:dyDescent="0.25">
      <c r="A478" t="s">
        <v>516</v>
      </c>
      <c r="B478" s="1">
        <v>45465</v>
      </c>
      <c r="C478" t="s">
        <v>31</v>
      </c>
      <c r="D478" t="s">
        <v>13</v>
      </c>
      <c r="E478">
        <v>1000</v>
      </c>
      <c r="F478" t="s">
        <v>49</v>
      </c>
      <c r="G478" t="s">
        <v>24</v>
      </c>
      <c r="H478" t="s">
        <v>16</v>
      </c>
      <c r="I478" t="s">
        <v>17</v>
      </c>
      <c r="J478" t="s">
        <v>35</v>
      </c>
      <c r="K478">
        <v>0</v>
      </c>
      <c r="L47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478">
        <f>GhanaStream[[#This Row],[Subscription Fee]]-(GhanaStream[[#This Row],[Discount]]*GhanaStream[[#This Row],[Subscription Fee]])</f>
        <v>1000</v>
      </c>
      <c r="N478" t="str">
        <f>IF(GhanaStream[[#This Row],[Churn Flag]]="Yes","Churned","Retained")</f>
        <v>Churned</v>
      </c>
    </row>
    <row r="479" spans="1:14" x14ac:dyDescent="0.25">
      <c r="A479" t="s">
        <v>517</v>
      </c>
      <c r="B479" s="1">
        <v>45032</v>
      </c>
      <c r="C479" t="s">
        <v>20</v>
      </c>
      <c r="D479" t="s">
        <v>27</v>
      </c>
      <c r="E479">
        <v>5400</v>
      </c>
      <c r="F479" t="s">
        <v>49</v>
      </c>
      <c r="G479" t="s">
        <v>24</v>
      </c>
      <c r="H479" t="s">
        <v>33</v>
      </c>
      <c r="I479" t="s">
        <v>34</v>
      </c>
      <c r="J479" t="s">
        <v>18</v>
      </c>
      <c r="K479">
        <v>0.1</v>
      </c>
      <c r="L47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479">
        <f>GhanaStream[[#This Row],[Subscription Fee]]-(GhanaStream[[#This Row],[Discount]]*GhanaStream[[#This Row],[Subscription Fee]])</f>
        <v>4860</v>
      </c>
      <c r="N479" t="str">
        <f>IF(GhanaStream[[#This Row],[Churn Flag]]="Yes","Churned","Retained")</f>
        <v>Retained</v>
      </c>
    </row>
    <row r="480" spans="1:14" x14ac:dyDescent="0.25">
      <c r="A480" t="s">
        <v>518</v>
      </c>
      <c r="B480" s="1">
        <v>44940</v>
      </c>
      <c r="C480" t="s">
        <v>31</v>
      </c>
      <c r="D480" t="s">
        <v>13</v>
      </c>
      <c r="E480">
        <v>1000</v>
      </c>
      <c r="F480" t="s">
        <v>32</v>
      </c>
      <c r="G480" t="s">
        <v>24</v>
      </c>
      <c r="H480" t="s">
        <v>33</v>
      </c>
      <c r="I480" t="s">
        <v>34</v>
      </c>
      <c r="J480" t="s">
        <v>35</v>
      </c>
      <c r="K480">
        <v>0</v>
      </c>
      <c r="L48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480">
        <f>GhanaStream[[#This Row],[Subscription Fee]]-(GhanaStream[[#This Row],[Discount]]*GhanaStream[[#This Row],[Subscription Fee]])</f>
        <v>1000</v>
      </c>
      <c r="N480" t="str">
        <f>IF(GhanaStream[[#This Row],[Churn Flag]]="Yes","Churned","Retained")</f>
        <v>Retained</v>
      </c>
    </row>
    <row r="481" spans="1:14" x14ac:dyDescent="0.25">
      <c r="A481" t="s">
        <v>519</v>
      </c>
      <c r="B481" s="1">
        <v>45098</v>
      </c>
      <c r="C481" t="s">
        <v>12</v>
      </c>
      <c r="D481" t="s">
        <v>13</v>
      </c>
      <c r="E481">
        <v>1500</v>
      </c>
      <c r="F481" t="s">
        <v>21</v>
      </c>
      <c r="G481" t="s">
        <v>15</v>
      </c>
      <c r="H481" t="s">
        <v>16</v>
      </c>
      <c r="I481" t="s">
        <v>17</v>
      </c>
      <c r="J481" t="s">
        <v>29</v>
      </c>
      <c r="K481">
        <v>0</v>
      </c>
      <c r="L48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481">
        <f>GhanaStream[[#This Row],[Subscription Fee]]-(GhanaStream[[#This Row],[Discount]]*GhanaStream[[#This Row],[Subscription Fee]])</f>
        <v>1500</v>
      </c>
      <c r="N481" t="str">
        <f>IF(GhanaStream[[#This Row],[Churn Flag]]="Yes","Churned","Retained")</f>
        <v>Churned</v>
      </c>
    </row>
    <row r="482" spans="1:14" x14ac:dyDescent="0.25">
      <c r="A482" t="s">
        <v>520</v>
      </c>
      <c r="B482" s="1">
        <v>45476</v>
      </c>
      <c r="C482" t="s">
        <v>20</v>
      </c>
      <c r="D482" t="s">
        <v>27</v>
      </c>
      <c r="E482">
        <v>5400</v>
      </c>
      <c r="F482" t="s">
        <v>14</v>
      </c>
      <c r="G482" t="s">
        <v>24</v>
      </c>
      <c r="H482" t="s">
        <v>16</v>
      </c>
      <c r="I482" t="s">
        <v>17</v>
      </c>
      <c r="J482" t="s">
        <v>41</v>
      </c>
      <c r="K482">
        <v>0.1</v>
      </c>
      <c r="L48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482">
        <f>GhanaStream[[#This Row],[Subscription Fee]]-(GhanaStream[[#This Row],[Discount]]*GhanaStream[[#This Row],[Subscription Fee]])</f>
        <v>4860</v>
      </c>
      <c r="N482" t="str">
        <f>IF(GhanaStream[[#This Row],[Churn Flag]]="Yes","Churned","Retained")</f>
        <v>Churned</v>
      </c>
    </row>
    <row r="483" spans="1:14" x14ac:dyDescent="0.25">
      <c r="A483" t="s">
        <v>521</v>
      </c>
      <c r="B483" s="1">
        <v>45118</v>
      </c>
      <c r="C483" t="s">
        <v>31</v>
      </c>
      <c r="D483" t="s">
        <v>27</v>
      </c>
      <c r="E483">
        <v>10800</v>
      </c>
      <c r="F483" t="s">
        <v>49</v>
      </c>
      <c r="G483" t="s">
        <v>15</v>
      </c>
      <c r="H483" t="s">
        <v>16</v>
      </c>
      <c r="I483" t="s">
        <v>17</v>
      </c>
      <c r="J483" t="s">
        <v>35</v>
      </c>
      <c r="K483">
        <v>0.1</v>
      </c>
      <c r="L48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483">
        <f>GhanaStream[[#This Row],[Subscription Fee]]-(GhanaStream[[#This Row],[Discount]]*GhanaStream[[#This Row],[Subscription Fee]])</f>
        <v>9720</v>
      </c>
      <c r="N483" t="str">
        <f>IF(GhanaStream[[#This Row],[Churn Flag]]="Yes","Churned","Retained")</f>
        <v>Churned</v>
      </c>
    </row>
    <row r="484" spans="1:14" x14ac:dyDescent="0.25">
      <c r="A484" t="s">
        <v>522</v>
      </c>
      <c r="B484" s="1">
        <v>45068</v>
      </c>
      <c r="C484" t="s">
        <v>12</v>
      </c>
      <c r="D484" t="s">
        <v>13</v>
      </c>
      <c r="E484">
        <v>1500</v>
      </c>
      <c r="F484" t="s">
        <v>14</v>
      </c>
      <c r="G484" t="s">
        <v>15</v>
      </c>
      <c r="H484" t="s">
        <v>16</v>
      </c>
      <c r="I484" t="s">
        <v>17</v>
      </c>
      <c r="J484" t="s">
        <v>37</v>
      </c>
      <c r="K484">
        <v>0</v>
      </c>
      <c r="L48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484">
        <f>GhanaStream[[#This Row],[Subscription Fee]]-(GhanaStream[[#This Row],[Discount]]*GhanaStream[[#This Row],[Subscription Fee]])</f>
        <v>1500</v>
      </c>
      <c r="N484" t="str">
        <f>IF(GhanaStream[[#This Row],[Churn Flag]]="Yes","Churned","Retained")</f>
        <v>Churned</v>
      </c>
    </row>
    <row r="485" spans="1:14" x14ac:dyDescent="0.25">
      <c r="A485" t="s">
        <v>523</v>
      </c>
      <c r="B485" s="1">
        <v>44991</v>
      </c>
      <c r="C485" t="s">
        <v>20</v>
      </c>
      <c r="D485" t="s">
        <v>13</v>
      </c>
      <c r="E485">
        <v>500</v>
      </c>
      <c r="F485" t="s">
        <v>49</v>
      </c>
      <c r="G485" t="s">
        <v>15</v>
      </c>
      <c r="H485" t="s">
        <v>16</v>
      </c>
      <c r="I485" t="s">
        <v>17</v>
      </c>
      <c r="J485" t="s">
        <v>58</v>
      </c>
      <c r="K485">
        <v>0</v>
      </c>
      <c r="L48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485">
        <f>GhanaStream[[#This Row],[Subscription Fee]]-(GhanaStream[[#This Row],[Discount]]*GhanaStream[[#This Row],[Subscription Fee]])</f>
        <v>500</v>
      </c>
      <c r="N485" t="str">
        <f>IF(GhanaStream[[#This Row],[Churn Flag]]="Yes","Churned","Retained")</f>
        <v>Churned</v>
      </c>
    </row>
    <row r="486" spans="1:14" x14ac:dyDescent="0.25">
      <c r="A486" t="s">
        <v>524</v>
      </c>
      <c r="B486" s="1">
        <v>45623</v>
      </c>
      <c r="C486" t="s">
        <v>12</v>
      </c>
      <c r="D486" t="s">
        <v>27</v>
      </c>
      <c r="E486">
        <v>16200</v>
      </c>
      <c r="F486" t="s">
        <v>14</v>
      </c>
      <c r="G486" t="s">
        <v>24</v>
      </c>
      <c r="H486" t="s">
        <v>16</v>
      </c>
      <c r="I486" t="s">
        <v>17</v>
      </c>
      <c r="J486" t="s">
        <v>55</v>
      </c>
      <c r="K486">
        <v>0.1</v>
      </c>
      <c r="L48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486">
        <f>GhanaStream[[#This Row],[Subscription Fee]]-(GhanaStream[[#This Row],[Discount]]*GhanaStream[[#This Row],[Subscription Fee]])</f>
        <v>14580</v>
      </c>
      <c r="N486" t="str">
        <f>IF(GhanaStream[[#This Row],[Churn Flag]]="Yes","Churned","Retained")</f>
        <v>Churned</v>
      </c>
    </row>
    <row r="487" spans="1:14" x14ac:dyDescent="0.25">
      <c r="A487" t="s">
        <v>525</v>
      </c>
      <c r="B487" s="1">
        <v>45128</v>
      </c>
      <c r="C487" t="s">
        <v>12</v>
      </c>
      <c r="D487" t="s">
        <v>13</v>
      </c>
      <c r="E487">
        <v>1500</v>
      </c>
      <c r="F487" t="s">
        <v>32</v>
      </c>
      <c r="G487" t="s">
        <v>28</v>
      </c>
      <c r="H487" t="s">
        <v>16</v>
      </c>
      <c r="I487" t="s">
        <v>17</v>
      </c>
      <c r="J487" t="s">
        <v>25</v>
      </c>
      <c r="K487">
        <v>0</v>
      </c>
      <c r="L48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487">
        <f>GhanaStream[[#This Row],[Subscription Fee]]-(GhanaStream[[#This Row],[Discount]]*GhanaStream[[#This Row],[Subscription Fee]])</f>
        <v>1500</v>
      </c>
      <c r="N487" t="str">
        <f>IF(GhanaStream[[#This Row],[Churn Flag]]="Yes","Churned","Retained")</f>
        <v>Churned</v>
      </c>
    </row>
    <row r="488" spans="1:14" x14ac:dyDescent="0.25">
      <c r="A488" t="s">
        <v>526</v>
      </c>
      <c r="B488" s="1">
        <v>45228</v>
      </c>
      <c r="C488" t="s">
        <v>20</v>
      </c>
      <c r="D488" t="s">
        <v>13</v>
      </c>
      <c r="E488">
        <v>500</v>
      </c>
      <c r="F488" t="s">
        <v>49</v>
      </c>
      <c r="G488" t="s">
        <v>15</v>
      </c>
      <c r="H488" t="s">
        <v>16</v>
      </c>
      <c r="I488" t="s">
        <v>17</v>
      </c>
      <c r="J488" t="s">
        <v>25</v>
      </c>
      <c r="K488">
        <v>0</v>
      </c>
      <c r="L48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488">
        <f>GhanaStream[[#This Row],[Subscription Fee]]-(GhanaStream[[#This Row],[Discount]]*GhanaStream[[#This Row],[Subscription Fee]])</f>
        <v>500</v>
      </c>
      <c r="N488" t="str">
        <f>IF(GhanaStream[[#This Row],[Churn Flag]]="Yes","Churned","Retained")</f>
        <v>Churned</v>
      </c>
    </row>
    <row r="489" spans="1:14" x14ac:dyDescent="0.25">
      <c r="A489" t="s">
        <v>527</v>
      </c>
      <c r="B489" s="1">
        <v>45206</v>
      </c>
      <c r="C489" t="s">
        <v>31</v>
      </c>
      <c r="D489" t="s">
        <v>27</v>
      </c>
      <c r="E489">
        <v>10800</v>
      </c>
      <c r="F489" t="s">
        <v>14</v>
      </c>
      <c r="G489" t="s">
        <v>15</v>
      </c>
      <c r="H489" t="s">
        <v>16</v>
      </c>
      <c r="I489" t="s">
        <v>17</v>
      </c>
      <c r="J489" t="s">
        <v>22</v>
      </c>
      <c r="K489">
        <v>0.1</v>
      </c>
      <c r="L48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489">
        <f>GhanaStream[[#This Row],[Subscription Fee]]-(GhanaStream[[#This Row],[Discount]]*GhanaStream[[#This Row],[Subscription Fee]])</f>
        <v>9720</v>
      </c>
      <c r="N489" t="str">
        <f>IF(GhanaStream[[#This Row],[Churn Flag]]="Yes","Churned","Retained")</f>
        <v>Churned</v>
      </c>
    </row>
    <row r="490" spans="1:14" x14ac:dyDescent="0.25">
      <c r="A490" t="s">
        <v>528</v>
      </c>
      <c r="B490" s="1">
        <v>44979</v>
      </c>
      <c r="C490" t="s">
        <v>12</v>
      </c>
      <c r="D490" t="s">
        <v>13</v>
      </c>
      <c r="E490">
        <v>1500</v>
      </c>
      <c r="F490" t="s">
        <v>32</v>
      </c>
      <c r="G490" t="s">
        <v>24</v>
      </c>
      <c r="H490" t="s">
        <v>33</v>
      </c>
      <c r="I490" t="s">
        <v>34</v>
      </c>
      <c r="J490" t="s">
        <v>39</v>
      </c>
      <c r="K490">
        <v>0</v>
      </c>
      <c r="L49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490">
        <f>GhanaStream[[#This Row],[Subscription Fee]]-(GhanaStream[[#This Row],[Discount]]*GhanaStream[[#This Row],[Subscription Fee]])</f>
        <v>1500</v>
      </c>
      <c r="N490" t="str">
        <f>IF(GhanaStream[[#This Row],[Churn Flag]]="Yes","Churned","Retained")</f>
        <v>Retained</v>
      </c>
    </row>
    <row r="491" spans="1:14" x14ac:dyDescent="0.25">
      <c r="A491" t="s">
        <v>529</v>
      </c>
      <c r="B491" s="1">
        <v>45084</v>
      </c>
      <c r="C491" t="s">
        <v>12</v>
      </c>
      <c r="D491" t="s">
        <v>13</v>
      </c>
      <c r="E491">
        <v>1500</v>
      </c>
      <c r="F491" t="s">
        <v>49</v>
      </c>
      <c r="G491" t="s">
        <v>24</v>
      </c>
      <c r="H491" t="s">
        <v>33</v>
      </c>
      <c r="I491" t="s">
        <v>34</v>
      </c>
      <c r="J491" t="s">
        <v>50</v>
      </c>
      <c r="K491">
        <v>0</v>
      </c>
      <c r="L49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491">
        <f>GhanaStream[[#This Row],[Subscription Fee]]-(GhanaStream[[#This Row],[Discount]]*GhanaStream[[#This Row],[Subscription Fee]])</f>
        <v>1500</v>
      </c>
      <c r="N491" t="str">
        <f>IF(GhanaStream[[#This Row],[Churn Flag]]="Yes","Churned","Retained")</f>
        <v>Retained</v>
      </c>
    </row>
    <row r="492" spans="1:14" x14ac:dyDescent="0.25">
      <c r="A492" t="s">
        <v>530</v>
      </c>
      <c r="B492" s="1">
        <v>45176</v>
      </c>
      <c r="C492" t="s">
        <v>12</v>
      </c>
      <c r="D492" t="s">
        <v>13</v>
      </c>
      <c r="E492">
        <v>1500</v>
      </c>
      <c r="F492" t="s">
        <v>21</v>
      </c>
      <c r="G492" t="s">
        <v>24</v>
      </c>
      <c r="H492" t="s">
        <v>33</v>
      </c>
      <c r="I492" t="s">
        <v>34</v>
      </c>
      <c r="J492" t="s">
        <v>22</v>
      </c>
      <c r="K492">
        <v>0</v>
      </c>
      <c r="L49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492">
        <f>GhanaStream[[#This Row],[Subscription Fee]]-(GhanaStream[[#This Row],[Discount]]*GhanaStream[[#This Row],[Subscription Fee]])</f>
        <v>1500</v>
      </c>
      <c r="N492" t="str">
        <f>IF(GhanaStream[[#This Row],[Churn Flag]]="Yes","Churned","Retained")</f>
        <v>Retained</v>
      </c>
    </row>
    <row r="493" spans="1:14" x14ac:dyDescent="0.25">
      <c r="A493" t="s">
        <v>531</v>
      </c>
      <c r="B493" s="1">
        <v>45524</v>
      </c>
      <c r="C493" t="s">
        <v>12</v>
      </c>
      <c r="D493" t="s">
        <v>27</v>
      </c>
      <c r="E493">
        <v>16200</v>
      </c>
      <c r="F493" t="s">
        <v>21</v>
      </c>
      <c r="G493" t="s">
        <v>28</v>
      </c>
      <c r="H493" t="s">
        <v>16</v>
      </c>
      <c r="I493" t="s">
        <v>17</v>
      </c>
      <c r="J493" t="s">
        <v>22</v>
      </c>
      <c r="K493">
        <v>0.1</v>
      </c>
      <c r="L49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493">
        <f>GhanaStream[[#This Row],[Subscription Fee]]-(GhanaStream[[#This Row],[Discount]]*GhanaStream[[#This Row],[Subscription Fee]])</f>
        <v>14580</v>
      </c>
      <c r="N493" t="str">
        <f>IF(GhanaStream[[#This Row],[Churn Flag]]="Yes","Churned","Retained")</f>
        <v>Churned</v>
      </c>
    </row>
    <row r="494" spans="1:14" x14ac:dyDescent="0.25">
      <c r="A494" t="s">
        <v>532</v>
      </c>
      <c r="B494" s="1">
        <v>45143</v>
      </c>
      <c r="C494" t="s">
        <v>31</v>
      </c>
      <c r="D494" t="s">
        <v>13</v>
      </c>
      <c r="E494">
        <v>1000</v>
      </c>
      <c r="F494" t="s">
        <v>21</v>
      </c>
      <c r="G494" t="s">
        <v>28</v>
      </c>
      <c r="H494" t="s">
        <v>33</v>
      </c>
      <c r="I494" t="s">
        <v>34</v>
      </c>
      <c r="J494" t="s">
        <v>18</v>
      </c>
      <c r="K494">
        <v>0</v>
      </c>
      <c r="L49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494">
        <f>GhanaStream[[#This Row],[Subscription Fee]]-(GhanaStream[[#This Row],[Discount]]*GhanaStream[[#This Row],[Subscription Fee]])</f>
        <v>1000</v>
      </c>
      <c r="N494" t="str">
        <f>IF(GhanaStream[[#This Row],[Churn Flag]]="Yes","Churned","Retained")</f>
        <v>Retained</v>
      </c>
    </row>
    <row r="495" spans="1:14" x14ac:dyDescent="0.25">
      <c r="A495" t="s">
        <v>533</v>
      </c>
      <c r="B495" s="1">
        <v>45283</v>
      </c>
      <c r="C495" t="s">
        <v>12</v>
      </c>
      <c r="D495" t="s">
        <v>13</v>
      </c>
      <c r="E495">
        <v>1500</v>
      </c>
      <c r="F495" t="s">
        <v>21</v>
      </c>
      <c r="G495" t="s">
        <v>28</v>
      </c>
      <c r="H495" t="s">
        <v>33</v>
      </c>
      <c r="I495" t="s">
        <v>34</v>
      </c>
      <c r="J495" t="s">
        <v>29</v>
      </c>
      <c r="K495">
        <v>0</v>
      </c>
      <c r="L49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495">
        <f>GhanaStream[[#This Row],[Subscription Fee]]-(GhanaStream[[#This Row],[Discount]]*GhanaStream[[#This Row],[Subscription Fee]])</f>
        <v>1500</v>
      </c>
      <c r="N495" t="str">
        <f>IF(GhanaStream[[#This Row],[Churn Flag]]="Yes","Churned","Retained")</f>
        <v>Retained</v>
      </c>
    </row>
    <row r="496" spans="1:14" x14ac:dyDescent="0.25">
      <c r="A496" t="s">
        <v>534</v>
      </c>
      <c r="B496" s="1">
        <v>45443</v>
      </c>
      <c r="C496" t="s">
        <v>12</v>
      </c>
      <c r="D496" t="s">
        <v>13</v>
      </c>
      <c r="E496">
        <v>1500</v>
      </c>
      <c r="F496" t="s">
        <v>32</v>
      </c>
      <c r="G496" t="s">
        <v>24</v>
      </c>
      <c r="H496" t="s">
        <v>33</v>
      </c>
      <c r="I496" t="s">
        <v>34</v>
      </c>
      <c r="J496" t="s">
        <v>35</v>
      </c>
      <c r="K496">
        <v>0</v>
      </c>
      <c r="L49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496">
        <f>GhanaStream[[#This Row],[Subscription Fee]]-(GhanaStream[[#This Row],[Discount]]*GhanaStream[[#This Row],[Subscription Fee]])</f>
        <v>1500</v>
      </c>
      <c r="N496" t="str">
        <f>IF(GhanaStream[[#This Row],[Churn Flag]]="Yes","Churned","Retained")</f>
        <v>Retained</v>
      </c>
    </row>
    <row r="497" spans="1:14" x14ac:dyDescent="0.25">
      <c r="A497" t="s">
        <v>535</v>
      </c>
      <c r="B497" s="1">
        <v>45094</v>
      </c>
      <c r="C497" t="s">
        <v>31</v>
      </c>
      <c r="D497" t="s">
        <v>27</v>
      </c>
      <c r="E497">
        <v>10800</v>
      </c>
      <c r="F497" t="s">
        <v>32</v>
      </c>
      <c r="G497" t="s">
        <v>28</v>
      </c>
      <c r="H497" t="s">
        <v>33</v>
      </c>
      <c r="I497" t="s">
        <v>34</v>
      </c>
      <c r="J497" t="s">
        <v>44</v>
      </c>
      <c r="K497">
        <v>0.1</v>
      </c>
      <c r="L49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497">
        <f>GhanaStream[[#This Row],[Subscription Fee]]-(GhanaStream[[#This Row],[Discount]]*GhanaStream[[#This Row],[Subscription Fee]])</f>
        <v>9720</v>
      </c>
      <c r="N497" t="str">
        <f>IF(GhanaStream[[#This Row],[Churn Flag]]="Yes","Churned","Retained")</f>
        <v>Retained</v>
      </c>
    </row>
    <row r="498" spans="1:14" x14ac:dyDescent="0.25">
      <c r="A498" t="s">
        <v>536</v>
      </c>
      <c r="B498" s="1">
        <v>45208</v>
      </c>
      <c r="C498" t="s">
        <v>12</v>
      </c>
      <c r="D498" t="s">
        <v>27</v>
      </c>
      <c r="E498">
        <v>16200</v>
      </c>
      <c r="F498" t="s">
        <v>49</v>
      </c>
      <c r="G498" t="s">
        <v>24</v>
      </c>
      <c r="H498" t="s">
        <v>33</v>
      </c>
      <c r="I498" t="s">
        <v>34</v>
      </c>
      <c r="J498" t="s">
        <v>58</v>
      </c>
      <c r="K498">
        <v>0.1</v>
      </c>
      <c r="L49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498">
        <f>GhanaStream[[#This Row],[Subscription Fee]]-(GhanaStream[[#This Row],[Discount]]*GhanaStream[[#This Row],[Subscription Fee]])</f>
        <v>14580</v>
      </c>
      <c r="N498" t="str">
        <f>IF(GhanaStream[[#This Row],[Churn Flag]]="Yes","Churned","Retained")</f>
        <v>Retained</v>
      </c>
    </row>
    <row r="499" spans="1:14" x14ac:dyDescent="0.25">
      <c r="A499" t="s">
        <v>537</v>
      </c>
      <c r="B499" s="1">
        <v>45164</v>
      </c>
      <c r="C499" t="s">
        <v>31</v>
      </c>
      <c r="D499" t="s">
        <v>27</v>
      </c>
      <c r="E499">
        <v>10800</v>
      </c>
      <c r="F499" t="s">
        <v>32</v>
      </c>
      <c r="G499" t="s">
        <v>28</v>
      </c>
      <c r="H499" t="s">
        <v>16</v>
      </c>
      <c r="I499" t="s">
        <v>17</v>
      </c>
      <c r="J499" t="s">
        <v>25</v>
      </c>
      <c r="K499">
        <v>0.1</v>
      </c>
      <c r="L49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499">
        <f>GhanaStream[[#This Row],[Subscription Fee]]-(GhanaStream[[#This Row],[Discount]]*GhanaStream[[#This Row],[Subscription Fee]])</f>
        <v>9720</v>
      </c>
      <c r="N499" t="str">
        <f>IF(GhanaStream[[#This Row],[Churn Flag]]="Yes","Churned","Retained")</f>
        <v>Churned</v>
      </c>
    </row>
    <row r="500" spans="1:14" x14ac:dyDescent="0.25">
      <c r="A500" t="s">
        <v>538</v>
      </c>
      <c r="B500" s="1">
        <v>45322</v>
      </c>
      <c r="C500" t="s">
        <v>31</v>
      </c>
      <c r="D500" t="s">
        <v>27</v>
      </c>
      <c r="E500">
        <v>10800</v>
      </c>
      <c r="F500" t="s">
        <v>32</v>
      </c>
      <c r="G500" t="s">
        <v>28</v>
      </c>
      <c r="H500" t="s">
        <v>16</v>
      </c>
      <c r="I500" t="s">
        <v>17</v>
      </c>
      <c r="J500" t="s">
        <v>25</v>
      </c>
      <c r="K500">
        <v>0.1</v>
      </c>
      <c r="L50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500">
        <f>GhanaStream[[#This Row],[Subscription Fee]]-(GhanaStream[[#This Row],[Discount]]*GhanaStream[[#This Row],[Subscription Fee]])</f>
        <v>9720</v>
      </c>
      <c r="N500" t="str">
        <f>IF(GhanaStream[[#This Row],[Churn Flag]]="Yes","Churned","Retained")</f>
        <v>Churned</v>
      </c>
    </row>
    <row r="501" spans="1:14" x14ac:dyDescent="0.25">
      <c r="A501" t="s">
        <v>539</v>
      </c>
      <c r="B501" s="1">
        <v>45184</v>
      </c>
      <c r="C501" t="s">
        <v>20</v>
      </c>
      <c r="D501" t="s">
        <v>27</v>
      </c>
      <c r="E501">
        <v>5400</v>
      </c>
      <c r="F501" t="s">
        <v>21</v>
      </c>
      <c r="G501" t="s">
        <v>24</v>
      </c>
      <c r="H501" t="s">
        <v>33</v>
      </c>
      <c r="I501" t="s">
        <v>34</v>
      </c>
      <c r="J501" t="s">
        <v>25</v>
      </c>
      <c r="K501">
        <v>0.1</v>
      </c>
      <c r="L50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501">
        <f>GhanaStream[[#This Row],[Subscription Fee]]-(GhanaStream[[#This Row],[Discount]]*GhanaStream[[#This Row],[Subscription Fee]])</f>
        <v>4860</v>
      </c>
      <c r="N501" t="str">
        <f>IF(GhanaStream[[#This Row],[Churn Flag]]="Yes","Churned","Retained")</f>
        <v>Retained</v>
      </c>
    </row>
    <row r="502" spans="1:14" x14ac:dyDescent="0.25">
      <c r="A502" t="s">
        <v>540</v>
      </c>
      <c r="B502" s="1">
        <v>45273</v>
      </c>
      <c r="C502" t="s">
        <v>20</v>
      </c>
      <c r="D502" t="s">
        <v>27</v>
      </c>
      <c r="E502">
        <v>5400</v>
      </c>
      <c r="F502" t="s">
        <v>32</v>
      </c>
      <c r="G502" t="s">
        <v>28</v>
      </c>
      <c r="H502" t="s">
        <v>16</v>
      </c>
      <c r="I502" t="s">
        <v>17</v>
      </c>
      <c r="J502" t="s">
        <v>44</v>
      </c>
      <c r="K502">
        <v>0.1</v>
      </c>
      <c r="L50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502">
        <f>GhanaStream[[#This Row],[Subscription Fee]]-(GhanaStream[[#This Row],[Discount]]*GhanaStream[[#This Row],[Subscription Fee]])</f>
        <v>4860</v>
      </c>
      <c r="N502" t="str">
        <f>IF(GhanaStream[[#This Row],[Churn Flag]]="Yes","Churned","Retained")</f>
        <v>Churned</v>
      </c>
    </row>
    <row r="503" spans="1:14" x14ac:dyDescent="0.25">
      <c r="A503" t="s">
        <v>541</v>
      </c>
      <c r="B503" s="1">
        <v>45655</v>
      </c>
      <c r="C503" t="s">
        <v>31</v>
      </c>
      <c r="D503" t="s">
        <v>27</v>
      </c>
      <c r="E503">
        <v>10800</v>
      </c>
      <c r="F503" t="s">
        <v>14</v>
      </c>
      <c r="G503" t="s">
        <v>15</v>
      </c>
      <c r="H503" t="s">
        <v>16</v>
      </c>
      <c r="I503" t="s">
        <v>17</v>
      </c>
      <c r="J503" t="s">
        <v>55</v>
      </c>
      <c r="K503">
        <v>0.1</v>
      </c>
      <c r="L50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503">
        <f>GhanaStream[[#This Row],[Subscription Fee]]-(GhanaStream[[#This Row],[Discount]]*GhanaStream[[#This Row],[Subscription Fee]])</f>
        <v>9720</v>
      </c>
      <c r="N503" t="str">
        <f>IF(GhanaStream[[#This Row],[Churn Flag]]="Yes","Churned","Retained")</f>
        <v>Churned</v>
      </c>
    </row>
    <row r="504" spans="1:14" x14ac:dyDescent="0.25">
      <c r="A504" t="s">
        <v>542</v>
      </c>
      <c r="B504" s="1">
        <v>45228</v>
      </c>
      <c r="C504" t="s">
        <v>31</v>
      </c>
      <c r="D504" t="s">
        <v>27</v>
      </c>
      <c r="E504">
        <v>10800</v>
      </c>
      <c r="F504" t="s">
        <v>32</v>
      </c>
      <c r="G504" t="s">
        <v>24</v>
      </c>
      <c r="H504" t="s">
        <v>33</v>
      </c>
      <c r="I504" t="s">
        <v>34</v>
      </c>
      <c r="J504" t="s">
        <v>35</v>
      </c>
      <c r="K504">
        <v>0.1</v>
      </c>
      <c r="L50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504">
        <f>GhanaStream[[#This Row],[Subscription Fee]]-(GhanaStream[[#This Row],[Discount]]*GhanaStream[[#This Row],[Subscription Fee]])</f>
        <v>9720</v>
      </c>
      <c r="N504" t="str">
        <f>IF(GhanaStream[[#This Row],[Churn Flag]]="Yes","Churned","Retained")</f>
        <v>Retained</v>
      </c>
    </row>
    <row r="505" spans="1:14" x14ac:dyDescent="0.25">
      <c r="A505" t="s">
        <v>543</v>
      </c>
      <c r="B505" s="1">
        <v>45074</v>
      </c>
      <c r="C505" t="s">
        <v>12</v>
      </c>
      <c r="D505" t="s">
        <v>27</v>
      </c>
      <c r="E505">
        <v>16200</v>
      </c>
      <c r="F505" t="s">
        <v>21</v>
      </c>
      <c r="G505" t="s">
        <v>28</v>
      </c>
      <c r="H505" t="s">
        <v>16</v>
      </c>
      <c r="I505" t="s">
        <v>17</v>
      </c>
      <c r="J505" t="s">
        <v>18</v>
      </c>
      <c r="K505">
        <v>0.1</v>
      </c>
      <c r="L50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505">
        <f>GhanaStream[[#This Row],[Subscription Fee]]-(GhanaStream[[#This Row],[Discount]]*GhanaStream[[#This Row],[Subscription Fee]])</f>
        <v>14580</v>
      </c>
      <c r="N505" t="str">
        <f>IF(GhanaStream[[#This Row],[Churn Flag]]="Yes","Churned","Retained")</f>
        <v>Churned</v>
      </c>
    </row>
    <row r="506" spans="1:14" x14ac:dyDescent="0.25">
      <c r="A506" t="s">
        <v>544</v>
      </c>
      <c r="B506" s="1">
        <v>45617</v>
      </c>
      <c r="C506" t="s">
        <v>20</v>
      </c>
      <c r="D506" t="s">
        <v>13</v>
      </c>
      <c r="E506">
        <v>500</v>
      </c>
      <c r="F506" t="s">
        <v>32</v>
      </c>
      <c r="G506" t="s">
        <v>24</v>
      </c>
      <c r="H506" t="s">
        <v>33</v>
      </c>
      <c r="I506" t="s">
        <v>34</v>
      </c>
      <c r="J506" t="s">
        <v>25</v>
      </c>
      <c r="K506">
        <v>0</v>
      </c>
      <c r="L50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506">
        <f>GhanaStream[[#This Row],[Subscription Fee]]-(GhanaStream[[#This Row],[Discount]]*GhanaStream[[#This Row],[Subscription Fee]])</f>
        <v>500</v>
      </c>
      <c r="N506" t="str">
        <f>IF(GhanaStream[[#This Row],[Churn Flag]]="Yes","Churned","Retained")</f>
        <v>Retained</v>
      </c>
    </row>
    <row r="507" spans="1:14" x14ac:dyDescent="0.25">
      <c r="A507" t="s">
        <v>545</v>
      </c>
      <c r="B507" s="1">
        <v>45180</v>
      </c>
      <c r="C507" t="s">
        <v>12</v>
      </c>
      <c r="D507" t="s">
        <v>27</v>
      </c>
      <c r="E507">
        <v>16200</v>
      </c>
      <c r="F507" t="s">
        <v>21</v>
      </c>
      <c r="G507" t="s">
        <v>24</v>
      </c>
      <c r="H507" t="s">
        <v>33</v>
      </c>
      <c r="I507" t="s">
        <v>34</v>
      </c>
      <c r="J507" t="s">
        <v>18</v>
      </c>
      <c r="K507">
        <v>0.1</v>
      </c>
      <c r="L50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507">
        <f>GhanaStream[[#This Row],[Subscription Fee]]-(GhanaStream[[#This Row],[Discount]]*GhanaStream[[#This Row],[Subscription Fee]])</f>
        <v>14580</v>
      </c>
      <c r="N507" t="str">
        <f>IF(GhanaStream[[#This Row],[Churn Flag]]="Yes","Churned","Retained")</f>
        <v>Retained</v>
      </c>
    </row>
    <row r="508" spans="1:14" x14ac:dyDescent="0.25">
      <c r="A508" t="s">
        <v>546</v>
      </c>
      <c r="B508" s="1">
        <v>45573</v>
      </c>
      <c r="C508" t="s">
        <v>12</v>
      </c>
      <c r="D508" t="s">
        <v>13</v>
      </c>
      <c r="E508">
        <v>1500</v>
      </c>
      <c r="F508" t="s">
        <v>49</v>
      </c>
      <c r="G508" t="s">
        <v>28</v>
      </c>
      <c r="H508" t="s">
        <v>33</v>
      </c>
      <c r="I508" t="s">
        <v>34</v>
      </c>
      <c r="J508" t="s">
        <v>25</v>
      </c>
      <c r="K508">
        <v>0</v>
      </c>
      <c r="L50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508">
        <f>GhanaStream[[#This Row],[Subscription Fee]]-(GhanaStream[[#This Row],[Discount]]*GhanaStream[[#This Row],[Subscription Fee]])</f>
        <v>1500</v>
      </c>
      <c r="N508" t="str">
        <f>IF(GhanaStream[[#This Row],[Churn Flag]]="Yes","Churned","Retained")</f>
        <v>Retained</v>
      </c>
    </row>
    <row r="509" spans="1:14" x14ac:dyDescent="0.25">
      <c r="A509" t="s">
        <v>547</v>
      </c>
      <c r="B509" s="1">
        <v>45091</v>
      </c>
      <c r="C509" t="s">
        <v>31</v>
      </c>
      <c r="D509" t="s">
        <v>27</v>
      </c>
      <c r="E509">
        <v>10800</v>
      </c>
      <c r="F509" t="s">
        <v>49</v>
      </c>
      <c r="G509" t="s">
        <v>24</v>
      </c>
      <c r="H509" t="s">
        <v>33</v>
      </c>
      <c r="I509" t="s">
        <v>34</v>
      </c>
      <c r="J509" t="s">
        <v>18</v>
      </c>
      <c r="K509">
        <v>0.1</v>
      </c>
      <c r="L50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509">
        <f>GhanaStream[[#This Row],[Subscription Fee]]-(GhanaStream[[#This Row],[Discount]]*GhanaStream[[#This Row],[Subscription Fee]])</f>
        <v>9720</v>
      </c>
      <c r="N509" t="str">
        <f>IF(GhanaStream[[#This Row],[Churn Flag]]="Yes","Churned","Retained")</f>
        <v>Retained</v>
      </c>
    </row>
    <row r="510" spans="1:14" x14ac:dyDescent="0.25">
      <c r="A510" t="s">
        <v>548</v>
      </c>
      <c r="B510" s="1">
        <v>45492</v>
      </c>
      <c r="C510" t="s">
        <v>31</v>
      </c>
      <c r="D510" t="s">
        <v>13</v>
      </c>
      <c r="E510">
        <v>1000</v>
      </c>
      <c r="F510" t="s">
        <v>21</v>
      </c>
      <c r="G510" t="s">
        <v>24</v>
      </c>
      <c r="H510" t="s">
        <v>16</v>
      </c>
      <c r="I510" t="s">
        <v>17</v>
      </c>
      <c r="J510" t="s">
        <v>29</v>
      </c>
      <c r="K510">
        <v>0</v>
      </c>
      <c r="L51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510">
        <f>GhanaStream[[#This Row],[Subscription Fee]]-(GhanaStream[[#This Row],[Discount]]*GhanaStream[[#This Row],[Subscription Fee]])</f>
        <v>1000</v>
      </c>
      <c r="N510" t="str">
        <f>IF(GhanaStream[[#This Row],[Churn Flag]]="Yes","Churned","Retained")</f>
        <v>Churned</v>
      </c>
    </row>
    <row r="511" spans="1:14" x14ac:dyDescent="0.25">
      <c r="A511" t="s">
        <v>549</v>
      </c>
      <c r="B511" s="1">
        <v>45218</v>
      </c>
      <c r="C511" t="s">
        <v>20</v>
      </c>
      <c r="D511" t="s">
        <v>13</v>
      </c>
      <c r="E511">
        <v>500</v>
      </c>
      <c r="F511" t="s">
        <v>32</v>
      </c>
      <c r="G511" t="s">
        <v>24</v>
      </c>
      <c r="H511" t="s">
        <v>16</v>
      </c>
      <c r="I511" t="s">
        <v>17</v>
      </c>
      <c r="J511" t="s">
        <v>39</v>
      </c>
      <c r="K511">
        <v>0</v>
      </c>
      <c r="L51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511">
        <f>GhanaStream[[#This Row],[Subscription Fee]]-(GhanaStream[[#This Row],[Discount]]*GhanaStream[[#This Row],[Subscription Fee]])</f>
        <v>500</v>
      </c>
      <c r="N511" t="str">
        <f>IF(GhanaStream[[#This Row],[Churn Flag]]="Yes","Churned","Retained")</f>
        <v>Churned</v>
      </c>
    </row>
    <row r="512" spans="1:14" x14ac:dyDescent="0.25">
      <c r="A512" t="s">
        <v>550</v>
      </c>
      <c r="B512" s="1">
        <v>45234</v>
      </c>
      <c r="C512" t="s">
        <v>31</v>
      </c>
      <c r="D512" t="s">
        <v>13</v>
      </c>
      <c r="E512">
        <v>1000</v>
      </c>
      <c r="F512" t="s">
        <v>14</v>
      </c>
      <c r="G512" t="s">
        <v>24</v>
      </c>
      <c r="H512" t="s">
        <v>16</v>
      </c>
      <c r="I512" t="s">
        <v>17</v>
      </c>
      <c r="J512" t="s">
        <v>55</v>
      </c>
      <c r="K512">
        <v>0</v>
      </c>
      <c r="L51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512">
        <f>GhanaStream[[#This Row],[Subscription Fee]]-(GhanaStream[[#This Row],[Discount]]*GhanaStream[[#This Row],[Subscription Fee]])</f>
        <v>1000</v>
      </c>
      <c r="N512" t="str">
        <f>IF(GhanaStream[[#This Row],[Churn Flag]]="Yes","Churned","Retained")</f>
        <v>Churned</v>
      </c>
    </row>
    <row r="513" spans="1:14" x14ac:dyDescent="0.25">
      <c r="A513" t="s">
        <v>551</v>
      </c>
      <c r="B513" s="1">
        <v>45384</v>
      </c>
      <c r="C513" t="s">
        <v>31</v>
      </c>
      <c r="D513" t="s">
        <v>27</v>
      </c>
      <c r="E513">
        <v>10800</v>
      </c>
      <c r="F513" t="s">
        <v>49</v>
      </c>
      <c r="G513" t="s">
        <v>24</v>
      </c>
      <c r="H513" t="s">
        <v>16</v>
      </c>
      <c r="I513" t="s">
        <v>17</v>
      </c>
      <c r="J513" t="s">
        <v>35</v>
      </c>
      <c r="K513">
        <v>0.1</v>
      </c>
      <c r="L51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513">
        <f>GhanaStream[[#This Row],[Subscription Fee]]-(GhanaStream[[#This Row],[Discount]]*GhanaStream[[#This Row],[Subscription Fee]])</f>
        <v>9720</v>
      </c>
      <c r="N513" t="str">
        <f>IF(GhanaStream[[#This Row],[Churn Flag]]="Yes","Churned","Retained")</f>
        <v>Churned</v>
      </c>
    </row>
    <row r="514" spans="1:14" x14ac:dyDescent="0.25">
      <c r="A514" t="s">
        <v>552</v>
      </c>
      <c r="B514" s="1">
        <v>45606</v>
      </c>
      <c r="C514" t="s">
        <v>20</v>
      </c>
      <c r="D514" t="s">
        <v>13</v>
      </c>
      <c r="E514">
        <v>500</v>
      </c>
      <c r="F514" t="s">
        <v>14</v>
      </c>
      <c r="G514" t="s">
        <v>28</v>
      </c>
      <c r="H514" t="s">
        <v>33</v>
      </c>
      <c r="I514" t="s">
        <v>34</v>
      </c>
      <c r="J514" t="s">
        <v>41</v>
      </c>
      <c r="K514">
        <v>0</v>
      </c>
      <c r="L51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514">
        <f>GhanaStream[[#This Row],[Subscription Fee]]-(GhanaStream[[#This Row],[Discount]]*GhanaStream[[#This Row],[Subscription Fee]])</f>
        <v>500</v>
      </c>
      <c r="N514" t="str">
        <f>IF(GhanaStream[[#This Row],[Churn Flag]]="Yes","Churned","Retained")</f>
        <v>Retained</v>
      </c>
    </row>
    <row r="515" spans="1:14" x14ac:dyDescent="0.25">
      <c r="A515" t="s">
        <v>553</v>
      </c>
      <c r="B515" s="1">
        <v>45179</v>
      </c>
      <c r="C515" t="s">
        <v>12</v>
      </c>
      <c r="D515" t="s">
        <v>13</v>
      </c>
      <c r="E515">
        <v>1500</v>
      </c>
      <c r="F515" t="s">
        <v>21</v>
      </c>
      <c r="G515" t="s">
        <v>28</v>
      </c>
      <c r="H515" t="s">
        <v>33</v>
      </c>
      <c r="I515" t="s">
        <v>34</v>
      </c>
      <c r="J515" t="s">
        <v>29</v>
      </c>
      <c r="K515">
        <v>0</v>
      </c>
      <c r="L51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515">
        <f>GhanaStream[[#This Row],[Subscription Fee]]-(GhanaStream[[#This Row],[Discount]]*GhanaStream[[#This Row],[Subscription Fee]])</f>
        <v>1500</v>
      </c>
      <c r="N515" t="str">
        <f>IF(GhanaStream[[#This Row],[Churn Flag]]="Yes","Churned","Retained")</f>
        <v>Retained</v>
      </c>
    </row>
    <row r="516" spans="1:14" x14ac:dyDescent="0.25">
      <c r="A516" t="s">
        <v>554</v>
      </c>
      <c r="B516" s="1">
        <v>45641</v>
      </c>
      <c r="C516" t="s">
        <v>31</v>
      </c>
      <c r="D516" t="s">
        <v>13</v>
      </c>
      <c r="E516">
        <v>1000</v>
      </c>
      <c r="F516" t="s">
        <v>14</v>
      </c>
      <c r="G516" t="s">
        <v>24</v>
      </c>
      <c r="H516" t="s">
        <v>33</v>
      </c>
      <c r="I516" t="s">
        <v>34</v>
      </c>
      <c r="J516" t="s">
        <v>37</v>
      </c>
      <c r="K516">
        <v>0</v>
      </c>
      <c r="L51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516">
        <f>GhanaStream[[#This Row],[Subscription Fee]]-(GhanaStream[[#This Row],[Discount]]*GhanaStream[[#This Row],[Subscription Fee]])</f>
        <v>1000</v>
      </c>
      <c r="N516" t="str">
        <f>IF(GhanaStream[[#This Row],[Churn Flag]]="Yes","Churned","Retained")</f>
        <v>Retained</v>
      </c>
    </row>
    <row r="517" spans="1:14" x14ac:dyDescent="0.25">
      <c r="A517" t="s">
        <v>555</v>
      </c>
      <c r="B517" s="1">
        <v>45117</v>
      </c>
      <c r="C517" t="s">
        <v>20</v>
      </c>
      <c r="D517" t="s">
        <v>13</v>
      </c>
      <c r="E517">
        <v>500</v>
      </c>
      <c r="F517" t="s">
        <v>49</v>
      </c>
      <c r="G517" t="s">
        <v>24</v>
      </c>
      <c r="H517" t="s">
        <v>16</v>
      </c>
      <c r="I517" t="s">
        <v>17</v>
      </c>
      <c r="J517" t="s">
        <v>35</v>
      </c>
      <c r="K517">
        <v>0</v>
      </c>
      <c r="L51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517">
        <f>GhanaStream[[#This Row],[Subscription Fee]]-(GhanaStream[[#This Row],[Discount]]*GhanaStream[[#This Row],[Subscription Fee]])</f>
        <v>500</v>
      </c>
      <c r="N517" t="str">
        <f>IF(GhanaStream[[#This Row],[Churn Flag]]="Yes","Churned","Retained")</f>
        <v>Churned</v>
      </c>
    </row>
    <row r="518" spans="1:14" x14ac:dyDescent="0.25">
      <c r="A518" t="s">
        <v>556</v>
      </c>
      <c r="B518" s="1">
        <v>45101</v>
      </c>
      <c r="C518" t="s">
        <v>31</v>
      </c>
      <c r="D518" t="s">
        <v>27</v>
      </c>
      <c r="E518">
        <v>10800</v>
      </c>
      <c r="F518" t="s">
        <v>32</v>
      </c>
      <c r="G518" t="s">
        <v>28</v>
      </c>
      <c r="H518" t="s">
        <v>33</v>
      </c>
      <c r="I518" t="s">
        <v>34</v>
      </c>
      <c r="J518" t="s">
        <v>25</v>
      </c>
      <c r="K518">
        <v>0.1</v>
      </c>
      <c r="L51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518">
        <f>GhanaStream[[#This Row],[Subscription Fee]]-(GhanaStream[[#This Row],[Discount]]*GhanaStream[[#This Row],[Subscription Fee]])</f>
        <v>9720</v>
      </c>
      <c r="N518" t="str">
        <f>IF(GhanaStream[[#This Row],[Churn Flag]]="Yes","Churned","Retained")</f>
        <v>Retained</v>
      </c>
    </row>
    <row r="519" spans="1:14" x14ac:dyDescent="0.25">
      <c r="A519" t="s">
        <v>557</v>
      </c>
      <c r="B519" s="1">
        <v>45656</v>
      </c>
      <c r="C519" t="s">
        <v>12</v>
      </c>
      <c r="D519" t="s">
        <v>27</v>
      </c>
      <c r="E519">
        <v>16200</v>
      </c>
      <c r="F519" t="s">
        <v>32</v>
      </c>
      <c r="G519" t="s">
        <v>24</v>
      </c>
      <c r="H519" t="s">
        <v>33</v>
      </c>
      <c r="I519" t="s">
        <v>34</v>
      </c>
      <c r="J519" t="s">
        <v>25</v>
      </c>
      <c r="K519">
        <v>0.1</v>
      </c>
      <c r="L51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519">
        <f>GhanaStream[[#This Row],[Subscription Fee]]-(GhanaStream[[#This Row],[Discount]]*GhanaStream[[#This Row],[Subscription Fee]])</f>
        <v>14580</v>
      </c>
      <c r="N519" t="str">
        <f>IF(GhanaStream[[#This Row],[Churn Flag]]="Yes","Churned","Retained")</f>
        <v>Retained</v>
      </c>
    </row>
    <row r="520" spans="1:14" x14ac:dyDescent="0.25">
      <c r="A520" t="s">
        <v>558</v>
      </c>
      <c r="B520" s="1">
        <v>45411</v>
      </c>
      <c r="C520" t="s">
        <v>31</v>
      </c>
      <c r="D520" t="s">
        <v>13</v>
      </c>
      <c r="E520">
        <v>1000</v>
      </c>
      <c r="F520" t="s">
        <v>49</v>
      </c>
      <c r="G520" t="s">
        <v>24</v>
      </c>
      <c r="H520" t="s">
        <v>16</v>
      </c>
      <c r="I520" t="s">
        <v>17</v>
      </c>
      <c r="J520" t="s">
        <v>50</v>
      </c>
      <c r="K520">
        <v>0</v>
      </c>
      <c r="L52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520">
        <f>GhanaStream[[#This Row],[Subscription Fee]]-(GhanaStream[[#This Row],[Discount]]*GhanaStream[[#This Row],[Subscription Fee]])</f>
        <v>1000</v>
      </c>
      <c r="N520" t="str">
        <f>IF(GhanaStream[[#This Row],[Churn Flag]]="Yes","Churned","Retained")</f>
        <v>Churned</v>
      </c>
    </row>
    <row r="521" spans="1:14" x14ac:dyDescent="0.25">
      <c r="A521" t="s">
        <v>559</v>
      </c>
      <c r="B521" s="1">
        <v>45281</v>
      </c>
      <c r="C521" t="s">
        <v>31</v>
      </c>
      <c r="D521" t="s">
        <v>27</v>
      </c>
      <c r="E521">
        <v>10800</v>
      </c>
      <c r="F521" t="s">
        <v>14</v>
      </c>
      <c r="G521" t="s">
        <v>24</v>
      </c>
      <c r="H521" t="s">
        <v>16</v>
      </c>
      <c r="I521" t="s">
        <v>17</v>
      </c>
      <c r="J521" t="s">
        <v>22</v>
      </c>
      <c r="K521">
        <v>0.1</v>
      </c>
      <c r="L52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521">
        <f>GhanaStream[[#This Row],[Subscription Fee]]-(GhanaStream[[#This Row],[Discount]]*GhanaStream[[#This Row],[Subscription Fee]])</f>
        <v>9720</v>
      </c>
      <c r="N521" t="str">
        <f>IF(GhanaStream[[#This Row],[Churn Flag]]="Yes","Churned","Retained")</f>
        <v>Churned</v>
      </c>
    </row>
    <row r="522" spans="1:14" x14ac:dyDescent="0.25">
      <c r="A522" t="s">
        <v>560</v>
      </c>
      <c r="B522" s="1">
        <v>44976</v>
      </c>
      <c r="C522" t="s">
        <v>12</v>
      </c>
      <c r="D522" t="s">
        <v>13</v>
      </c>
      <c r="E522">
        <v>1500</v>
      </c>
      <c r="F522" t="s">
        <v>21</v>
      </c>
      <c r="G522" t="s">
        <v>28</v>
      </c>
      <c r="H522" t="s">
        <v>16</v>
      </c>
      <c r="I522" t="s">
        <v>17</v>
      </c>
      <c r="J522" t="s">
        <v>25</v>
      </c>
      <c r="K522">
        <v>0</v>
      </c>
      <c r="L52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522">
        <f>GhanaStream[[#This Row],[Subscription Fee]]-(GhanaStream[[#This Row],[Discount]]*GhanaStream[[#This Row],[Subscription Fee]])</f>
        <v>1500</v>
      </c>
      <c r="N522" t="str">
        <f>IF(GhanaStream[[#This Row],[Churn Flag]]="Yes","Churned","Retained")</f>
        <v>Churned</v>
      </c>
    </row>
    <row r="523" spans="1:14" x14ac:dyDescent="0.25">
      <c r="A523" t="s">
        <v>561</v>
      </c>
      <c r="B523" s="1">
        <v>44958</v>
      </c>
      <c r="C523" t="s">
        <v>31</v>
      </c>
      <c r="D523" t="s">
        <v>27</v>
      </c>
      <c r="E523">
        <v>10800</v>
      </c>
      <c r="F523" t="s">
        <v>14</v>
      </c>
      <c r="G523" t="s">
        <v>24</v>
      </c>
      <c r="H523" t="s">
        <v>33</v>
      </c>
      <c r="I523" t="s">
        <v>34</v>
      </c>
      <c r="J523" t="s">
        <v>37</v>
      </c>
      <c r="K523">
        <v>0.1</v>
      </c>
      <c r="L52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523">
        <f>GhanaStream[[#This Row],[Subscription Fee]]-(GhanaStream[[#This Row],[Discount]]*GhanaStream[[#This Row],[Subscription Fee]])</f>
        <v>9720</v>
      </c>
      <c r="N523" t="str">
        <f>IF(GhanaStream[[#This Row],[Churn Flag]]="Yes","Churned","Retained")</f>
        <v>Retained</v>
      </c>
    </row>
    <row r="524" spans="1:14" x14ac:dyDescent="0.25">
      <c r="A524" t="s">
        <v>562</v>
      </c>
      <c r="B524" s="1">
        <v>45227</v>
      </c>
      <c r="C524" t="s">
        <v>12</v>
      </c>
      <c r="D524" t="s">
        <v>13</v>
      </c>
      <c r="E524">
        <v>1500</v>
      </c>
      <c r="F524" t="s">
        <v>21</v>
      </c>
      <c r="G524" t="s">
        <v>24</v>
      </c>
      <c r="H524" t="s">
        <v>16</v>
      </c>
      <c r="I524" t="s">
        <v>17</v>
      </c>
      <c r="J524" t="s">
        <v>22</v>
      </c>
      <c r="K524">
        <v>0</v>
      </c>
      <c r="L52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524">
        <f>GhanaStream[[#This Row],[Subscription Fee]]-(GhanaStream[[#This Row],[Discount]]*GhanaStream[[#This Row],[Subscription Fee]])</f>
        <v>1500</v>
      </c>
      <c r="N524" t="str">
        <f>IF(GhanaStream[[#This Row],[Churn Flag]]="Yes","Churned","Retained")</f>
        <v>Churned</v>
      </c>
    </row>
    <row r="525" spans="1:14" x14ac:dyDescent="0.25">
      <c r="A525" t="s">
        <v>563</v>
      </c>
      <c r="B525" s="1">
        <v>45399</v>
      </c>
      <c r="C525" t="s">
        <v>31</v>
      </c>
      <c r="D525" t="s">
        <v>27</v>
      </c>
      <c r="E525">
        <v>10800</v>
      </c>
      <c r="F525" t="s">
        <v>49</v>
      </c>
      <c r="G525" t="s">
        <v>24</v>
      </c>
      <c r="H525" t="s">
        <v>16</v>
      </c>
      <c r="I525" t="s">
        <v>17</v>
      </c>
      <c r="J525" t="s">
        <v>25</v>
      </c>
      <c r="K525">
        <v>0.1</v>
      </c>
      <c r="L52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525">
        <f>GhanaStream[[#This Row],[Subscription Fee]]-(GhanaStream[[#This Row],[Discount]]*GhanaStream[[#This Row],[Subscription Fee]])</f>
        <v>9720</v>
      </c>
      <c r="N525" t="str">
        <f>IF(GhanaStream[[#This Row],[Churn Flag]]="Yes","Churned","Retained")</f>
        <v>Churned</v>
      </c>
    </row>
    <row r="526" spans="1:14" x14ac:dyDescent="0.25">
      <c r="A526" t="s">
        <v>564</v>
      </c>
      <c r="B526" s="1">
        <v>45466</v>
      </c>
      <c r="C526" t="s">
        <v>20</v>
      </c>
      <c r="D526" t="s">
        <v>27</v>
      </c>
      <c r="E526">
        <v>5400</v>
      </c>
      <c r="F526" t="s">
        <v>32</v>
      </c>
      <c r="G526" t="s">
        <v>28</v>
      </c>
      <c r="H526" t="s">
        <v>16</v>
      </c>
      <c r="I526" t="s">
        <v>17</v>
      </c>
      <c r="J526" t="s">
        <v>25</v>
      </c>
      <c r="K526">
        <v>0.1</v>
      </c>
      <c r="L52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526">
        <f>GhanaStream[[#This Row],[Subscription Fee]]-(GhanaStream[[#This Row],[Discount]]*GhanaStream[[#This Row],[Subscription Fee]])</f>
        <v>4860</v>
      </c>
      <c r="N526" t="str">
        <f>IF(GhanaStream[[#This Row],[Churn Flag]]="Yes","Churned","Retained")</f>
        <v>Churned</v>
      </c>
    </row>
    <row r="527" spans="1:14" x14ac:dyDescent="0.25">
      <c r="A527" t="s">
        <v>565</v>
      </c>
      <c r="B527" s="1">
        <v>45411</v>
      </c>
      <c r="C527" t="s">
        <v>31</v>
      </c>
      <c r="D527" t="s">
        <v>13</v>
      </c>
      <c r="E527">
        <v>1000</v>
      </c>
      <c r="F527" t="s">
        <v>32</v>
      </c>
      <c r="G527" t="s">
        <v>24</v>
      </c>
      <c r="H527" t="s">
        <v>16</v>
      </c>
      <c r="I527" t="s">
        <v>17</v>
      </c>
      <c r="J527" t="s">
        <v>25</v>
      </c>
      <c r="K527">
        <v>0</v>
      </c>
      <c r="L52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527">
        <f>GhanaStream[[#This Row],[Subscription Fee]]-(GhanaStream[[#This Row],[Discount]]*GhanaStream[[#This Row],[Subscription Fee]])</f>
        <v>1000</v>
      </c>
      <c r="N527" t="str">
        <f>IF(GhanaStream[[#This Row],[Churn Flag]]="Yes","Churned","Retained")</f>
        <v>Churned</v>
      </c>
    </row>
    <row r="528" spans="1:14" x14ac:dyDescent="0.25">
      <c r="A528" t="s">
        <v>566</v>
      </c>
      <c r="B528" s="1">
        <v>45391</v>
      </c>
      <c r="C528" t="s">
        <v>20</v>
      </c>
      <c r="D528" t="s">
        <v>13</v>
      </c>
      <c r="E528">
        <v>500</v>
      </c>
      <c r="F528" t="s">
        <v>32</v>
      </c>
      <c r="G528" t="s">
        <v>15</v>
      </c>
      <c r="H528" t="s">
        <v>16</v>
      </c>
      <c r="I528" t="s">
        <v>17</v>
      </c>
      <c r="J528" t="s">
        <v>25</v>
      </c>
      <c r="K528">
        <v>0</v>
      </c>
      <c r="L52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528">
        <f>GhanaStream[[#This Row],[Subscription Fee]]-(GhanaStream[[#This Row],[Discount]]*GhanaStream[[#This Row],[Subscription Fee]])</f>
        <v>500</v>
      </c>
      <c r="N528" t="str">
        <f>IF(GhanaStream[[#This Row],[Churn Flag]]="Yes","Churned","Retained")</f>
        <v>Churned</v>
      </c>
    </row>
    <row r="529" spans="1:14" x14ac:dyDescent="0.25">
      <c r="A529" t="s">
        <v>567</v>
      </c>
      <c r="B529" s="1">
        <v>45384</v>
      </c>
      <c r="C529" t="s">
        <v>31</v>
      </c>
      <c r="D529" t="s">
        <v>13</v>
      </c>
      <c r="E529">
        <v>1000</v>
      </c>
      <c r="F529" t="s">
        <v>21</v>
      </c>
      <c r="G529" t="s">
        <v>24</v>
      </c>
      <c r="H529" t="s">
        <v>33</v>
      </c>
      <c r="I529" t="s">
        <v>34</v>
      </c>
      <c r="J529" t="s">
        <v>18</v>
      </c>
      <c r="K529">
        <v>0</v>
      </c>
      <c r="L52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529">
        <f>GhanaStream[[#This Row],[Subscription Fee]]-(GhanaStream[[#This Row],[Discount]]*GhanaStream[[#This Row],[Subscription Fee]])</f>
        <v>1000</v>
      </c>
      <c r="N529" t="str">
        <f>IF(GhanaStream[[#This Row],[Churn Flag]]="Yes","Churned","Retained")</f>
        <v>Retained</v>
      </c>
    </row>
    <row r="530" spans="1:14" x14ac:dyDescent="0.25">
      <c r="A530" t="s">
        <v>568</v>
      </c>
      <c r="B530" s="1">
        <v>45254</v>
      </c>
      <c r="C530" t="s">
        <v>31</v>
      </c>
      <c r="D530" t="s">
        <v>13</v>
      </c>
      <c r="E530">
        <v>1000</v>
      </c>
      <c r="F530" t="s">
        <v>32</v>
      </c>
      <c r="G530" t="s">
        <v>24</v>
      </c>
      <c r="H530" t="s">
        <v>33</v>
      </c>
      <c r="I530" t="s">
        <v>34</v>
      </c>
      <c r="J530" t="s">
        <v>35</v>
      </c>
      <c r="K530">
        <v>0</v>
      </c>
      <c r="L53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530">
        <f>GhanaStream[[#This Row],[Subscription Fee]]-(GhanaStream[[#This Row],[Discount]]*GhanaStream[[#This Row],[Subscription Fee]])</f>
        <v>1000</v>
      </c>
      <c r="N530" t="str">
        <f>IF(GhanaStream[[#This Row],[Churn Flag]]="Yes","Churned","Retained")</f>
        <v>Retained</v>
      </c>
    </row>
    <row r="531" spans="1:14" x14ac:dyDescent="0.25">
      <c r="A531" t="s">
        <v>569</v>
      </c>
      <c r="B531" s="1">
        <v>45174</v>
      </c>
      <c r="C531" t="s">
        <v>12</v>
      </c>
      <c r="D531" t="s">
        <v>27</v>
      </c>
      <c r="E531">
        <v>16200</v>
      </c>
      <c r="F531" t="s">
        <v>49</v>
      </c>
      <c r="G531" t="s">
        <v>28</v>
      </c>
      <c r="H531" t="s">
        <v>33</v>
      </c>
      <c r="I531" t="s">
        <v>34</v>
      </c>
      <c r="J531" t="s">
        <v>25</v>
      </c>
      <c r="K531">
        <v>0.1</v>
      </c>
      <c r="L53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531">
        <f>GhanaStream[[#This Row],[Subscription Fee]]-(GhanaStream[[#This Row],[Discount]]*GhanaStream[[#This Row],[Subscription Fee]])</f>
        <v>14580</v>
      </c>
      <c r="N531" t="str">
        <f>IF(GhanaStream[[#This Row],[Churn Flag]]="Yes","Churned","Retained")</f>
        <v>Retained</v>
      </c>
    </row>
    <row r="532" spans="1:14" x14ac:dyDescent="0.25">
      <c r="A532" t="s">
        <v>570</v>
      </c>
      <c r="B532" s="1">
        <v>45637</v>
      </c>
      <c r="C532" t="s">
        <v>31</v>
      </c>
      <c r="D532" t="s">
        <v>13</v>
      </c>
      <c r="E532">
        <v>1000</v>
      </c>
      <c r="F532" t="s">
        <v>14</v>
      </c>
      <c r="G532" t="s">
        <v>28</v>
      </c>
      <c r="H532" t="s">
        <v>33</v>
      </c>
      <c r="I532" t="s">
        <v>34</v>
      </c>
      <c r="J532" t="s">
        <v>37</v>
      </c>
      <c r="K532">
        <v>0</v>
      </c>
      <c r="L53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532">
        <f>GhanaStream[[#This Row],[Subscription Fee]]-(GhanaStream[[#This Row],[Discount]]*GhanaStream[[#This Row],[Subscription Fee]])</f>
        <v>1000</v>
      </c>
      <c r="N532" t="str">
        <f>IF(GhanaStream[[#This Row],[Churn Flag]]="Yes","Churned","Retained")</f>
        <v>Retained</v>
      </c>
    </row>
    <row r="533" spans="1:14" x14ac:dyDescent="0.25">
      <c r="A533" t="s">
        <v>571</v>
      </c>
      <c r="B533" s="1">
        <v>45017</v>
      </c>
      <c r="C533" t="s">
        <v>12</v>
      </c>
      <c r="D533" t="s">
        <v>27</v>
      </c>
      <c r="E533">
        <v>16200</v>
      </c>
      <c r="F533" t="s">
        <v>49</v>
      </c>
      <c r="G533" t="s">
        <v>28</v>
      </c>
      <c r="H533" t="s">
        <v>33</v>
      </c>
      <c r="I533" t="s">
        <v>34</v>
      </c>
      <c r="J533" t="s">
        <v>58</v>
      </c>
      <c r="K533">
        <v>0.1</v>
      </c>
      <c r="L53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533">
        <f>GhanaStream[[#This Row],[Subscription Fee]]-(GhanaStream[[#This Row],[Discount]]*GhanaStream[[#This Row],[Subscription Fee]])</f>
        <v>14580</v>
      </c>
      <c r="N533" t="str">
        <f>IF(GhanaStream[[#This Row],[Churn Flag]]="Yes","Churned","Retained")</f>
        <v>Retained</v>
      </c>
    </row>
    <row r="534" spans="1:14" x14ac:dyDescent="0.25">
      <c r="A534" t="s">
        <v>572</v>
      </c>
      <c r="B534" s="1">
        <v>45292</v>
      </c>
      <c r="C534" t="s">
        <v>20</v>
      </c>
      <c r="D534" t="s">
        <v>27</v>
      </c>
      <c r="E534">
        <v>5400</v>
      </c>
      <c r="F534" t="s">
        <v>32</v>
      </c>
      <c r="G534" t="s">
        <v>28</v>
      </c>
      <c r="H534" t="s">
        <v>16</v>
      </c>
      <c r="I534" t="s">
        <v>17</v>
      </c>
      <c r="J534" t="s">
        <v>25</v>
      </c>
      <c r="K534">
        <v>0.1</v>
      </c>
      <c r="L53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534">
        <f>GhanaStream[[#This Row],[Subscription Fee]]-(GhanaStream[[#This Row],[Discount]]*GhanaStream[[#This Row],[Subscription Fee]])</f>
        <v>4860</v>
      </c>
      <c r="N534" t="str">
        <f>IF(GhanaStream[[#This Row],[Churn Flag]]="Yes","Churned","Retained")</f>
        <v>Churned</v>
      </c>
    </row>
    <row r="535" spans="1:14" x14ac:dyDescent="0.25">
      <c r="A535" t="s">
        <v>573</v>
      </c>
      <c r="B535" s="1">
        <v>45281</v>
      </c>
      <c r="C535" t="s">
        <v>31</v>
      </c>
      <c r="D535" t="s">
        <v>27</v>
      </c>
      <c r="E535">
        <v>10800</v>
      </c>
      <c r="F535" t="s">
        <v>49</v>
      </c>
      <c r="G535" t="s">
        <v>24</v>
      </c>
      <c r="H535" t="s">
        <v>16</v>
      </c>
      <c r="I535" t="s">
        <v>17</v>
      </c>
      <c r="J535" t="s">
        <v>58</v>
      </c>
      <c r="K535">
        <v>0.1</v>
      </c>
      <c r="L53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535">
        <f>GhanaStream[[#This Row],[Subscription Fee]]-(GhanaStream[[#This Row],[Discount]]*GhanaStream[[#This Row],[Subscription Fee]])</f>
        <v>9720</v>
      </c>
      <c r="N535" t="str">
        <f>IF(GhanaStream[[#This Row],[Churn Flag]]="Yes","Churned","Retained")</f>
        <v>Churned</v>
      </c>
    </row>
    <row r="536" spans="1:14" x14ac:dyDescent="0.25">
      <c r="A536" t="s">
        <v>574</v>
      </c>
      <c r="B536" s="1">
        <v>45467</v>
      </c>
      <c r="C536" t="s">
        <v>20</v>
      </c>
      <c r="D536" t="s">
        <v>27</v>
      </c>
      <c r="E536">
        <v>5400</v>
      </c>
      <c r="F536" t="s">
        <v>49</v>
      </c>
      <c r="G536" t="s">
        <v>28</v>
      </c>
      <c r="H536" t="s">
        <v>33</v>
      </c>
      <c r="I536" t="s">
        <v>34</v>
      </c>
      <c r="J536" t="s">
        <v>58</v>
      </c>
      <c r="K536">
        <v>0.1</v>
      </c>
      <c r="L53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536">
        <f>GhanaStream[[#This Row],[Subscription Fee]]-(GhanaStream[[#This Row],[Discount]]*GhanaStream[[#This Row],[Subscription Fee]])</f>
        <v>4860</v>
      </c>
      <c r="N536" t="str">
        <f>IF(GhanaStream[[#This Row],[Churn Flag]]="Yes","Churned","Retained")</f>
        <v>Retained</v>
      </c>
    </row>
    <row r="537" spans="1:14" x14ac:dyDescent="0.25">
      <c r="A537" t="s">
        <v>575</v>
      </c>
      <c r="B537" s="1">
        <v>45007</v>
      </c>
      <c r="C537" t="s">
        <v>12</v>
      </c>
      <c r="D537" t="s">
        <v>13</v>
      </c>
      <c r="E537">
        <v>1500</v>
      </c>
      <c r="F537" t="s">
        <v>32</v>
      </c>
      <c r="G537" t="s">
        <v>28</v>
      </c>
      <c r="H537" t="s">
        <v>16</v>
      </c>
      <c r="I537" t="s">
        <v>17</v>
      </c>
      <c r="J537" t="s">
        <v>66</v>
      </c>
      <c r="K537">
        <v>0</v>
      </c>
      <c r="L53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537">
        <f>GhanaStream[[#This Row],[Subscription Fee]]-(GhanaStream[[#This Row],[Discount]]*GhanaStream[[#This Row],[Subscription Fee]])</f>
        <v>1500</v>
      </c>
      <c r="N537" t="str">
        <f>IF(GhanaStream[[#This Row],[Churn Flag]]="Yes","Churned","Retained")</f>
        <v>Churned</v>
      </c>
    </row>
    <row r="538" spans="1:14" x14ac:dyDescent="0.25">
      <c r="A538" t="s">
        <v>576</v>
      </c>
      <c r="B538" s="1">
        <v>44960</v>
      </c>
      <c r="C538" t="s">
        <v>12</v>
      </c>
      <c r="D538" t="s">
        <v>13</v>
      </c>
      <c r="E538">
        <v>1500</v>
      </c>
      <c r="F538" t="s">
        <v>21</v>
      </c>
      <c r="G538" t="s">
        <v>28</v>
      </c>
      <c r="H538" t="s">
        <v>33</v>
      </c>
      <c r="I538" t="s">
        <v>34</v>
      </c>
      <c r="J538" t="s">
        <v>25</v>
      </c>
      <c r="K538">
        <v>0</v>
      </c>
      <c r="L53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538">
        <f>GhanaStream[[#This Row],[Subscription Fee]]-(GhanaStream[[#This Row],[Discount]]*GhanaStream[[#This Row],[Subscription Fee]])</f>
        <v>1500</v>
      </c>
      <c r="N538" t="str">
        <f>IF(GhanaStream[[#This Row],[Churn Flag]]="Yes","Churned","Retained")</f>
        <v>Retained</v>
      </c>
    </row>
    <row r="539" spans="1:14" x14ac:dyDescent="0.25">
      <c r="A539" t="s">
        <v>577</v>
      </c>
      <c r="B539" s="1">
        <v>45544</v>
      </c>
      <c r="C539" t="s">
        <v>12</v>
      </c>
      <c r="D539" t="s">
        <v>27</v>
      </c>
      <c r="E539">
        <v>16200</v>
      </c>
      <c r="F539" t="s">
        <v>49</v>
      </c>
      <c r="G539" t="s">
        <v>24</v>
      </c>
      <c r="H539" t="s">
        <v>16</v>
      </c>
      <c r="I539" t="s">
        <v>17</v>
      </c>
      <c r="J539" t="s">
        <v>18</v>
      </c>
      <c r="K539">
        <v>0.1</v>
      </c>
      <c r="L53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539">
        <f>GhanaStream[[#This Row],[Subscription Fee]]-(GhanaStream[[#This Row],[Discount]]*GhanaStream[[#This Row],[Subscription Fee]])</f>
        <v>14580</v>
      </c>
      <c r="N539" t="str">
        <f>IF(GhanaStream[[#This Row],[Churn Flag]]="Yes","Churned","Retained")</f>
        <v>Churned</v>
      </c>
    </row>
    <row r="540" spans="1:14" x14ac:dyDescent="0.25">
      <c r="A540" t="s">
        <v>578</v>
      </c>
      <c r="B540" s="1">
        <v>45227</v>
      </c>
      <c r="C540" t="s">
        <v>12</v>
      </c>
      <c r="D540" t="s">
        <v>27</v>
      </c>
      <c r="E540">
        <v>16200</v>
      </c>
      <c r="F540" t="s">
        <v>32</v>
      </c>
      <c r="G540" t="s">
        <v>24</v>
      </c>
      <c r="H540" t="s">
        <v>33</v>
      </c>
      <c r="I540" t="s">
        <v>34</v>
      </c>
      <c r="J540" t="s">
        <v>66</v>
      </c>
      <c r="K540">
        <v>0.1</v>
      </c>
      <c r="L54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540">
        <f>GhanaStream[[#This Row],[Subscription Fee]]-(GhanaStream[[#This Row],[Discount]]*GhanaStream[[#This Row],[Subscription Fee]])</f>
        <v>14580</v>
      </c>
      <c r="N540" t="str">
        <f>IF(GhanaStream[[#This Row],[Churn Flag]]="Yes","Churned","Retained")</f>
        <v>Retained</v>
      </c>
    </row>
    <row r="541" spans="1:14" x14ac:dyDescent="0.25">
      <c r="A541" t="s">
        <v>579</v>
      </c>
      <c r="B541" s="1">
        <v>45092</v>
      </c>
      <c r="C541" t="s">
        <v>31</v>
      </c>
      <c r="D541" t="s">
        <v>27</v>
      </c>
      <c r="E541">
        <v>10800</v>
      </c>
      <c r="F541" t="s">
        <v>21</v>
      </c>
      <c r="G541" t="s">
        <v>15</v>
      </c>
      <c r="H541" t="s">
        <v>16</v>
      </c>
      <c r="I541" t="s">
        <v>17</v>
      </c>
      <c r="J541" t="s">
        <v>29</v>
      </c>
      <c r="K541">
        <v>0.1</v>
      </c>
      <c r="L54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541">
        <f>GhanaStream[[#This Row],[Subscription Fee]]-(GhanaStream[[#This Row],[Discount]]*GhanaStream[[#This Row],[Subscription Fee]])</f>
        <v>9720</v>
      </c>
      <c r="N541" t="str">
        <f>IF(GhanaStream[[#This Row],[Churn Flag]]="Yes","Churned","Retained")</f>
        <v>Churned</v>
      </c>
    </row>
    <row r="542" spans="1:14" x14ac:dyDescent="0.25">
      <c r="A542" t="s">
        <v>580</v>
      </c>
      <c r="B542" s="1">
        <v>45107</v>
      </c>
      <c r="C542" t="s">
        <v>31</v>
      </c>
      <c r="D542" t="s">
        <v>27</v>
      </c>
      <c r="E542">
        <v>10800</v>
      </c>
      <c r="F542" t="s">
        <v>14</v>
      </c>
      <c r="G542" t="s">
        <v>28</v>
      </c>
      <c r="H542" t="s">
        <v>16</v>
      </c>
      <c r="I542" t="s">
        <v>17</v>
      </c>
      <c r="J542" t="s">
        <v>55</v>
      </c>
      <c r="K542">
        <v>0.1</v>
      </c>
      <c r="L54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542">
        <f>GhanaStream[[#This Row],[Subscription Fee]]-(GhanaStream[[#This Row],[Discount]]*GhanaStream[[#This Row],[Subscription Fee]])</f>
        <v>9720</v>
      </c>
      <c r="N542" t="str">
        <f>IF(GhanaStream[[#This Row],[Churn Flag]]="Yes","Churned","Retained")</f>
        <v>Churned</v>
      </c>
    </row>
    <row r="543" spans="1:14" x14ac:dyDescent="0.25">
      <c r="A543" t="s">
        <v>581</v>
      </c>
      <c r="B543" s="1">
        <v>45170</v>
      </c>
      <c r="C543" t="s">
        <v>20</v>
      </c>
      <c r="D543" t="s">
        <v>13</v>
      </c>
      <c r="E543">
        <v>500</v>
      </c>
      <c r="F543" t="s">
        <v>14</v>
      </c>
      <c r="G543" t="s">
        <v>24</v>
      </c>
      <c r="H543" t="s">
        <v>16</v>
      </c>
      <c r="I543" t="s">
        <v>17</v>
      </c>
      <c r="J543" t="s">
        <v>37</v>
      </c>
      <c r="K543">
        <v>0</v>
      </c>
      <c r="L54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543">
        <f>GhanaStream[[#This Row],[Subscription Fee]]-(GhanaStream[[#This Row],[Discount]]*GhanaStream[[#This Row],[Subscription Fee]])</f>
        <v>500</v>
      </c>
      <c r="N543" t="str">
        <f>IF(GhanaStream[[#This Row],[Churn Flag]]="Yes","Churned","Retained")</f>
        <v>Churned</v>
      </c>
    </row>
    <row r="544" spans="1:14" x14ac:dyDescent="0.25">
      <c r="A544" t="s">
        <v>582</v>
      </c>
      <c r="B544" s="1">
        <v>45431</v>
      </c>
      <c r="C544" t="s">
        <v>12</v>
      </c>
      <c r="D544" t="s">
        <v>27</v>
      </c>
      <c r="E544">
        <v>16200</v>
      </c>
      <c r="F544" t="s">
        <v>49</v>
      </c>
      <c r="G544" t="s">
        <v>15</v>
      </c>
      <c r="H544" t="s">
        <v>16</v>
      </c>
      <c r="I544" t="s">
        <v>17</v>
      </c>
      <c r="J544" t="s">
        <v>25</v>
      </c>
      <c r="K544">
        <v>0.1</v>
      </c>
      <c r="L54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544">
        <f>GhanaStream[[#This Row],[Subscription Fee]]-(GhanaStream[[#This Row],[Discount]]*GhanaStream[[#This Row],[Subscription Fee]])</f>
        <v>14580</v>
      </c>
      <c r="N544" t="str">
        <f>IF(GhanaStream[[#This Row],[Churn Flag]]="Yes","Churned","Retained")</f>
        <v>Churned</v>
      </c>
    </row>
    <row r="545" spans="1:14" x14ac:dyDescent="0.25">
      <c r="A545" t="s">
        <v>583</v>
      </c>
      <c r="B545" s="1">
        <v>45275</v>
      </c>
      <c r="C545" t="s">
        <v>31</v>
      </c>
      <c r="D545" t="s">
        <v>27</v>
      </c>
      <c r="E545">
        <v>10800</v>
      </c>
      <c r="F545" t="s">
        <v>14</v>
      </c>
      <c r="G545" t="s">
        <v>15</v>
      </c>
      <c r="H545" t="s">
        <v>16</v>
      </c>
      <c r="I545" t="s">
        <v>17</v>
      </c>
      <c r="J545" t="s">
        <v>55</v>
      </c>
      <c r="K545">
        <v>0.1</v>
      </c>
      <c r="L54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545">
        <f>GhanaStream[[#This Row],[Subscription Fee]]-(GhanaStream[[#This Row],[Discount]]*GhanaStream[[#This Row],[Subscription Fee]])</f>
        <v>9720</v>
      </c>
      <c r="N545" t="str">
        <f>IF(GhanaStream[[#This Row],[Churn Flag]]="Yes","Churned","Retained")</f>
        <v>Churned</v>
      </c>
    </row>
    <row r="546" spans="1:14" x14ac:dyDescent="0.25">
      <c r="A546" t="s">
        <v>584</v>
      </c>
      <c r="B546" s="1">
        <v>44932</v>
      </c>
      <c r="C546" t="s">
        <v>31</v>
      </c>
      <c r="D546" t="s">
        <v>27</v>
      </c>
      <c r="E546">
        <v>10800</v>
      </c>
      <c r="F546" t="s">
        <v>14</v>
      </c>
      <c r="G546" t="s">
        <v>24</v>
      </c>
      <c r="H546" t="s">
        <v>33</v>
      </c>
      <c r="I546" t="s">
        <v>34</v>
      </c>
      <c r="J546" t="s">
        <v>55</v>
      </c>
      <c r="K546">
        <v>0.1</v>
      </c>
      <c r="L54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546">
        <f>GhanaStream[[#This Row],[Subscription Fee]]-(GhanaStream[[#This Row],[Discount]]*GhanaStream[[#This Row],[Subscription Fee]])</f>
        <v>9720</v>
      </c>
      <c r="N546" t="str">
        <f>IF(GhanaStream[[#This Row],[Churn Flag]]="Yes","Churned","Retained")</f>
        <v>Retained</v>
      </c>
    </row>
    <row r="547" spans="1:14" x14ac:dyDescent="0.25">
      <c r="A547" t="s">
        <v>585</v>
      </c>
      <c r="B547" s="1">
        <v>45225</v>
      </c>
      <c r="C547" t="s">
        <v>31</v>
      </c>
      <c r="D547" t="s">
        <v>27</v>
      </c>
      <c r="E547">
        <v>10800</v>
      </c>
      <c r="F547" t="s">
        <v>49</v>
      </c>
      <c r="G547" t="s">
        <v>28</v>
      </c>
      <c r="H547" t="s">
        <v>33</v>
      </c>
      <c r="I547" t="s">
        <v>34</v>
      </c>
      <c r="J547" t="s">
        <v>35</v>
      </c>
      <c r="K547">
        <v>0.1</v>
      </c>
      <c r="L54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547">
        <f>GhanaStream[[#This Row],[Subscription Fee]]-(GhanaStream[[#This Row],[Discount]]*GhanaStream[[#This Row],[Subscription Fee]])</f>
        <v>9720</v>
      </c>
      <c r="N547" t="str">
        <f>IF(GhanaStream[[#This Row],[Churn Flag]]="Yes","Churned","Retained")</f>
        <v>Retained</v>
      </c>
    </row>
    <row r="548" spans="1:14" x14ac:dyDescent="0.25">
      <c r="A548" t="s">
        <v>586</v>
      </c>
      <c r="B548" s="1">
        <v>45476</v>
      </c>
      <c r="C548" t="s">
        <v>20</v>
      </c>
      <c r="D548" t="s">
        <v>13</v>
      </c>
      <c r="E548">
        <v>500</v>
      </c>
      <c r="F548" t="s">
        <v>21</v>
      </c>
      <c r="G548" t="s">
        <v>24</v>
      </c>
      <c r="H548" t="s">
        <v>33</v>
      </c>
      <c r="I548" t="s">
        <v>34</v>
      </c>
      <c r="J548" t="s">
        <v>29</v>
      </c>
      <c r="K548">
        <v>0</v>
      </c>
      <c r="L54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548">
        <f>GhanaStream[[#This Row],[Subscription Fee]]-(GhanaStream[[#This Row],[Discount]]*GhanaStream[[#This Row],[Subscription Fee]])</f>
        <v>500</v>
      </c>
      <c r="N548" t="str">
        <f>IF(GhanaStream[[#This Row],[Churn Flag]]="Yes","Churned","Retained")</f>
        <v>Retained</v>
      </c>
    </row>
    <row r="549" spans="1:14" x14ac:dyDescent="0.25">
      <c r="A549" t="s">
        <v>587</v>
      </c>
      <c r="B549" s="1">
        <v>45438</v>
      </c>
      <c r="C549" t="s">
        <v>12</v>
      </c>
      <c r="D549" t="s">
        <v>13</v>
      </c>
      <c r="E549">
        <v>1500</v>
      </c>
      <c r="F549" t="s">
        <v>49</v>
      </c>
      <c r="G549" t="s">
        <v>24</v>
      </c>
      <c r="H549" t="s">
        <v>33</v>
      </c>
      <c r="I549" t="s">
        <v>34</v>
      </c>
      <c r="J549" t="s">
        <v>35</v>
      </c>
      <c r="K549">
        <v>0</v>
      </c>
      <c r="L54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549">
        <f>GhanaStream[[#This Row],[Subscription Fee]]-(GhanaStream[[#This Row],[Discount]]*GhanaStream[[#This Row],[Subscription Fee]])</f>
        <v>1500</v>
      </c>
      <c r="N549" t="str">
        <f>IF(GhanaStream[[#This Row],[Churn Flag]]="Yes","Churned","Retained")</f>
        <v>Retained</v>
      </c>
    </row>
    <row r="550" spans="1:14" x14ac:dyDescent="0.25">
      <c r="A550" t="s">
        <v>588</v>
      </c>
      <c r="B550" s="1">
        <v>45054</v>
      </c>
      <c r="C550" t="s">
        <v>31</v>
      </c>
      <c r="D550" t="s">
        <v>13</v>
      </c>
      <c r="E550">
        <v>1000</v>
      </c>
      <c r="F550" t="s">
        <v>49</v>
      </c>
      <c r="G550" t="s">
        <v>28</v>
      </c>
      <c r="H550" t="s">
        <v>33</v>
      </c>
      <c r="I550" t="s">
        <v>34</v>
      </c>
      <c r="J550" t="s">
        <v>58</v>
      </c>
      <c r="K550">
        <v>0</v>
      </c>
      <c r="L55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550">
        <f>GhanaStream[[#This Row],[Subscription Fee]]-(GhanaStream[[#This Row],[Discount]]*GhanaStream[[#This Row],[Subscription Fee]])</f>
        <v>1000</v>
      </c>
      <c r="N550" t="str">
        <f>IF(GhanaStream[[#This Row],[Churn Flag]]="Yes","Churned","Retained")</f>
        <v>Retained</v>
      </c>
    </row>
    <row r="551" spans="1:14" x14ac:dyDescent="0.25">
      <c r="A551" t="s">
        <v>589</v>
      </c>
      <c r="B551" s="1">
        <v>45472</v>
      </c>
      <c r="C551" t="s">
        <v>20</v>
      </c>
      <c r="D551" t="s">
        <v>13</v>
      </c>
      <c r="E551">
        <v>500</v>
      </c>
      <c r="F551" t="s">
        <v>14</v>
      </c>
      <c r="G551" t="s">
        <v>24</v>
      </c>
      <c r="H551" t="s">
        <v>16</v>
      </c>
      <c r="I551" t="s">
        <v>17</v>
      </c>
      <c r="J551" t="s">
        <v>37</v>
      </c>
      <c r="K551">
        <v>0</v>
      </c>
      <c r="L55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551">
        <f>GhanaStream[[#This Row],[Subscription Fee]]-(GhanaStream[[#This Row],[Discount]]*GhanaStream[[#This Row],[Subscription Fee]])</f>
        <v>500</v>
      </c>
      <c r="N551" t="str">
        <f>IF(GhanaStream[[#This Row],[Churn Flag]]="Yes","Churned","Retained")</f>
        <v>Churned</v>
      </c>
    </row>
    <row r="552" spans="1:14" x14ac:dyDescent="0.25">
      <c r="A552" t="s">
        <v>590</v>
      </c>
      <c r="B552" s="1">
        <v>45374</v>
      </c>
      <c r="C552" t="s">
        <v>31</v>
      </c>
      <c r="D552" t="s">
        <v>27</v>
      </c>
      <c r="E552">
        <v>10800</v>
      </c>
      <c r="F552" t="s">
        <v>32</v>
      </c>
      <c r="G552" t="s">
        <v>28</v>
      </c>
      <c r="H552" t="s">
        <v>33</v>
      </c>
      <c r="I552" t="s">
        <v>34</v>
      </c>
      <c r="J552" t="s">
        <v>35</v>
      </c>
      <c r="K552">
        <v>0.1</v>
      </c>
      <c r="L55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552">
        <f>GhanaStream[[#This Row],[Subscription Fee]]-(GhanaStream[[#This Row],[Discount]]*GhanaStream[[#This Row],[Subscription Fee]])</f>
        <v>9720</v>
      </c>
      <c r="N552" t="str">
        <f>IF(GhanaStream[[#This Row],[Churn Flag]]="Yes","Churned","Retained")</f>
        <v>Retained</v>
      </c>
    </row>
    <row r="553" spans="1:14" x14ac:dyDescent="0.25">
      <c r="A553" t="s">
        <v>591</v>
      </c>
      <c r="B553" s="1">
        <v>45520</v>
      </c>
      <c r="C553" t="s">
        <v>12</v>
      </c>
      <c r="D553" t="s">
        <v>13</v>
      </c>
      <c r="E553">
        <v>1500</v>
      </c>
      <c r="F553" t="s">
        <v>49</v>
      </c>
      <c r="G553" t="s">
        <v>28</v>
      </c>
      <c r="H553" t="s">
        <v>33</v>
      </c>
      <c r="I553" t="s">
        <v>34</v>
      </c>
      <c r="J553" t="s">
        <v>25</v>
      </c>
      <c r="K553">
        <v>0</v>
      </c>
      <c r="L55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553">
        <f>GhanaStream[[#This Row],[Subscription Fee]]-(GhanaStream[[#This Row],[Discount]]*GhanaStream[[#This Row],[Subscription Fee]])</f>
        <v>1500</v>
      </c>
      <c r="N553" t="str">
        <f>IF(GhanaStream[[#This Row],[Churn Flag]]="Yes","Churned","Retained")</f>
        <v>Retained</v>
      </c>
    </row>
    <row r="554" spans="1:14" x14ac:dyDescent="0.25">
      <c r="A554" t="s">
        <v>592</v>
      </c>
      <c r="B554" s="1">
        <v>45186</v>
      </c>
      <c r="C554" t="s">
        <v>12</v>
      </c>
      <c r="D554" t="s">
        <v>13</v>
      </c>
      <c r="E554">
        <v>1500</v>
      </c>
      <c r="F554" t="s">
        <v>32</v>
      </c>
      <c r="G554" t="s">
        <v>15</v>
      </c>
      <c r="H554" t="s">
        <v>16</v>
      </c>
      <c r="I554" t="s">
        <v>17</v>
      </c>
      <c r="J554" t="s">
        <v>44</v>
      </c>
      <c r="K554">
        <v>0</v>
      </c>
      <c r="L55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554">
        <f>GhanaStream[[#This Row],[Subscription Fee]]-(GhanaStream[[#This Row],[Discount]]*GhanaStream[[#This Row],[Subscription Fee]])</f>
        <v>1500</v>
      </c>
      <c r="N554" t="str">
        <f>IF(GhanaStream[[#This Row],[Churn Flag]]="Yes","Churned","Retained")</f>
        <v>Churned</v>
      </c>
    </row>
    <row r="555" spans="1:14" x14ac:dyDescent="0.25">
      <c r="A555" t="s">
        <v>593</v>
      </c>
      <c r="B555" s="1">
        <v>45183</v>
      </c>
      <c r="C555" t="s">
        <v>20</v>
      </c>
      <c r="D555" t="s">
        <v>13</v>
      </c>
      <c r="E555">
        <v>500</v>
      </c>
      <c r="F555" t="s">
        <v>49</v>
      </c>
      <c r="G555" t="s">
        <v>15</v>
      </c>
      <c r="H555" t="s">
        <v>16</v>
      </c>
      <c r="I555" t="s">
        <v>17</v>
      </c>
      <c r="J555" t="s">
        <v>18</v>
      </c>
      <c r="K555">
        <v>0</v>
      </c>
      <c r="L55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555">
        <f>GhanaStream[[#This Row],[Subscription Fee]]-(GhanaStream[[#This Row],[Discount]]*GhanaStream[[#This Row],[Subscription Fee]])</f>
        <v>500</v>
      </c>
      <c r="N555" t="str">
        <f>IF(GhanaStream[[#This Row],[Churn Flag]]="Yes","Churned","Retained")</f>
        <v>Churned</v>
      </c>
    </row>
    <row r="556" spans="1:14" x14ac:dyDescent="0.25">
      <c r="A556" t="s">
        <v>594</v>
      </c>
      <c r="B556" s="1">
        <v>45474</v>
      </c>
      <c r="C556" t="s">
        <v>12</v>
      </c>
      <c r="D556" t="s">
        <v>27</v>
      </c>
      <c r="E556">
        <v>16200</v>
      </c>
      <c r="F556" t="s">
        <v>21</v>
      </c>
      <c r="G556" t="s">
        <v>24</v>
      </c>
      <c r="H556" t="s">
        <v>33</v>
      </c>
      <c r="I556" t="s">
        <v>34</v>
      </c>
      <c r="J556" t="s">
        <v>18</v>
      </c>
      <c r="K556">
        <v>0.1</v>
      </c>
      <c r="L55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556">
        <f>GhanaStream[[#This Row],[Subscription Fee]]-(GhanaStream[[#This Row],[Discount]]*GhanaStream[[#This Row],[Subscription Fee]])</f>
        <v>14580</v>
      </c>
      <c r="N556" t="str">
        <f>IF(GhanaStream[[#This Row],[Churn Flag]]="Yes","Churned","Retained")</f>
        <v>Retained</v>
      </c>
    </row>
    <row r="557" spans="1:14" x14ac:dyDescent="0.25">
      <c r="A557" t="s">
        <v>595</v>
      </c>
      <c r="B557" s="1">
        <v>45277</v>
      </c>
      <c r="C557" t="s">
        <v>31</v>
      </c>
      <c r="D557" t="s">
        <v>13</v>
      </c>
      <c r="E557">
        <v>1000</v>
      </c>
      <c r="F557" t="s">
        <v>21</v>
      </c>
      <c r="G557" t="s">
        <v>15</v>
      </c>
      <c r="H557" t="s">
        <v>16</v>
      </c>
      <c r="I557" t="s">
        <v>17</v>
      </c>
      <c r="J557" t="s">
        <v>29</v>
      </c>
      <c r="K557">
        <v>0</v>
      </c>
      <c r="L55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557">
        <f>GhanaStream[[#This Row],[Subscription Fee]]-(GhanaStream[[#This Row],[Discount]]*GhanaStream[[#This Row],[Subscription Fee]])</f>
        <v>1000</v>
      </c>
      <c r="N557" t="str">
        <f>IF(GhanaStream[[#This Row],[Churn Flag]]="Yes","Churned","Retained")</f>
        <v>Churned</v>
      </c>
    </row>
    <row r="558" spans="1:14" x14ac:dyDescent="0.25">
      <c r="A558" t="s">
        <v>596</v>
      </c>
      <c r="B558" s="1">
        <v>45451</v>
      </c>
      <c r="C558" t="s">
        <v>12</v>
      </c>
      <c r="D558" t="s">
        <v>13</v>
      </c>
      <c r="E558">
        <v>1500</v>
      </c>
      <c r="F558" t="s">
        <v>14</v>
      </c>
      <c r="G558" t="s">
        <v>24</v>
      </c>
      <c r="H558" t="s">
        <v>33</v>
      </c>
      <c r="I558" t="s">
        <v>34</v>
      </c>
      <c r="J558" t="s">
        <v>37</v>
      </c>
      <c r="K558">
        <v>0</v>
      </c>
      <c r="L55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558">
        <f>GhanaStream[[#This Row],[Subscription Fee]]-(GhanaStream[[#This Row],[Discount]]*GhanaStream[[#This Row],[Subscription Fee]])</f>
        <v>1500</v>
      </c>
      <c r="N558" t="str">
        <f>IF(GhanaStream[[#This Row],[Churn Flag]]="Yes","Churned","Retained")</f>
        <v>Retained</v>
      </c>
    </row>
    <row r="559" spans="1:14" x14ac:dyDescent="0.25">
      <c r="A559" t="s">
        <v>597</v>
      </c>
      <c r="B559" s="1">
        <v>45197</v>
      </c>
      <c r="C559" t="s">
        <v>20</v>
      </c>
      <c r="D559" t="s">
        <v>13</v>
      </c>
      <c r="E559">
        <v>500</v>
      </c>
      <c r="F559" t="s">
        <v>14</v>
      </c>
      <c r="G559" t="s">
        <v>24</v>
      </c>
      <c r="H559" t="s">
        <v>33</v>
      </c>
      <c r="I559" t="s">
        <v>34</v>
      </c>
      <c r="J559" t="s">
        <v>37</v>
      </c>
      <c r="K559">
        <v>0</v>
      </c>
      <c r="L55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559">
        <f>GhanaStream[[#This Row],[Subscription Fee]]-(GhanaStream[[#This Row],[Discount]]*GhanaStream[[#This Row],[Subscription Fee]])</f>
        <v>500</v>
      </c>
      <c r="N559" t="str">
        <f>IF(GhanaStream[[#This Row],[Churn Flag]]="Yes","Churned","Retained")</f>
        <v>Retained</v>
      </c>
    </row>
    <row r="560" spans="1:14" x14ac:dyDescent="0.25">
      <c r="A560" t="s">
        <v>598</v>
      </c>
      <c r="B560" s="1">
        <v>45271</v>
      </c>
      <c r="C560" t="s">
        <v>12</v>
      </c>
      <c r="D560" t="s">
        <v>13</v>
      </c>
      <c r="E560">
        <v>1500</v>
      </c>
      <c r="F560" t="s">
        <v>21</v>
      </c>
      <c r="G560" t="s">
        <v>28</v>
      </c>
      <c r="H560" t="s">
        <v>33</v>
      </c>
      <c r="I560" t="s">
        <v>34</v>
      </c>
      <c r="J560" t="s">
        <v>29</v>
      </c>
      <c r="K560">
        <v>0</v>
      </c>
      <c r="L56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560">
        <f>GhanaStream[[#This Row],[Subscription Fee]]-(GhanaStream[[#This Row],[Discount]]*GhanaStream[[#This Row],[Subscription Fee]])</f>
        <v>1500</v>
      </c>
      <c r="N560" t="str">
        <f>IF(GhanaStream[[#This Row],[Churn Flag]]="Yes","Churned","Retained")</f>
        <v>Retained</v>
      </c>
    </row>
    <row r="561" spans="1:14" x14ac:dyDescent="0.25">
      <c r="A561" t="s">
        <v>599</v>
      </c>
      <c r="B561" s="1">
        <v>45617</v>
      </c>
      <c r="C561" t="s">
        <v>31</v>
      </c>
      <c r="D561" t="s">
        <v>13</v>
      </c>
      <c r="E561">
        <v>1000</v>
      </c>
      <c r="F561" t="s">
        <v>14</v>
      </c>
      <c r="G561" t="s">
        <v>24</v>
      </c>
      <c r="H561" t="s">
        <v>16</v>
      </c>
      <c r="I561" t="s">
        <v>17</v>
      </c>
      <c r="J561" t="s">
        <v>22</v>
      </c>
      <c r="K561">
        <v>0</v>
      </c>
      <c r="L56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561">
        <f>GhanaStream[[#This Row],[Subscription Fee]]-(GhanaStream[[#This Row],[Discount]]*GhanaStream[[#This Row],[Subscription Fee]])</f>
        <v>1000</v>
      </c>
      <c r="N561" t="str">
        <f>IF(GhanaStream[[#This Row],[Churn Flag]]="Yes","Churned","Retained")</f>
        <v>Churned</v>
      </c>
    </row>
    <row r="562" spans="1:14" x14ac:dyDescent="0.25">
      <c r="A562" t="s">
        <v>600</v>
      </c>
      <c r="B562" s="1">
        <v>45383</v>
      </c>
      <c r="C562" t="s">
        <v>31</v>
      </c>
      <c r="D562" t="s">
        <v>27</v>
      </c>
      <c r="E562">
        <v>10800</v>
      </c>
      <c r="F562" t="s">
        <v>21</v>
      </c>
      <c r="G562" t="s">
        <v>24</v>
      </c>
      <c r="H562" t="s">
        <v>33</v>
      </c>
      <c r="I562" t="s">
        <v>34</v>
      </c>
      <c r="J562" t="s">
        <v>18</v>
      </c>
      <c r="K562">
        <v>0.1</v>
      </c>
      <c r="L56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562">
        <f>GhanaStream[[#This Row],[Subscription Fee]]-(GhanaStream[[#This Row],[Discount]]*GhanaStream[[#This Row],[Subscription Fee]])</f>
        <v>9720</v>
      </c>
      <c r="N562" t="str">
        <f>IF(GhanaStream[[#This Row],[Churn Flag]]="Yes","Churned","Retained")</f>
        <v>Retained</v>
      </c>
    </row>
    <row r="563" spans="1:14" x14ac:dyDescent="0.25">
      <c r="A563" t="s">
        <v>601</v>
      </c>
      <c r="B563" s="1">
        <v>45603</v>
      </c>
      <c r="C563" t="s">
        <v>31</v>
      </c>
      <c r="D563" t="s">
        <v>27</v>
      </c>
      <c r="E563">
        <v>10800</v>
      </c>
      <c r="F563" t="s">
        <v>21</v>
      </c>
      <c r="G563" t="s">
        <v>15</v>
      </c>
      <c r="H563" t="s">
        <v>16</v>
      </c>
      <c r="I563" t="s">
        <v>17</v>
      </c>
      <c r="J563" t="s">
        <v>29</v>
      </c>
      <c r="K563">
        <v>0.1</v>
      </c>
      <c r="L56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563">
        <f>GhanaStream[[#This Row],[Subscription Fee]]-(GhanaStream[[#This Row],[Discount]]*GhanaStream[[#This Row],[Subscription Fee]])</f>
        <v>9720</v>
      </c>
      <c r="N563" t="str">
        <f>IF(GhanaStream[[#This Row],[Churn Flag]]="Yes","Churned","Retained")</f>
        <v>Churned</v>
      </c>
    </row>
    <row r="564" spans="1:14" x14ac:dyDescent="0.25">
      <c r="A564" t="s">
        <v>602</v>
      </c>
      <c r="B564" s="1">
        <v>45074</v>
      </c>
      <c r="C564" t="s">
        <v>31</v>
      </c>
      <c r="D564" t="s">
        <v>13</v>
      </c>
      <c r="E564">
        <v>1000</v>
      </c>
      <c r="F564" t="s">
        <v>49</v>
      </c>
      <c r="G564" t="s">
        <v>28</v>
      </c>
      <c r="H564" t="s">
        <v>33</v>
      </c>
      <c r="I564" t="s">
        <v>34</v>
      </c>
      <c r="J564" t="s">
        <v>50</v>
      </c>
      <c r="K564">
        <v>0</v>
      </c>
      <c r="L56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564">
        <f>GhanaStream[[#This Row],[Subscription Fee]]-(GhanaStream[[#This Row],[Discount]]*GhanaStream[[#This Row],[Subscription Fee]])</f>
        <v>1000</v>
      </c>
      <c r="N564" t="str">
        <f>IF(GhanaStream[[#This Row],[Churn Flag]]="Yes","Churned","Retained")</f>
        <v>Retained</v>
      </c>
    </row>
    <row r="565" spans="1:14" x14ac:dyDescent="0.25">
      <c r="A565" t="s">
        <v>603</v>
      </c>
      <c r="B565" s="1">
        <v>45113</v>
      </c>
      <c r="C565" t="s">
        <v>12</v>
      </c>
      <c r="D565" t="s">
        <v>27</v>
      </c>
      <c r="E565">
        <v>16200</v>
      </c>
      <c r="F565" t="s">
        <v>49</v>
      </c>
      <c r="G565" t="s">
        <v>28</v>
      </c>
      <c r="H565" t="s">
        <v>16</v>
      </c>
      <c r="I565" t="s">
        <v>17</v>
      </c>
      <c r="J565" t="s">
        <v>25</v>
      </c>
      <c r="K565">
        <v>0.1</v>
      </c>
      <c r="L56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565">
        <f>GhanaStream[[#This Row],[Subscription Fee]]-(GhanaStream[[#This Row],[Discount]]*GhanaStream[[#This Row],[Subscription Fee]])</f>
        <v>14580</v>
      </c>
      <c r="N565" t="str">
        <f>IF(GhanaStream[[#This Row],[Churn Flag]]="Yes","Churned","Retained")</f>
        <v>Churned</v>
      </c>
    </row>
    <row r="566" spans="1:14" x14ac:dyDescent="0.25">
      <c r="A566" t="s">
        <v>604</v>
      </c>
      <c r="B566" s="1">
        <v>45531</v>
      </c>
      <c r="C566" t="s">
        <v>20</v>
      </c>
      <c r="D566" t="s">
        <v>27</v>
      </c>
      <c r="E566">
        <v>5400</v>
      </c>
      <c r="F566" t="s">
        <v>21</v>
      </c>
      <c r="G566" t="s">
        <v>15</v>
      </c>
      <c r="H566" t="s">
        <v>16</v>
      </c>
      <c r="I566" t="s">
        <v>17</v>
      </c>
      <c r="J566" t="s">
        <v>29</v>
      </c>
      <c r="K566">
        <v>0.1</v>
      </c>
      <c r="L56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566">
        <f>GhanaStream[[#This Row],[Subscription Fee]]-(GhanaStream[[#This Row],[Discount]]*GhanaStream[[#This Row],[Subscription Fee]])</f>
        <v>4860</v>
      </c>
      <c r="N566" t="str">
        <f>IF(GhanaStream[[#This Row],[Churn Flag]]="Yes","Churned","Retained")</f>
        <v>Churned</v>
      </c>
    </row>
    <row r="567" spans="1:14" x14ac:dyDescent="0.25">
      <c r="A567" t="s">
        <v>605</v>
      </c>
      <c r="B567" s="1">
        <v>45392</v>
      </c>
      <c r="C567" t="s">
        <v>31</v>
      </c>
      <c r="D567" t="s">
        <v>27</v>
      </c>
      <c r="E567">
        <v>10800</v>
      </c>
      <c r="F567" t="s">
        <v>32</v>
      </c>
      <c r="G567" t="s">
        <v>15</v>
      </c>
      <c r="H567" t="s">
        <v>16</v>
      </c>
      <c r="I567" t="s">
        <v>17</v>
      </c>
      <c r="J567" t="s">
        <v>39</v>
      </c>
      <c r="K567">
        <v>0.1</v>
      </c>
      <c r="L56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567">
        <f>GhanaStream[[#This Row],[Subscription Fee]]-(GhanaStream[[#This Row],[Discount]]*GhanaStream[[#This Row],[Subscription Fee]])</f>
        <v>9720</v>
      </c>
      <c r="N567" t="str">
        <f>IF(GhanaStream[[#This Row],[Churn Flag]]="Yes","Churned","Retained")</f>
        <v>Churned</v>
      </c>
    </row>
    <row r="568" spans="1:14" x14ac:dyDescent="0.25">
      <c r="A568" t="s">
        <v>606</v>
      </c>
      <c r="B568" s="1">
        <v>45163</v>
      </c>
      <c r="C568" t="s">
        <v>31</v>
      </c>
      <c r="D568" t="s">
        <v>27</v>
      </c>
      <c r="E568">
        <v>10800</v>
      </c>
      <c r="F568" t="s">
        <v>14</v>
      </c>
      <c r="G568" t="s">
        <v>28</v>
      </c>
      <c r="H568" t="s">
        <v>16</v>
      </c>
      <c r="I568" t="s">
        <v>17</v>
      </c>
      <c r="J568" t="s">
        <v>41</v>
      </c>
      <c r="K568">
        <v>0.1</v>
      </c>
      <c r="L56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568">
        <f>GhanaStream[[#This Row],[Subscription Fee]]-(GhanaStream[[#This Row],[Discount]]*GhanaStream[[#This Row],[Subscription Fee]])</f>
        <v>9720</v>
      </c>
      <c r="N568" t="str">
        <f>IF(GhanaStream[[#This Row],[Churn Flag]]="Yes","Churned","Retained")</f>
        <v>Churned</v>
      </c>
    </row>
    <row r="569" spans="1:14" x14ac:dyDescent="0.25">
      <c r="A569" t="s">
        <v>607</v>
      </c>
      <c r="B569" s="1">
        <v>45263</v>
      </c>
      <c r="C569" t="s">
        <v>31</v>
      </c>
      <c r="D569" t="s">
        <v>13</v>
      </c>
      <c r="E569">
        <v>1000</v>
      </c>
      <c r="F569" t="s">
        <v>32</v>
      </c>
      <c r="G569" t="s">
        <v>24</v>
      </c>
      <c r="H569" t="s">
        <v>33</v>
      </c>
      <c r="I569" t="s">
        <v>34</v>
      </c>
      <c r="J569" t="s">
        <v>35</v>
      </c>
      <c r="K569">
        <v>0</v>
      </c>
      <c r="L56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569">
        <f>GhanaStream[[#This Row],[Subscription Fee]]-(GhanaStream[[#This Row],[Discount]]*GhanaStream[[#This Row],[Subscription Fee]])</f>
        <v>1000</v>
      </c>
      <c r="N569" t="str">
        <f>IF(GhanaStream[[#This Row],[Churn Flag]]="Yes","Churned","Retained")</f>
        <v>Retained</v>
      </c>
    </row>
    <row r="570" spans="1:14" x14ac:dyDescent="0.25">
      <c r="A570" t="s">
        <v>608</v>
      </c>
      <c r="B570" s="1">
        <v>45538</v>
      </c>
      <c r="C570" t="s">
        <v>12</v>
      </c>
      <c r="D570" t="s">
        <v>13</v>
      </c>
      <c r="E570">
        <v>1500</v>
      </c>
      <c r="F570" t="s">
        <v>32</v>
      </c>
      <c r="G570" t="s">
        <v>24</v>
      </c>
      <c r="H570" t="s">
        <v>33</v>
      </c>
      <c r="I570" t="s">
        <v>34</v>
      </c>
      <c r="J570" t="s">
        <v>66</v>
      </c>
      <c r="K570">
        <v>0</v>
      </c>
      <c r="L57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570">
        <f>GhanaStream[[#This Row],[Subscription Fee]]-(GhanaStream[[#This Row],[Discount]]*GhanaStream[[#This Row],[Subscription Fee]])</f>
        <v>1500</v>
      </c>
      <c r="N570" t="str">
        <f>IF(GhanaStream[[#This Row],[Churn Flag]]="Yes","Churned","Retained")</f>
        <v>Retained</v>
      </c>
    </row>
    <row r="571" spans="1:14" x14ac:dyDescent="0.25">
      <c r="A571" t="s">
        <v>609</v>
      </c>
      <c r="B571" s="1">
        <v>45240</v>
      </c>
      <c r="C571" t="s">
        <v>12</v>
      </c>
      <c r="D571" t="s">
        <v>27</v>
      </c>
      <c r="E571">
        <v>16200</v>
      </c>
      <c r="F571" t="s">
        <v>21</v>
      </c>
      <c r="G571" t="s">
        <v>24</v>
      </c>
      <c r="H571" t="s">
        <v>16</v>
      </c>
      <c r="I571" t="s">
        <v>17</v>
      </c>
      <c r="J571" t="s">
        <v>18</v>
      </c>
      <c r="K571">
        <v>0.1</v>
      </c>
      <c r="L57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571">
        <f>GhanaStream[[#This Row],[Subscription Fee]]-(GhanaStream[[#This Row],[Discount]]*GhanaStream[[#This Row],[Subscription Fee]])</f>
        <v>14580</v>
      </c>
      <c r="N571" t="str">
        <f>IF(GhanaStream[[#This Row],[Churn Flag]]="Yes","Churned","Retained")</f>
        <v>Churned</v>
      </c>
    </row>
    <row r="572" spans="1:14" x14ac:dyDescent="0.25">
      <c r="A572" t="s">
        <v>610</v>
      </c>
      <c r="B572" s="1">
        <v>45217</v>
      </c>
      <c r="C572" t="s">
        <v>31</v>
      </c>
      <c r="D572" t="s">
        <v>13</v>
      </c>
      <c r="E572">
        <v>1000</v>
      </c>
      <c r="F572" t="s">
        <v>49</v>
      </c>
      <c r="G572" t="s">
        <v>28</v>
      </c>
      <c r="H572" t="s">
        <v>33</v>
      </c>
      <c r="I572" t="s">
        <v>34</v>
      </c>
      <c r="J572" t="s">
        <v>25</v>
      </c>
      <c r="K572">
        <v>0</v>
      </c>
      <c r="L57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572">
        <f>GhanaStream[[#This Row],[Subscription Fee]]-(GhanaStream[[#This Row],[Discount]]*GhanaStream[[#This Row],[Subscription Fee]])</f>
        <v>1000</v>
      </c>
      <c r="N572" t="str">
        <f>IF(GhanaStream[[#This Row],[Churn Flag]]="Yes","Churned","Retained")</f>
        <v>Retained</v>
      </c>
    </row>
    <row r="573" spans="1:14" x14ac:dyDescent="0.25">
      <c r="A573" t="s">
        <v>611</v>
      </c>
      <c r="B573" s="1">
        <v>45377</v>
      </c>
      <c r="C573" t="s">
        <v>12</v>
      </c>
      <c r="D573" t="s">
        <v>13</v>
      </c>
      <c r="E573">
        <v>1500</v>
      </c>
      <c r="F573" t="s">
        <v>14</v>
      </c>
      <c r="G573" t="s">
        <v>24</v>
      </c>
      <c r="H573" t="s">
        <v>33</v>
      </c>
      <c r="I573" t="s">
        <v>34</v>
      </c>
      <c r="J573" t="s">
        <v>37</v>
      </c>
      <c r="K573">
        <v>0</v>
      </c>
      <c r="L57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573">
        <f>GhanaStream[[#This Row],[Subscription Fee]]-(GhanaStream[[#This Row],[Discount]]*GhanaStream[[#This Row],[Subscription Fee]])</f>
        <v>1500</v>
      </c>
      <c r="N573" t="str">
        <f>IF(GhanaStream[[#This Row],[Churn Flag]]="Yes","Churned","Retained")</f>
        <v>Retained</v>
      </c>
    </row>
    <row r="574" spans="1:14" x14ac:dyDescent="0.25">
      <c r="A574" t="s">
        <v>612</v>
      </c>
      <c r="B574" s="1">
        <v>45415</v>
      </c>
      <c r="C574" t="s">
        <v>20</v>
      </c>
      <c r="D574" t="s">
        <v>27</v>
      </c>
      <c r="E574">
        <v>5400</v>
      </c>
      <c r="F574" t="s">
        <v>14</v>
      </c>
      <c r="G574" t="s">
        <v>28</v>
      </c>
      <c r="H574" t="s">
        <v>16</v>
      </c>
      <c r="I574" t="s">
        <v>17</v>
      </c>
      <c r="J574" t="s">
        <v>18</v>
      </c>
      <c r="K574">
        <v>0.1</v>
      </c>
      <c r="L57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574">
        <f>GhanaStream[[#This Row],[Subscription Fee]]-(GhanaStream[[#This Row],[Discount]]*GhanaStream[[#This Row],[Subscription Fee]])</f>
        <v>4860</v>
      </c>
      <c r="N574" t="str">
        <f>IF(GhanaStream[[#This Row],[Churn Flag]]="Yes","Churned","Retained")</f>
        <v>Churned</v>
      </c>
    </row>
    <row r="575" spans="1:14" x14ac:dyDescent="0.25">
      <c r="A575" t="s">
        <v>613</v>
      </c>
      <c r="B575" s="1">
        <v>45276</v>
      </c>
      <c r="C575" t="s">
        <v>20</v>
      </c>
      <c r="D575" t="s">
        <v>13</v>
      </c>
      <c r="E575">
        <v>500</v>
      </c>
      <c r="F575" t="s">
        <v>49</v>
      </c>
      <c r="G575" t="s">
        <v>28</v>
      </c>
      <c r="H575" t="s">
        <v>33</v>
      </c>
      <c r="I575" t="s">
        <v>34</v>
      </c>
      <c r="J575" t="s">
        <v>50</v>
      </c>
      <c r="K575">
        <v>0</v>
      </c>
      <c r="L57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575">
        <f>GhanaStream[[#This Row],[Subscription Fee]]-(GhanaStream[[#This Row],[Discount]]*GhanaStream[[#This Row],[Subscription Fee]])</f>
        <v>500</v>
      </c>
      <c r="N575" t="str">
        <f>IF(GhanaStream[[#This Row],[Churn Flag]]="Yes","Churned","Retained")</f>
        <v>Retained</v>
      </c>
    </row>
    <row r="576" spans="1:14" x14ac:dyDescent="0.25">
      <c r="A576" t="s">
        <v>614</v>
      </c>
      <c r="B576" s="1">
        <v>45167</v>
      </c>
      <c r="C576" t="s">
        <v>20</v>
      </c>
      <c r="D576" t="s">
        <v>27</v>
      </c>
      <c r="E576">
        <v>5400</v>
      </c>
      <c r="F576" t="s">
        <v>49</v>
      </c>
      <c r="G576" t="s">
        <v>24</v>
      </c>
      <c r="H576" t="s">
        <v>33</v>
      </c>
      <c r="I576" t="s">
        <v>34</v>
      </c>
      <c r="J576" t="s">
        <v>25</v>
      </c>
      <c r="K576">
        <v>0.1</v>
      </c>
      <c r="L57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576">
        <f>GhanaStream[[#This Row],[Subscription Fee]]-(GhanaStream[[#This Row],[Discount]]*GhanaStream[[#This Row],[Subscription Fee]])</f>
        <v>4860</v>
      </c>
      <c r="N576" t="str">
        <f>IF(GhanaStream[[#This Row],[Churn Flag]]="Yes","Churned","Retained")</f>
        <v>Retained</v>
      </c>
    </row>
    <row r="577" spans="1:14" x14ac:dyDescent="0.25">
      <c r="A577" t="s">
        <v>615</v>
      </c>
      <c r="B577" s="1">
        <v>44991</v>
      </c>
      <c r="C577" t="s">
        <v>20</v>
      </c>
      <c r="D577" t="s">
        <v>13</v>
      </c>
      <c r="E577">
        <v>500</v>
      </c>
      <c r="F577" t="s">
        <v>49</v>
      </c>
      <c r="G577" t="s">
        <v>28</v>
      </c>
      <c r="H577" t="s">
        <v>33</v>
      </c>
      <c r="I577" t="s">
        <v>34</v>
      </c>
      <c r="J577" t="s">
        <v>25</v>
      </c>
      <c r="K577">
        <v>0</v>
      </c>
      <c r="L57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577">
        <f>GhanaStream[[#This Row],[Subscription Fee]]-(GhanaStream[[#This Row],[Discount]]*GhanaStream[[#This Row],[Subscription Fee]])</f>
        <v>500</v>
      </c>
      <c r="N577" t="str">
        <f>IF(GhanaStream[[#This Row],[Churn Flag]]="Yes","Churned","Retained")</f>
        <v>Retained</v>
      </c>
    </row>
    <row r="578" spans="1:14" x14ac:dyDescent="0.25">
      <c r="A578" t="s">
        <v>616</v>
      </c>
      <c r="B578" s="1">
        <v>45175</v>
      </c>
      <c r="C578" t="s">
        <v>20</v>
      </c>
      <c r="D578" t="s">
        <v>27</v>
      </c>
      <c r="E578">
        <v>5400</v>
      </c>
      <c r="F578" t="s">
        <v>14</v>
      </c>
      <c r="G578" t="s">
        <v>15</v>
      </c>
      <c r="H578" t="s">
        <v>16</v>
      </c>
      <c r="I578" t="s">
        <v>17</v>
      </c>
      <c r="J578" t="s">
        <v>37</v>
      </c>
      <c r="K578">
        <v>0.1</v>
      </c>
      <c r="L57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578">
        <f>GhanaStream[[#This Row],[Subscription Fee]]-(GhanaStream[[#This Row],[Discount]]*GhanaStream[[#This Row],[Subscription Fee]])</f>
        <v>4860</v>
      </c>
      <c r="N578" t="str">
        <f>IF(GhanaStream[[#This Row],[Churn Flag]]="Yes","Churned","Retained")</f>
        <v>Churned</v>
      </c>
    </row>
    <row r="579" spans="1:14" x14ac:dyDescent="0.25">
      <c r="A579" t="s">
        <v>617</v>
      </c>
      <c r="B579" s="1">
        <v>45483</v>
      </c>
      <c r="C579" t="s">
        <v>12</v>
      </c>
      <c r="D579" t="s">
        <v>13</v>
      </c>
      <c r="E579">
        <v>1500</v>
      </c>
      <c r="F579" t="s">
        <v>21</v>
      </c>
      <c r="G579" t="s">
        <v>15</v>
      </c>
      <c r="H579" t="s">
        <v>16</v>
      </c>
      <c r="I579" t="s">
        <v>17</v>
      </c>
      <c r="J579" t="s">
        <v>29</v>
      </c>
      <c r="K579">
        <v>0</v>
      </c>
      <c r="L57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579">
        <f>GhanaStream[[#This Row],[Subscription Fee]]-(GhanaStream[[#This Row],[Discount]]*GhanaStream[[#This Row],[Subscription Fee]])</f>
        <v>1500</v>
      </c>
      <c r="N579" t="str">
        <f>IF(GhanaStream[[#This Row],[Churn Flag]]="Yes","Churned","Retained")</f>
        <v>Churned</v>
      </c>
    </row>
    <row r="580" spans="1:14" x14ac:dyDescent="0.25">
      <c r="A580" t="s">
        <v>618</v>
      </c>
      <c r="B580" s="1">
        <v>45630</v>
      </c>
      <c r="C580" t="s">
        <v>12</v>
      </c>
      <c r="D580" t="s">
        <v>27</v>
      </c>
      <c r="E580">
        <v>16200</v>
      </c>
      <c r="F580" t="s">
        <v>14</v>
      </c>
      <c r="G580" t="s">
        <v>24</v>
      </c>
      <c r="H580" t="s">
        <v>16</v>
      </c>
      <c r="I580" t="s">
        <v>17</v>
      </c>
      <c r="J580" t="s">
        <v>37</v>
      </c>
      <c r="K580">
        <v>0.1</v>
      </c>
      <c r="L58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580">
        <f>GhanaStream[[#This Row],[Subscription Fee]]-(GhanaStream[[#This Row],[Discount]]*GhanaStream[[#This Row],[Subscription Fee]])</f>
        <v>14580</v>
      </c>
      <c r="N580" t="str">
        <f>IF(GhanaStream[[#This Row],[Churn Flag]]="Yes","Churned","Retained")</f>
        <v>Churned</v>
      </c>
    </row>
    <row r="581" spans="1:14" x14ac:dyDescent="0.25">
      <c r="A581" t="s">
        <v>619</v>
      </c>
      <c r="B581" s="1">
        <v>45407</v>
      </c>
      <c r="C581" t="s">
        <v>31</v>
      </c>
      <c r="D581" t="s">
        <v>13</v>
      </c>
      <c r="E581">
        <v>1000</v>
      </c>
      <c r="F581" t="s">
        <v>21</v>
      </c>
      <c r="G581" t="s">
        <v>24</v>
      </c>
      <c r="H581" t="s">
        <v>16</v>
      </c>
      <c r="I581" t="s">
        <v>17</v>
      </c>
      <c r="J581" t="s">
        <v>29</v>
      </c>
      <c r="K581">
        <v>0</v>
      </c>
      <c r="L58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581">
        <f>GhanaStream[[#This Row],[Subscription Fee]]-(GhanaStream[[#This Row],[Discount]]*GhanaStream[[#This Row],[Subscription Fee]])</f>
        <v>1000</v>
      </c>
      <c r="N581" t="str">
        <f>IF(GhanaStream[[#This Row],[Churn Flag]]="Yes","Churned","Retained")</f>
        <v>Churned</v>
      </c>
    </row>
    <row r="582" spans="1:14" x14ac:dyDescent="0.25">
      <c r="A582" t="s">
        <v>620</v>
      </c>
      <c r="B582" s="1">
        <v>45611</v>
      </c>
      <c r="C582" t="s">
        <v>31</v>
      </c>
      <c r="D582" t="s">
        <v>27</v>
      </c>
      <c r="E582">
        <v>10800</v>
      </c>
      <c r="F582" t="s">
        <v>32</v>
      </c>
      <c r="G582" t="s">
        <v>28</v>
      </c>
      <c r="H582" t="s">
        <v>16</v>
      </c>
      <c r="I582" t="s">
        <v>17</v>
      </c>
      <c r="J582" t="s">
        <v>25</v>
      </c>
      <c r="K582">
        <v>0.1</v>
      </c>
      <c r="L58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582">
        <f>GhanaStream[[#This Row],[Subscription Fee]]-(GhanaStream[[#This Row],[Discount]]*GhanaStream[[#This Row],[Subscription Fee]])</f>
        <v>9720</v>
      </c>
      <c r="N582" t="str">
        <f>IF(GhanaStream[[#This Row],[Churn Flag]]="Yes","Churned","Retained")</f>
        <v>Churned</v>
      </c>
    </row>
    <row r="583" spans="1:14" x14ac:dyDescent="0.25">
      <c r="A583" t="s">
        <v>621</v>
      </c>
      <c r="B583" s="1">
        <v>45435</v>
      </c>
      <c r="C583" t="s">
        <v>20</v>
      </c>
      <c r="D583" t="s">
        <v>13</v>
      </c>
      <c r="E583">
        <v>500</v>
      </c>
      <c r="F583" t="s">
        <v>49</v>
      </c>
      <c r="G583" t="s">
        <v>24</v>
      </c>
      <c r="H583" t="s">
        <v>33</v>
      </c>
      <c r="I583" t="s">
        <v>34</v>
      </c>
      <c r="J583" t="s">
        <v>22</v>
      </c>
      <c r="K583">
        <v>0</v>
      </c>
      <c r="L58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583">
        <f>GhanaStream[[#This Row],[Subscription Fee]]-(GhanaStream[[#This Row],[Discount]]*GhanaStream[[#This Row],[Subscription Fee]])</f>
        <v>500</v>
      </c>
      <c r="N583" t="str">
        <f>IF(GhanaStream[[#This Row],[Churn Flag]]="Yes","Churned","Retained")</f>
        <v>Retained</v>
      </c>
    </row>
    <row r="584" spans="1:14" x14ac:dyDescent="0.25">
      <c r="A584" t="s">
        <v>622</v>
      </c>
      <c r="B584" s="1">
        <v>45010</v>
      </c>
      <c r="C584" t="s">
        <v>31</v>
      </c>
      <c r="D584" t="s">
        <v>27</v>
      </c>
      <c r="E584">
        <v>10800</v>
      </c>
      <c r="F584" t="s">
        <v>14</v>
      </c>
      <c r="G584" t="s">
        <v>24</v>
      </c>
      <c r="H584" t="s">
        <v>33</v>
      </c>
      <c r="I584" t="s">
        <v>34</v>
      </c>
      <c r="J584" t="s">
        <v>22</v>
      </c>
      <c r="K584">
        <v>0.1</v>
      </c>
      <c r="L58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584">
        <f>GhanaStream[[#This Row],[Subscription Fee]]-(GhanaStream[[#This Row],[Discount]]*GhanaStream[[#This Row],[Subscription Fee]])</f>
        <v>9720</v>
      </c>
      <c r="N584" t="str">
        <f>IF(GhanaStream[[#This Row],[Churn Flag]]="Yes","Churned","Retained")</f>
        <v>Retained</v>
      </c>
    </row>
    <row r="585" spans="1:14" x14ac:dyDescent="0.25">
      <c r="A585" t="s">
        <v>623</v>
      </c>
      <c r="B585" s="1">
        <v>45598</v>
      </c>
      <c r="C585" t="s">
        <v>31</v>
      </c>
      <c r="D585" t="s">
        <v>27</v>
      </c>
      <c r="E585">
        <v>10800</v>
      </c>
      <c r="F585" t="s">
        <v>21</v>
      </c>
      <c r="G585" t="s">
        <v>28</v>
      </c>
      <c r="H585" t="s">
        <v>16</v>
      </c>
      <c r="I585" t="s">
        <v>17</v>
      </c>
      <c r="J585" t="s">
        <v>25</v>
      </c>
      <c r="K585">
        <v>0.1</v>
      </c>
      <c r="L58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585">
        <f>GhanaStream[[#This Row],[Subscription Fee]]-(GhanaStream[[#This Row],[Discount]]*GhanaStream[[#This Row],[Subscription Fee]])</f>
        <v>9720</v>
      </c>
      <c r="N585" t="str">
        <f>IF(GhanaStream[[#This Row],[Churn Flag]]="Yes","Churned","Retained")</f>
        <v>Churned</v>
      </c>
    </row>
    <row r="586" spans="1:14" x14ac:dyDescent="0.25">
      <c r="A586" t="s">
        <v>624</v>
      </c>
      <c r="B586" s="1">
        <v>45567</v>
      </c>
      <c r="C586" t="s">
        <v>20</v>
      </c>
      <c r="D586" t="s">
        <v>27</v>
      </c>
      <c r="E586">
        <v>5400</v>
      </c>
      <c r="F586" t="s">
        <v>14</v>
      </c>
      <c r="G586" t="s">
        <v>24</v>
      </c>
      <c r="H586" t="s">
        <v>16</v>
      </c>
      <c r="I586" t="s">
        <v>17</v>
      </c>
      <c r="J586" t="s">
        <v>41</v>
      </c>
      <c r="K586">
        <v>0.1</v>
      </c>
      <c r="L58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586">
        <f>GhanaStream[[#This Row],[Subscription Fee]]-(GhanaStream[[#This Row],[Discount]]*GhanaStream[[#This Row],[Subscription Fee]])</f>
        <v>4860</v>
      </c>
      <c r="N586" t="str">
        <f>IF(GhanaStream[[#This Row],[Churn Flag]]="Yes","Churned","Retained")</f>
        <v>Churned</v>
      </c>
    </row>
    <row r="587" spans="1:14" x14ac:dyDescent="0.25">
      <c r="A587" t="s">
        <v>625</v>
      </c>
      <c r="B587" s="1">
        <v>45012</v>
      </c>
      <c r="C587" t="s">
        <v>31</v>
      </c>
      <c r="D587" t="s">
        <v>13</v>
      </c>
      <c r="E587">
        <v>1000</v>
      </c>
      <c r="F587" t="s">
        <v>14</v>
      </c>
      <c r="G587" t="s">
        <v>15</v>
      </c>
      <c r="H587" t="s">
        <v>16</v>
      </c>
      <c r="I587" t="s">
        <v>17</v>
      </c>
      <c r="J587" t="s">
        <v>37</v>
      </c>
      <c r="K587">
        <v>0</v>
      </c>
      <c r="L58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587">
        <f>GhanaStream[[#This Row],[Subscription Fee]]-(GhanaStream[[#This Row],[Discount]]*GhanaStream[[#This Row],[Subscription Fee]])</f>
        <v>1000</v>
      </c>
      <c r="N587" t="str">
        <f>IF(GhanaStream[[#This Row],[Churn Flag]]="Yes","Churned","Retained")</f>
        <v>Churned</v>
      </c>
    </row>
    <row r="588" spans="1:14" x14ac:dyDescent="0.25">
      <c r="A588" t="s">
        <v>626</v>
      </c>
      <c r="B588" s="1">
        <v>45134</v>
      </c>
      <c r="C588" t="s">
        <v>31</v>
      </c>
      <c r="D588" t="s">
        <v>27</v>
      </c>
      <c r="E588">
        <v>10800</v>
      </c>
      <c r="F588" t="s">
        <v>32</v>
      </c>
      <c r="G588" t="s">
        <v>24</v>
      </c>
      <c r="H588" t="s">
        <v>33</v>
      </c>
      <c r="I588" t="s">
        <v>34</v>
      </c>
      <c r="J588" t="s">
        <v>25</v>
      </c>
      <c r="K588">
        <v>0.1</v>
      </c>
      <c r="L58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588">
        <f>GhanaStream[[#This Row],[Subscription Fee]]-(GhanaStream[[#This Row],[Discount]]*GhanaStream[[#This Row],[Subscription Fee]])</f>
        <v>9720</v>
      </c>
      <c r="N588" t="str">
        <f>IF(GhanaStream[[#This Row],[Churn Flag]]="Yes","Churned","Retained")</f>
        <v>Retained</v>
      </c>
    </row>
    <row r="589" spans="1:14" x14ac:dyDescent="0.25">
      <c r="A589" t="s">
        <v>627</v>
      </c>
      <c r="B589" s="1">
        <v>45189</v>
      </c>
      <c r="C589" t="s">
        <v>31</v>
      </c>
      <c r="D589" t="s">
        <v>13</v>
      </c>
      <c r="E589">
        <v>1000</v>
      </c>
      <c r="F589" t="s">
        <v>21</v>
      </c>
      <c r="G589" t="s">
        <v>24</v>
      </c>
      <c r="H589" t="s">
        <v>33</v>
      </c>
      <c r="I589" t="s">
        <v>34</v>
      </c>
      <c r="J589" t="s">
        <v>22</v>
      </c>
      <c r="K589">
        <v>0</v>
      </c>
      <c r="L58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589">
        <f>GhanaStream[[#This Row],[Subscription Fee]]-(GhanaStream[[#This Row],[Discount]]*GhanaStream[[#This Row],[Subscription Fee]])</f>
        <v>1000</v>
      </c>
      <c r="N589" t="str">
        <f>IF(GhanaStream[[#This Row],[Churn Flag]]="Yes","Churned","Retained")</f>
        <v>Retained</v>
      </c>
    </row>
    <row r="590" spans="1:14" x14ac:dyDescent="0.25">
      <c r="A590" t="s">
        <v>628</v>
      </c>
      <c r="B590" s="1">
        <v>44936</v>
      </c>
      <c r="C590" t="s">
        <v>12</v>
      </c>
      <c r="D590" t="s">
        <v>13</v>
      </c>
      <c r="E590">
        <v>1500</v>
      </c>
      <c r="F590" t="s">
        <v>21</v>
      </c>
      <c r="G590" t="s">
        <v>28</v>
      </c>
      <c r="H590" t="s">
        <v>33</v>
      </c>
      <c r="I590" t="s">
        <v>34</v>
      </c>
      <c r="J590" t="s">
        <v>18</v>
      </c>
      <c r="K590">
        <v>0</v>
      </c>
      <c r="L59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590">
        <f>GhanaStream[[#This Row],[Subscription Fee]]-(GhanaStream[[#This Row],[Discount]]*GhanaStream[[#This Row],[Subscription Fee]])</f>
        <v>1500</v>
      </c>
      <c r="N590" t="str">
        <f>IF(GhanaStream[[#This Row],[Churn Flag]]="Yes","Churned","Retained")</f>
        <v>Retained</v>
      </c>
    </row>
    <row r="591" spans="1:14" x14ac:dyDescent="0.25">
      <c r="A591" t="s">
        <v>629</v>
      </c>
      <c r="B591" s="1">
        <v>44928</v>
      </c>
      <c r="C591" t="s">
        <v>20</v>
      </c>
      <c r="D591" t="s">
        <v>13</v>
      </c>
      <c r="E591">
        <v>500</v>
      </c>
      <c r="F591" t="s">
        <v>14</v>
      </c>
      <c r="G591" t="s">
        <v>24</v>
      </c>
      <c r="H591" t="s">
        <v>33</v>
      </c>
      <c r="I591" t="s">
        <v>34</v>
      </c>
      <c r="J591" t="s">
        <v>37</v>
      </c>
      <c r="K591">
        <v>0</v>
      </c>
      <c r="L59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591">
        <f>GhanaStream[[#This Row],[Subscription Fee]]-(GhanaStream[[#This Row],[Discount]]*GhanaStream[[#This Row],[Subscription Fee]])</f>
        <v>500</v>
      </c>
      <c r="N591" t="str">
        <f>IF(GhanaStream[[#This Row],[Churn Flag]]="Yes","Churned","Retained")</f>
        <v>Retained</v>
      </c>
    </row>
    <row r="592" spans="1:14" x14ac:dyDescent="0.25">
      <c r="A592" t="s">
        <v>630</v>
      </c>
      <c r="B592" s="1">
        <v>44964</v>
      </c>
      <c r="C592" t="s">
        <v>12</v>
      </c>
      <c r="D592" t="s">
        <v>27</v>
      </c>
      <c r="E592">
        <v>16200</v>
      </c>
      <c r="F592" t="s">
        <v>14</v>
      </c>
      <c r="G592" t="s">
        <v>24</v>
      </c>
      <c r="H592" t="s">
        <v>33</v>
      </c>
      <c r="I592" t="s">
        <v>34</v>
      </c>
      <c r="J592" t="s">
        <v>55</v>
      </c>
      <c r="K592">
        <v>0.1</v>
      </c>
      <c r="L59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592">
        <f>GhanaStream[[#This Row],[Subscription Fee]]-(GhanaStream[[#This Row],[Discount]]*GhanaStream[[#This Row],[Subscription Fee]])</f>
        <v>14580</v>
      </c>
      <c r="N592" t="str">
        <f>IF(GhanaStream[[#This Row],[Churn Flag]]="Yes","Churned","Retained")</f>
        <v>Retained</v>
      </c>
    </row>
    <row r="593" spans="1:14" x14ac:dyDescent="0.25">
      <c r="A593" t="s">
        <v>631</v>
      </c>
      <c r="B593" s="1">
        <v>45066</v>
      </c>
      <c r="C593" t="s">
        <v>20</v>
      </c>
      <c r="D593" t="s">
        <v>27</v>
      </c>
      <c r="E593">
        <v>5400</v>
      </c>
      <c r="F593" t="s">
        <v>49</v>
      </c>
      <c r="G593" t="s">
        <v>15</v>
      </c>
      <c r="H593" t="s">
        <v>16</v>
      </c>
      <c r="I593" t="s">
        <v>17</v>
      </c>
      <c r="J593" t="s">
        <v>50</v>
      </c>
      <c r="K593">
        <v>0.1</v>
      </c>
      <c r="L59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593">
        <f>GhanaStream[[#This Row],[Subscription Fee]]-(GhanaStream[[#This Row],[Discount]]*GhanaStream[[#This Row],[Subscription Fee]])</f>
        <v>4860</v>
      </c>
      <c r="N593" t="str">
        <f>IF(GhanaStream[[#This Row],[Churn Flag]]="Yes","Churned","Retained")</f>
        <v>Churned</v>
      </c>
    </row>
    <row r="594" spans="1:14" x14ac:dyDescent="0.25">
      <c r="A594" t="s">
        <v>632</v>
      </c>
      <c r="B594" s="1">
        <v>44952</v>
      </c>
      <c r="C594" t="s">
        <v>12</v>
      </c>
      <c r="D594" t="s">
        <v>27</v>
      </c>
      <c r="E594">
        <v>16200</v>
      </c>
      <c r="F594" t="s">
        <v>14</v>
      </c>
      <c r="G594" t="s">
        <v>28</v>
      </c>
      <c r="H594" t="s">
        <v>16</v>
      </c>
      <c r="I594" t="s">
        <v>17</v>
      </c>
      <c r="J594" t="s">
        <v>22</v>
      </c>
      <c r="K594">
        <v>0.1</v>
      </c>
      <c r="L59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594">
        <f>GhanaStream[[#This Row],[Subscription Fee]]-(GhanaStream[[#This Row],[Discount]]*GhanaStream[[#This Row],[Subscription Fee]])</f>
        <v>14580</v>
      </c>
      <c r="N594" t="str">
        <f>IF(GhanaStream[[#This Row],[Churn Flag]]="Yes","Churned","Retained")</f>
        <v>Churned</v>
      </c>
    </row>
    <row r="595" spans="1:14" x14ac:dyDescent="0.25">
      <c r="A595" t="s">
        <v>633</v>
      </c>
      <c r="B595" s="1">
        <v>45152</v>
      </c>
      <c r="C595" t="s">
        <v>31</v>
      </c>
      <c r="D595" t="s">
        <v>13</v>
      </c>
      <c r="E595">
        <v>1000</v>
      </c>
      <c r="F595" t="s">
        <v>49</v>
      </c>
      <c r="G595" t="s">
        <v>28</v>
      </c>
      <c r="H595" t="s">
        <v>16</v>
      </c>
      <c r="I595" t="s">
        <v>17</v>
      </c>
      <c r="J595" t="s">
        <v>35</v>
      </c>
      <c r="K595">
        <v>0</v>
      </c>
      <c r="L59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595">
        <f>GhanaStream[[#This Row],[Subscription Fee]]-(GhanaStream[[#This Row],[Discount]]*GhanaStream[[#This Row],[Subscription Fee]])</f>
        <v>1000</v>
      </c>
      <c r="N595" t="str">
        <f>IF(GhanaStream[[#This Row],[Churn Flag]]="Yes","Churned","Retained")</f>
        <v>Churned</v>
      </c>
    </row>
    <row r="596" spans="1:14" x14ac:dyDescent="0.25">
      <c r="A596" t="s">
        <v>634</v>
      </c>
      <c r="B596" s="1">
        <v>45617</v>
      </c>
      <c r="C596" t="s">
        <v>12</v>
      </c>
      <c r="D596" t="s">
        <v>27</v>
      </c>
      <c r="E596">
        <v>16200</v>
      </c>
      <c r="F596" t="s">
        <v>14</v>
      </c>
      <c r="G596" t="s">
        <v>15</v>
      </c>
      <c r="H596" t="s">
        <v>16</v>
      </c>
      <c r="I596" t="s">
        <v>17</v>
      </c>
      <c r="J596" t="s">
        <v>55</v>
      </c>
      <c r="K596">
        <v>0.1</v>
      </c>
      <c r="L59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596">
        <f>GhanaStream[[#This Row],[Subscription Fee]]-(GhanaStream[[#This Row],[Discount]]*GhanaStream[[#This Row],[Subscription Fee]])</f>
        <v>14580</v>
      </c>
      <c r="N596" t="str">
        <f>IF(GhanaStream[[#This Row],[Churn Flag]]="Yes","Churned","Retained")</f>
        <v>Churned</v>
      </c>
    </row>
    <row r="597" spans="1:14" x14ac:dyDescent="0.25">
      <c r="A597" t="s">
        <v>635</v>
      </c>
      <c r="B597" s="1">
        <v>45203</v>
      </c>
      <c r="C597" t="s">
        <v>31</v>
      </c>
      <c r="D597" t="s">
        <v>27</v>
      </c>
      <c r="E597">
        <v>10800</v>
      </c>
      <c r="F597" t="s">
        <v>49</v>
      </c>
      <c r="G597" t="s">
        <v>24</v>
      </c>
      <c r="H597" t="s">
        <v>33</v>
      </c>
      <c r="I597" t="s">
        <v>34</v>
      </c>
      <c r="J597" t="s">
        <v>18</v>
      </c>
      <c r="K597">
        <v>0.1</v>
      </c>
      <c r="L59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597">
        <f>GhanaStream[[#This Row],[Subscription Fee]]-(GhanaStream[[#This Row],[Discount]]*GhanaStream[[#This Row],[Subscription Fee]])</f>
        <v>9720</v>
      </c>
      <c r="N597" t="str">
        <f>IF(GhanaStream[[#This Row],[Churn Flag]]="Yes","Churned","Retained")</f>
        <v>Retained</v>
      </c>
    </row>
    <row r="598" spans="1:14" x14ac:dyDescent="0.25">
      <c r="A598" t="s">
        <v>636</v>
      </c>
      <c r="B598" s="1">
        <v>45218</v>
      </c>
      <c r="C598" t="s">
        <v>12</v>
      </c>
      <c r="D598" t="s">
        <v>27</v>
      </c>
      <c r="E598">
        <v>16200</v>
      </c>
      <c r="F598" t="s">
        <v>49</v>
      </c>
      <c r="G598" t="s">
        <v>24</v>
      </c>
      <c r="H598" t="s">
        <v>33</v>
      </c>
      <c r="I598" t="s">
        <v>34</v>
      </c>
      <c r="J598" t="s">
        <v>58</v>
      </c>
      <c r="K598">
        <v>0.1</v>
      </c>
      <c r="L59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598">
        <f>GhanaStream[[#This Row],[Subscription Fee]]-(GhanaStream[[#This Row],[Discount]]*GhanaStream[[#This Row],[Subscription Fee]])</f>
        <v>14580</v>
      </c>
      <c r="N598" t="str">
        <f>IF(GhanaStream[[#This Row],[Churn Flag]]="Yes","Churned","Retained")</f>
        <v>Retained</v>
      </c>
    </row>
    <row r="599" spans="1:14" x14ac:dyDescent="0.25">
      <c r="A599" t="s">
        <v>637</v>
      </c>
      <c r="B599" s="1">
        <v>45102</v>
      </c>
      <c r="C599" t="s">
        <v>12</v>
      </c>
      <c r="D599" t="s">
        <v>27</v>
      </c>
      <c r="E599">
        <v>16200</v>
      </c>
      <c r="F599" t="s">
        <v>32</v>
      </c>
      <c r="G599" t="s">
        <v>15</v>
      </c>
      <c r="H599" t="s">
        <v>16</v>
      </c>
      <c r="I599" t="s">
        <v>17</v>
      </c>
      <c r="J599" t="s">
        <v>44</v>
      </c>
      <c r="K599">
        <v>0.1</v>
      </c>
      <c r="L59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599">
        <f>GhanaStream[[#This Row],[Subscription Fee]]-(GhanaStream[[#This Row],[Discount]]*GhanaStream[[#This Row],[Subscription Fee]])</f>
        <v>14580</v>
      </c>
      <c r="N599" t="str">
        <f>IF(GhanaStream[[#This Row],[Churn Flag]]="Yes","Churned","Retained")</f>
        <v>Churned</v>
      </c>
    </row>
    <row r="600" spans="1:14" x14ac:dyDescent="0.25">
      <c r="A600" t="s">
        <v>638</v>
      </c>
      <c r="B600" s="1">
        <v>45305</v>
      </c>
      <c r="C600" t="s">
        <v>31</v>
      </c>
      <c r="D600" t="s">
        <v>27</v>
      </c>
      <c r="E600">
        <v>10800</v>
      </c>
      <c r="F600" t="s">
        <v>49</v>
      </c>
      <c r="G600" t="s">
        <v>15</v>
      </c>
      <c r="H600" t="s">
        <v>16</v>
      </c>
      <c r="I600" t="s">
        <v>17</v>
      </c>
      <c r="J600" t="s">
        <v>22</v>
      </c>
      <c r="K600">
        <v>0.1</v>
      </c>
      <c r="L60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600">
        <f>GhanaStream[[#This Row],[Subscription Fee]]-(GhanaStream[[#This Row],[Discount]]*GhanaStream[[#This Row],[Subscription Fee]])</f>
        <v>9720</v>
      </c>
      <c r="N600" t="str">
        <f>IF(GhanaStream[[#This Row],[Churn Flag]]="Yes","Churned","Retained")</f>
        <v>Churned</v>
      </c>
    </row>
    <row r="601" spans="1:14" x14ac:dyDescent="0.25">
      <c r="A601" t="s">
        <v>639</v>
      </c>
      <c r="B601" s="1">
        <v>45450</v>
      </c>
      <c r="C601" t="s">
        <v>12</v>
      </c>
      <c r="D601" t="s">
        <v>27</v>
      </c>
      <c r="E601">
        <v>16200</v>
      </c>
      <c r="F601" t="s">
        <v>49</v>
      </c>
      <c r="G601" t="s">
        <v>24</v>
      </c>
      <c r="H601" t="s">
        <v>33</v>
      </c>
      <c r="I601" t="s">
        <v>34</v>
      </c>
      <c r="J601" t="s">
        <v>50</v>
      </c>
      <c r="K601">
        <v>0.1</v>
      </c>
      <c r="L60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601">
        <f>GhanaStream[[#This Row],[Subscription Fee]]-(GhanaStream[[#This Row],[Discount]]*GhanaStream[[#This Row],[Subscription Fee]])</f>
        <v>14580</v>
      </c>
      <c r="N601" t="str">
        <f>IF(GhanaStream[[#This Row],[Churn Flag]]="Yes","Churned","Retained")</f>
        <v>Retained</v>
      </c>
    </row>
    <row r="602" spans="1:14" x14ac:dyDescent="0.25">
      <c r="A602" t="s">
        <v>640</v>
      </c>
      <c r="B602" s="1">
        <v>45364</v>
      </c>
      <c r="C602" t="s">
        <v>20</v>
      </c>
      <c r="D602" t="s">
        <v>13</v>
      </c>
      <c r="E602">
        <v>500</v>
      </c>
      <c r="F602" t="s">
        <v>32</v>
      </c>
      <c r="G602" t="s">
        <v>15</v>
      </c>
      <c r="H602" t="s">
        <v>16</v>
      </c>
      <c r="I602" t="s">
        <v>17</v>
      </c>
      <c r="J602" t="s">
        <v>66</v>
      </c>
      <c r="K602">
        <v>0</v>
      </c>
      <c r="L60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602">
        <f>GhanaStream[[#This Row],[Subscription Fee]]-(GhanaStream[[#This Row],[Discount]]*GhanaStream[[#This Row],[Subscription Fee]])</f>
        <v>500</v>
      </c>
      <c r="N602" t="str">
        <f>IF(GhanaStream[[#This Row],[Churn Flag]]="Yes","Churned","Retained")</f>
        <v>Churned</v>
      </c>
    </row>
    <row r="603" spans="1:14" x14ac:dyDescent="0.25">
      <c r="A603" t="s">
        <v>641</v>
      </c>
      <c r="B603" s="1">
        <v>45246</v>
      </c>
      <c r="C603" t="s">
        <v>20</v>
      </c>
      <c r="D603" t="s">
        <v>13</v>
      </c>
      <c r="E603">
        <v>500</v>
      </c>
      <c r="F603" t="s">
        <v>49</v>
      </c>
      <c r="G603" t="s">
        <v>28</v>
      </c>
      <c r="H603" t="s">
        <v>16</v>
      </c>
      <c r="I603" t="s">
        <v>17</v>
      </c>
      <c r="J603" t="s">
        <v>25</v>
      </c>
      <c r="K603">
        <v>0</v>
      </c>
      <c r="L60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603">
        <f>GhanaStream[[#This Row],[Subscription Fee]]-(GhanaStream[[#This Row],[Discount]]*GhanaStream[[#This Row],[Subscription Fee]])</f>
        <v>500</v>
      </c>
      <c r="N603" t="str">
        <f>IF(GhanaStream[[#This Row],[Churn Flag]]="Yes","Churned","Retained")</f>
        <v>Churned</v>
      </c>
    </row>
    <row r="604" spans="1:14" x14ac:dyDescent="0.25">
      <c r="A604" t="s">
        <v>642</v>
      </c>
      <c r="B604" s="1">
        <v>45199</v>
      </c>
      <c r="C604" t="s">
        <v>12</v>
      </c>
      <c r="D604" t="s">
        <v>27</v>
      </c>
      <c r="E604">
        <v>16200</v>
      </c>
      <c r="F604" t="s">
        <v>49</v>
      </c>
      <c r="G604" t="s">
        <v>24</v>
      </c>
      <c r="H604" t="s">
        <v>33</v>
      </c>
      <c r="I604" t="s">
        <v>34</v>
      </c>
      <c r="J604" t="s">
        <v>25</v>
      </c>
      <c r="K604">
        <v>0.1</v>
      </c>
      <c r="L60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604">
        <f>GhanaStream[[#This Row],[Subscription Fee]]-(GhanaStream[[#This Row],[Discount]]*GhanaStream[[#This Row],[Subscription Fee]])</f>
        <v>14580</v>
      </c>
      <c r="N604" t="str">
        <f>IF(GhanaStream[[#This Row],[Churn Flag]]="Yes","Churned","Retained")</f>
        <v>Retained</v>
      </c>
    </row>
    <row r="605" spans="1:14" x14ac:dyDescent="0.25">
      <c r="A605" t="s">
        <v>643</v>
      </c>
      <c r="B605" s="1">
        <v>45315</v>
      </c>
      <c r="C605" t="s">
        <v>20</v>
      </c>
      <c r="D605" t="s">
        <v>27</v>
      </c>
      <c r="E605">
        <v>5400</v>
      </c>
      <c r="F605" t="s">
        <v>21</v>
      </c>
      <c r="G605" t="s">
        <v>15</v>
      </c>
      <c r="H605" t="s">
        <v>16</v>
      </c>
      <c r="I605" t="s">
        <v>17</v>
      </c>
      <c r="J605" t="s">
        <v>18</v>
      </c>
      <c r="K605">
        <v>0.1</v>
      </c>
      <c r="L60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605">
        <f>GhanaStream[[#This Row],[Subscription Fee]]-(GhanaStream[[#This Row],[Discount]]*GhanaStream[[#This Row],[Subscription Fee]])</f>
        <v>4860</v>
      </c>
      <c r="N605" t="str">
        <f>IF(GhanaStream[[#This Row],[Churn Flag]]="Yes","Churned","Retained")</f>
        <v>Churned</v>
      </c>
    </row>
    <row r="606" spans="1:14" x14ac:dyDescent="0.25">
      <c r="A606" t="s">
        <v>644</v>
      </c>
      <c r="B606" s="1">
        <v>45444</v>
      </c>
      <c r="C606" t="s">
        <v>31</v>
      </c>
      <c r="D606" t="s">
        <v>13</v>
      </c>
      <c r="E606">
        <v>1000</v>
      </c>
      <c r="F606" t="s">
        <v>21</v>
      </c>
      <c r="G606" t="s">
        <v>28</v>
      </c>
      <c r="H606" t="s">
        <v>16</v>
      </c>
      <c r="I606" t="s">
        <v>17</v>
      </c>
      <c r="J606" t="s">
        <v>29</v>
      </c>
      <c r="K606">
        <v>0</v>
      </c>
      <c r="L60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606">
        <f>GhanaStream[[#This Row],[Subscription Fee]]-(GhanaStream[[#This Row],[Discount]]*GhanaStream[[#This Row],[Subscription Fee]])</f>
        <v>1000</v>
      </c>
      <c r="N606" t="str">
        <f>IF(GhanaStream[[#This Row],[Churn Flag]]="Yes","Churned","Retained")</f>
        <v>Churned</v>
      </c>
    </row>
    <row r="607" spans="1:14" x14ac:dyDescent="0.25">
      <c r="A607" t="s">
        <v>645</v>
      </c>
      <c r="B607" s="1">
        <v>45472</v>
      </c>
      <c r="C607" t="s">
        <v>31</v>
      </c>
      <c r="D607" t="s">
        <v>13</v>
      </c>
      <c r="E607">
        <v>1000</v>
      </c>
      <c r="F607" t="s">
        <v>21</v>
      </c>
      <c r="G607" t="s">
        <v>24</v>
      </c>
      <c r="H607" t="s">
        <v>16</v>
      </c>
      <c r="I607" t="s">
        <v>17</v>
      </c>
      <c r="J607" t="s">
        <v>29</v>
      </c>
      <c r="K607">
        <v>0</v>
      </c>
      <c r="L60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607">
        <f>GhanaStream[[#This Row],[Subscription Fee]]-(GhanaStream[[#This Row],[Discount]]*GhanaStream[[#This Row],[Subscription Fee]])</f>
        <v>1000</v>
      </c>
      <c r="N607" t="str">
        <f>IF(GhanaStream[[#This Row],[Churn Flag]]="Yes","Churned","Retained")</f>
        <v>Churned</v>
      </c>
    </row>
    <row r="608" spans="1:14" x14ac:dyDescent="0.25">
      <c r="A608" t="s">
        <v>646</v>
      </c>
      <c r="B608" s="1">
        <v>45073</v>
      </c>
      <c r="C608" t="s">
        <v>20</v>
      </c>
      <c r="D608" t="s">
        <v>27</v>
      </c>
      <c r="E608">
        <v>5400</v>
      </c>
      <c r="F608" t="s">
        <v>49</v>
      </c>
      <c r="G608" t="s">
        <v>28</v>
      </c>
      <c r="H608" t="s">
        <v>33</v>
      </c>
      <c r="I608" t="s">
        <v>34</v>
      </c>
      <c r="J608" t="s">
        <v>18</v>
      </c>
      <c r="K608">
        <v>0.1</v>
      </c>
      <c r="L60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608">
        <f>GhanaStream[[#This Row],[Subscription Fee]]-(GhanaStream[[#This Row],[Discount]]*GhanaStream[[#This Row],[Subscription Fee]])</f>
        <v>4860</v>
      </c>
      <c r="N608" t="str">
        <f>IF(GhanaStream[[#This Row],[Churn Flag]]="Yes","Churned","Retained")</f>
        <v>Retained</v>
      </c>
    </row>
    <row r="609" spans="1:14" x14ac:dyDescent="0.25">
      <c r="A609" t="s">
        <v>647</v>
      </c>
      <c r="B609" s="1">
        <v>45514</v>
      </c>
      <c r="C609" t="s">
        <v>20</v>
      </c>
      <c r="D609" t="s">
        <v>27</v>
      </c>
      <c r="E609">
        <v>5400</v>
      </c>
      <c r="F609" t="s">
        <v>21</v>
      </c>
      <c r="G609" t="s">
        <v>28</v>
      </c>
      <c r="H609" t="s">
        <v>33</v>
      </c>
      <c r="I609" t="s">
        <v>34</v>
      </c>
      <c r="J609" t="s">
        <v>29</v>
      </c>
      <c r="K609">
        <v>0.1</v>
      </c>
      <c r="L60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609">
        <f>GhanaStream[[#This Row],[Subscription Fee]]-(GhanaStream[[#This Row],[Discount]]*GhanaStream[[#This Row],[Subscription Fee]])</f>
        <v>4860</v>
      </c>
      <c r="N609" t="str">
        <f>IF(GhanaStream[[#This Row],[Churn Flag]]="Yes","Churned","Retained")</f>
        <v>Retained</v>
      </c>
    </row>
    <row r="610" spans="1:14" x14ac:dyDescent="0.25">
      <c r="A610" t="s">
        <v>648</v>
      </c>
      <c r="B610" s="1">
        <v>45013</v>
      </c>
      <c r="C610" t="s">
        <v>20</v>
      </c>
      <c r="D610" t="s">
        <v>27</v>
      </c>
      <c r="E610">
        <v>5400</v>
      </c>
      <c r="F610" t="s">
        <v>49</v>
      </c>
      <c r="G610" t="s">
        <v>28</v>
      </c>
      <c r="H610" t="s">
        <v>33</v>
      </c>
      <c r="I610" t="s">
        <v>34</v>
      </c>
      <c r="J610" t="s">
        <v>25</v>
      </c>
      <c r="K610">
        <v>0.1</v>
      </c>
      <c r="L61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610">
        <f>GhanaStream[[#This Row],[Subscription Fee]]-(GhanaStream[[#This Row],[Discount]]*GhanaStream[[#This Row],[Subscription Fee]])</f>
        <v>4860</v>
      </c>
      <c r="N610" t="str">
        <f>IF(GhanaStream[[#This Row],[Churn Flag]]="Yes","Churned","Retained")</f>
        <v>Retained</v>
      </c>
    </row>
    <row r="611" spans="1:14" x14ac:dyDescent="0.25">
      <c r="A611" t="s">
        <v>649</v>
      </c>
      <c r="B611" s="1">
        <v>45078</v>
      </c>
      <c r="C611" t="s">
        <v>20</v>
      </c>
      <c r="D611" t="s">
        <v>27</v>
      </c>
      <c r="E611">
        <v>5400</v>
      </c>
      <c r="F611" t="s">
        <v>49</v>
      </c>
      <c r="G611" t="s">
        <v>24</v>
      </c>
      <c r="H611" t="s">
        <v>16</v>
      </c>
      <c r="I611" t="s">
        <v>17</v>
      </c>
      <c r="J611" t="s">
        <v>58</v>
      </c>
      <c r="K611">
        <v>0.1</v>
      </c>
      <c r="L61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611">
        <f>GhanaStream[[#This Row],[Subscription Fee]]-(GhanaStream[[#This Row],[Discount]]*GhanaStream[[#This Row],[Subscription Fee]])</f>
        <v>4860</v>
      </c>
      <c r="N611" t="str">
        <f>IF(GhanaStream[[#This Row],[Churn Flag]]="Yes","Churned","Retained")</f>
        <v>Churned</v>
      </c>
    </row>
    <row r="612" spans="1:14" x14ac:dyDescent="0.25">
      <c r="A612" t="s">
        <v>650</v>
      </c>
      <c r="B612" s="1">
        <v>45100</v>
      </c>
      <c r="C612" t="s">
        <v>31</v>
      </c>
      <c r="D612" t="s">
        <v>13</v>
      </c>
      <c r="E612">
        <v>1000</v>
      </c>
      <c r="F612" t="s">
        <v>21</v>
      </c>
      <c r="G612" t="s">
        <v>24</v>
      </c>
      <c r="H612" t="s">
        <v>33</v>
      </c>
      <c r="I612" t="s">
        <v>34</v>
      </c>
      <c r="J612" t="s">
        <v>22</v>
      </c>
      <c r="K612">
        <v>0</v>
      </c>
      <c r="L61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612">
        <f>GhanaStream[[#This Row],[Subscription Fee]]-(GhanaStream[[#This Row],[Discount]]*GhanaStream[[#This Row],[Subscription Fee]])</f>
        <v>1000</v>
      </c>
      <c r="N612" t="str">
        <f>IF(GhanaStream[[#This Row],[Churn Flag]]="Yes","Churned","Retained")</f>
        <v>Retained</v>
      </c>
    </row>
    <row r="613" spans="1:14" x14ac:dyDescent="0.25">
      <c r="A613" t="s">
        <v>651</v>
      </c>
      <c r="B613" s="1">
        <v>45061</v>
      </c>
      <c r="C613" t="s">
        <v>31</v>
      </c>
      <c r="D613" t="s">
        <v>13</v>
      </c>
      <c r="E613">
        <v>1000</v>
      </c>
      <c r="F613" t="s">
        <v>21</v>
      </c>
      <c r="G613" t="s">
        <v>24</v>
      </c>
      <c r="H613" t="s">
        <v>33</v>
      </c>
      <c r="I613" t="s">
        <v>34</v>
      </c>
      <c r="J613" t="s">
        <v>29</v>
      </c>
      <c r="K613">
        <v>0</v>
      </c>
      <c r="L61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613">
        <f>GhanaStream[[#This Row],[Subscription Fee]]-(GhanaStream[[#This Row],[Discount]]*GhanaStream[[#This Row],[Subscription Fee]])</f>
        <v>1000</v>
      </c>
      <c r="N613" t="str">
        <f>IF(GhanaStream[[#This Row],[Churn Flag]]="Yes","Churned","Retained")</f>
        <v>Retained</v>
      </c>
    </row>
    <row r="614" spans="1:14" x14ac:dyDescent="0.25">
      <c r="A614" t="s">
        <v>652</v>
      </c>
      <c r="B614" s="1">
        <v>45212</v>
      </c>
      <c r="C614" t="s">
        <v>20</v>
      </c>
      <c r="D614" t="s">
        <v>13</v>
      </c>
      <c r="E614">
        <v>500</v>
      </c>
      <c r="F614" t="s">
        <v>21</v>
      </c>
      <c r="G614" t="s">
        <v>28</v>
      </c>
      <c r="H614" t="s">
        <v>16</v>
      </c>
      <c r="I614" t="s">
        <v>17</v>
      </c>
      <c r="J614" t="s">
        <v>25</v>
      </c>
      <c r="K614">
        <v>0</v>
      </c>
      <c r="L61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614">
        <f>GhanaStream[[#This Row],[Subscription Fee]]-(GhanaStream[[#This Row],[Discount]]*GhanaStream[[#This Row],[Subscription Fee]])</f>
        <v>500</v>
      </c>
      <c r="N614" t="str">
        <f>IF(GhanaStream[[#This Row],[Churn Flag]]="Yes","Churned","Retained")</f>
        <v>Churned</v>
      </c>
    </row>
    <row r="615" spans="1:14" x14ac:dyDescent="0.25">
      <c r="A615" t="s">
        <v>653</v>
      </c>
      <c r="B615" s="1">
        <v>45314</v>
      </c>
      <c r="C615" t="s">
        <v>20</v>
      </c>
      <c r="D615" t="s">
        <v>27</v>
      </c>
      <c r="E615">
        <v>5400</v>
      </c>
      <c r="F615" t="s">
        <v>49</v>
      </c>
      <c r="G615" t="s">
        <v>15</v>
      </c>
      <c r="H615" t="s">
        <v>16</v>
      </c>
      <c r="I615" t="s">
        <v>17</v>
      </c>
      <c r="J615" t="s">
        <v>50</v>
      </c>
      <c r="K615">
        <v>0.1</v>
      </c>
      <c r="L61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615">
        <f>GhanaStream[[#This Row],[Subscription Fee]]-(GhanaStream[[#This Row],[Discount]]*GhanaStream[[#This Row],[Subscription Fee]])</f>
        <v>4860</v>
      </c>
      <c r="N615" t="str">
        <f>IF(GhanaStream[[#This Row],[Churn Flag]]="Yes","Churned","Retained")</f>
        <v>Churned</v>
      </c>
    </row>
    <row r="616" spans="1:14" x14ac:dyDescent="0.25">
      <c r="A616" t="s">
        <v>654</v>
      </c>
      <c r="B616" s="1">
        <v>45016</v>
      </c>
      <c r="C616" t="s">
        <v>20</v>
      </c>
      <c r="D616" t="s">
        <v>13</v>
      </c>
      <c r="E616">
        <v>500</v>
      </c>
      <c r="F616" t="s">
        <v>49</v>
      </c>
      <c r="G616" t="s">
        <v>28</v>
      </c>
      <c r="H616" t="s">
        <v>16</v>
      </c>
      <c r="I616" t="s">
        <v>17</v>
      </c>
      <c r="J616" t="s">
        <v>50</v>
      </c>
      <c r="K616">
        <v>0</v>
      </c>
      <c r="L61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616">
        <f>GhanaStream[[#This Row],[Subscription Fee]]-(GhanaStream[[#This Row],[Discount]]*GhanaStream[[#This Row],[Subscription Fee]])</f>
        <v>500</v>
      </c>
      <c r="N616" t="str">
        <f>IF(GhanaStream[[#This Row],[Churn Flag]]="Yes","Churned","Retained")</f>
        <v>Churned</v>
      </c>
    </row>
    <row r="617" spans="1:14" x14ac:dyDescent="0.25">
      <c r="A617" t="s">
        <v>655</v>
      </c>
      <c r="B617" s="1">
        <v>45421</v>
      </c>
      <c r="C617" t="s">
        <v>31</v>
      </c>
      <c r="D617" t="s">
        <v>27</v>
      </c>
      <c r="E617">
        <v>10800</v>
      </c>
      <c r="F617" t="s">
        <v>21</v>
      </c>
      <c r="G617" t="s">
        <v>24</v>
      </c>
      <c r="H617" t="s">
        <v>16</v>
      </c>
      <c r="I617" t="s">
        <v>17</v>
      </c>
      <c r="J617" t="s">
        <v>22</v>
      </c>
      <c r="K617">
        <v>0.1</v>
      </c>
      <c r="L61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617">
        <f>GhanaStream[[#This Row],[Subscription Fee]]-(GhanaStream[[#This Row],[Discount]]*GhanaStream[[#This Row],[Subscription Fee]])</f>
        <v>9720</v>
      </c>
      <c r="N617" t="str">
        <f>IF(GhanaStream[[#This Row],[Churn Flag]]="Yes","Churned","Retained")</f>
        <v>Churned</v>
      </c>
    </row>
    <row r="618" spans="1:14" x14ac:dyDescent="0.25">
      <c r="A618" t="s">
        <v>656</v>
      </c>
      <c r="B618" s="1">
        <v>44952</v>
      </c>
      <c r="C618" t="s">
        <v>20</v>
      </c>
      <c r="D618" t="s">
        <v>13</v>
      </c>
      <c r="E618">
        <v>500</v>
      </c>
      <c r="F618" t="s">
        <v>32</v>
      </c>
      <c r="G618" t="s">
        <v>24</v>
      </c>
      <c r="H618" t="s">
        <v>16</v>
      </c>
      <c r="I618" t="s">
        <v>17</v>
      </c>
      <c r="J618" t="s">
        <v>39</v>
      </c>
      <c r="K618">
        <v>0</v>
      </c>
      <c r="L61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618">
        <f>GhanaStream[[#This Row],[Subscription Fee]]-(GhanaStream[[#This Row],[Discount]]*GhanaStream[[#This Row],[Subscription Fee]])</f>
        <v>500</v>
      </c>
      <c r="N618" t="str">
        <f>IF(GhanaStream[[#This Row],[Churn Flag]]="Yes","Churned","Retained")</f>
        <v>Churned</v>
      </c>
    </row>
    <row r="619" spans="1:14" x14ac:dyDescent="0.25">
      <c r="A619" t="s">
        <v>657</v>
      </c>
      <c r="B619" s="1">
        <v>45426</v>
      </c>
      <c r="C619" t="s">
        <v>31</v>
      </c>
      <c r="D619" t="s">
        <v>13</v>
      </c>
      <c r="E619">
        <v>1000</v>
      </c>
      <c r="F619" t="s">
        <v>32</v>
      </c>
      <c r="G619" t="s">
        <v>28</v>
      </c>
      <c r="H619" t="s">
        <v>33</v>
      </c>
      <c r="I619" t="s">
        <v>34</v>
      </c>
      <c r="J619" t="s">
        <v>39</v>
      </c>
      <c r="K619">
        <v>0</v>
      </c>
      <c r="L61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619">
        <f>GhanaStream[[#This Row],[Subscription Fee]]-(GhanaStream[[#This Row],[Discount]]*GhanaStream[[#This Row],[Subscription Fee]])</f>
        <v>1000</v>
      </c>
      <c r="N619" t="str">
        <f>IF(GhanaStream[[#This Row],[Churn Flag]]="Yes","Churned","Retained")</f>
        <v>Retained</v>
      </c>
    </row>
    <row r="620" spans="1:14" x14ac:dyDescent="0.25">
      <c r="A620" t="s">
        <v>658</v>
      </c>
      <c r="B620" s="1">
        <v>45231</v>
      </c>
      <c r="C620" t="s">
        <v>20</v>
      </c>
      <c r="D620" t="s">
        <v>13</v>
      </c>
      <c r="E620">
        <v>500</v>
      </c>
      <c r="F620" t="s">
        <v>32</v>
      </c>
      <c r="G620" t="s">
        <v>24</v>
      </c>
      <c r="H620" t="s">
        <v>33</v>
      </c>
      <c r="I620" t="s">
        <v>34</v>
      </c>
      <c r="J620" t="s">
        <v>44</v>
      </c>
      <c r="K620">
        <v>0</v>
      </c>
      <c r="L62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620">
        <f>GhanaStream[[#This Row],[Subscription Fee]]-(GhanaStream[[#This Row],[Discount]]*GhanaStream[[#This Row],[Subscription Fee]])</f>
        <v>500</v>
      </c>
      <c r="N620" t="str">
        <f>IF(GhanaStream[[#This Row],[Churn Flag]]="Yes","Churned","Retained")</f>
        <v>Retained</v>
      </c>
    </row>
    <row r="621" spans="1:14" x14ac:dyDescent="0.25">
      <c r="A621" t="s">
        <v>659</v>
      </c>
      <c r="B621" s="1">
        <v>45341</v>
      </c>
      <c r="C621" t="s">
        <v>20</v>
      </c>
      <c r="D621" t="s">
        <v>27</v>
      </c>
      <c r="E621">
        <v>5400</v>
      </c>
      <c r="F621" t="s">
        <v>21</v>
      </c>
      <c r="G621" t="s">
        <v>24</v>
      </c>
      <c r="H621" t="s">
        <v>33</v>
      </c>
      <c r="I621" t="s">
        <v>34</v>
      </c>
      <c r="J621" t="s">
        <v>18</v>
      </c>
      <c r="K621">
        <v>0.1</v>
      </c>
      <c r="L62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621">
        <f>GhanaStream[[#This Row],[Subscription Fee]]-(GhanaStream[[#This Row],[Discount]]*GhanaStream[[#This Row],[Subscription Fee]])</f>
        <v>4860</v>
      </c>
      <c r="N621" t="str">
        <f>IF(GhanaStream[[#This Row],[Churn Flag]]="Yes","Churned","Retained")</f>
        <v>Retained</v>
      </c>
    </row>
    <row r="622" spans="1:14" x14ac:dyDescent="0.25">
      <c r="A622" t="s">
        <v>660</v>
      </c>
      <c r="B622" s="1">
        <v>45341</v>
      </c>
      <c r="C622" t="s">
        <v>31</v>
      </c>
      <c r="D622" t="s">
        <v>27</v>
      </c>
      <c r="E622">
        <v>10800</v>
      </c>
      <c r="F622" t="s">
        <v>49</v>
      </c>
      <c r="G622" t="s">
        <v>24</v>
      </c>
      <c r="H622" t="s">
        <v>33</v>
      </c>
      <c r="I622" t="s">
        <v>34</v>
      </c>
      <c r="J622" t="s">
        <v>58</v>
      </c>
      <c r="K622">
        <v>0.1</v>
      </c>
      <c r="L62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622">
        <f>GhanaStream[[#This Row],[Subscription Fee]]-(GhanaStream[[#This Row],[Discount]]*GhanaStream[[#This Row],[Subscription Fee]])</f>
        <v>9720</v>
      </c>
      <c r="N622" t="str">
        <f>IF(GhanaStream[[#This Row],[Churn Flag]]="Yes","Churned","Retained")</f>
        <v>Retained</v>
      </c>
    </row>
    <row r="623" spans="1:14" x14ac:dyDescent="0.25">
      <c r="A623" t="s">
        <v>661</v>
      </c>
      <c r="B623" s="1">
        <v>45430</v>
      </c>
      <c r="C623" t="s">
        <v>20</v>
      </c>
      <c r="D623" t="s">
        <v>27</v>
      </c>
      <c r="E623">
        <v>5400</v>
      </c>
      <c r="F623" t="s">
        <v>21</v>
      </c>
      <c r="G623" t="s">
        <v>24</v>
      </c>
      <c r="H623" t="s">
        <v>16</v>
      </c>
      <c r="I623" t="s">
        <v>17</v>
      </c>
      <c r="J623" t="s">
        <v>18</v>
      </c>
      <c r="K623">
        <v>0.1</v>
      </c>
      <c r="L62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623">
        <f>GhanaStream[[#This Row],[Subscription Fee]]-(GhanaStream[[#This Row],[Discount]]*GhanaStream[[#This Row],[Subscription Fee]])</f>
        <v>4860</v>
      </c>
      <c r="N623" t="str">
        <f>IF(GhanaStream[[#This Row],[Churn Flag]]="Yes","Churned","Retained")</f>
        <v>Churned</v>
      </c>
    </row>
    <row r="624" spans="1:14" x14ac:dyDescent="0.25">
      <c r="A624" t="s">
        <v>662</v>
      </c>
      <c r="B624" s="1">
        <v>45040</v>
      </c>
      <c r="C624" t="s">
        <v>20</v>
      </c>
      <c r="D624" t="s">
        <v>27</v>
      </c>
      <c r="E624">
        <v>5400</v>
      </c>
      <c r="F624" t="s">
        <v>21</v>
      </c>
      <c r="G624" t="s">
        <v>15</v>
      </c>
      <c r="H624" t="s">
        <v>16</v>
      </c>
      <c r="I624" t="s">
        <v>17</v>
      </c>
      <c r="J624" t="s">
        <v>29</v>
      </c>
      <c r="K624">
        <v>0.1</v>
      </c>
      <c r="L62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624">
        <f>GhanaStream[[#This Row],[Subscription Fee]]-(GhanaStream[[#This Row],[Discount]]*GhanaStream[[#This Row],[Subscription Fee]])</f>
        <v>4860</v>
      </c>
      <c r="N624" t="str">
        <f>IF(GhanaStream[[#This Row],[Churn Flag]]="Yes","Churned","Retained")</f>
        <v>Churned</v>
      </c>
    </row>
    <row r="625" spans="1:14" x14ac:dyDescent="0.25">
      <c r="A625" t="s">
        <v>663</v>
      </c>
      <c r="B625" s="1">
        <v>45066</v>
      </c>
      <c r="C625" t="s">
        <v>31</v>
      </c>
      <c r="D625" t="s">
        <v>13</v>
      </c>
      <c r="E625">
        <v>1000</v>
      </c>
      <c r="F625" t="s">
        <v>32</v>
      </c>
      <c r="G625" t="s">
        <v>28</v>
      </c>
      <c r="H625" t="s">
        <v>33</v>
      </c>
      <c r="I625" t="s">
        <v>34</v>
      </c>
      <c r="J625" t="s">
        <v>44</v>
      </c>
      <c r="K625">
        <v>0</v>
      </c>
      <c r="L62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625">
        <f>GhanaStream[[#This Row],[Subscription Fee]]-(GhanaStream[[#This Row],[Discount]]*GhanaStream[[#This Row],[Subscription Fee]])</f>
        <v>1000</v>
      </c>
      <c r="N625" t="str">
        <f>IF(GhanaStream[[#This Row],[Churn Flag]]="Yes","Churned","Retained")</f>
        <v>Retained</v>
      </c>
    </row>
    <row r="626" spans="1:14" x14ac:dyDescent="0.25">
      <c r="A626" t="s">
        <v>664</v>
      </c>
      <c r="B626" s="1">
        <v>45222</v>
      </c>
      <c r="C626" t="s">
        <v>31</v>
      </c>
      <c r="D626" t="s">
        <v>27</v>
      </c>
      <c r="E626">
        <v>10800</v>
      </c>
      <c r="F626" t="s">
        <v>14</v>
      </c>
      <c r="G626" t="s">
        <v>24</v>
      </c>
      <c r="H626" t="s">
        <v>33</v>
      </c>
      <c r="I626" t="s">
        <v>34</v>
      </c>
      <c r="J626" t="s">
        <v>37</v>
      </c>
      <c r="K626">
        <v>0.1</v>
      </c>
      <c r="L62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626">
        <f>GhanaStream[[#This Row],[Subscription Fee]]-(GhanaStream[[#This Row],[Discount]]*GhanaStream[[#This Row],[Subscription Fee]])</f>
        <v>9720</v>
      </c>
      <c r="N626" t="str">
        <f>IF(GhanaStream[[#This Row],[Churn Flag]]="Yes","Churned","Retained")</f>
        <v>Retained</v>
      </c>
    </row>
    <row r="627" spans="1:14" x14ac:dyDescent="0.25">
      <c r="A627" t="s">
        <v>665</v>
      </c>
      <c r="B627" s="1">
        <v>45126</v>
      </c>
      <c r="C627" t="s">
        <v>20</v>
      </c>
      <c r="D627" t="s">
        <v>13</v>
      </c>
      <c r="E627">
        <v>500</v>
      </c>
      <c r="F627" t="s">
        <v>32</v>
      </c>
      <c r="G627" t="s">
        <v>24</v>
      </c>
      <c r="H627" t="s">
        <v>33</v>
      </c>
      <c r="I627" t="s">
        <v>34</v>
      </c>
      <c r="J627" t="s">
        <v>35</v>
      </c>
      <c r="K627">
        <v>0</v>
      </c>
      <c r="L62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627">
        <f>GhanaStream[[#This Row],[Subscription Fee]]-(GhanaStream[[#This Row],[Discount]]*GhanaStream[[#This Row],[Subscription Fee]])</f>
        <v>500</v>
      </c>
      <c r="N627" t="str">
        <f>IF(GhanaStream[[#This Row],[Churn Flag]]="Yes","Churned","Retained")</f>
        <v>Retained</v>
      </c>
    </row>
    <row r="628" spans="1:14" x14ac:dyDescent="0.25">
      <c r="A628" t="s">
        <v>666</v>
      </c>
      <c r="B628" s="1">
        <v>45563</v>
      </c>
      <c r="C628" t="s">
        <v>20</v>
      </c>
      <c r="D628" t="s">
        <v>13</v>
      </c>
      <c r="E628">
        <v>500</v>
      </c>
      <c r="F628" t="s">
        <v>32</v>
      </c>
      <c r="G628" t="s">
        <v>24</v>
      </c>
      <c r="H628" t="s">
        <v>16</v>
      </c>
      <c r="I628" t="s">
        <v>17</v>
      </c>
      <c r="J628" t="s">
        <v>39</v>
      </c>
      <c r="K628">
        <v>0</v>
      </c>
      <c r="L62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628">
        <f>GhanaStream[[#This Row],[Subscription Fee]]-(GhanaStream[[#This Row],[Discount]]*GhanaStream[[#This Row],[Subscription Fee]])</f>
        <v>500</v>
      </c>
      <c r="N628" t="str">
        <f>IF(GhanaStream[[#This Row],[Churn Flag]]="Yes","Churned","Retained")</f>
        <v>Churned</v>
      </c>
    </row>
    <row r="629" spans="1:14" x14ac:dyDescent="0.25">
      <c r="A629" t="s">
        <v>667</v>
      </c>
      <c r="B629" s="1">
        <v>45498</v>
      </c>
      <c r="C629" t="s">
        <v>12</v>
      </c>
      <c r="D629" t="s">
        <v>27</v>
      </c>
      <c r="E629">
        <v>16200</v>
      </c>
      <c r="F629" t="s">
        <v>21</v>
      </c>
      <c r="G629" t="s">
        <v>24</v>
      </c>
      <c r="H629" t="s">
        <v>33</v>
      </c>
      <c r="I629" t="s">
        <v>34</v>
      </c>
      <c r="J629" t="s">
        <v>25</v>
      </c>
      <c r="K629">
        <v>0.1</v>
      </c>
      <c r="L62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629">
        <f>GhanaStream[[#This Row],[Subscription Fee]]-(GhanaStream[[#This Row],[Discount]]*GhanaStream[[#This Row],[Subscription Fee]])</f>
        <v>14580</v>
      </c>
      <c r="N629" t="str">
        <f>IF(GhanaStream[[#This Row],[Churn Flag]]="Yes","Churned","Retained")</f>
        <v>Retained</v>
      </c>
    </row>
    <row r="630" spans="1:14" x14ac:dyDescent="0.25">
      <c r="A630" t="s">
        <v>668</v>
      </c>
      <c r="B630" s="1">
        <v>45293</v>
      </c>
      <c r="C630" t="s">
        <v>12</v>
      </c>
      <c r="D630" t="s">
        <v>13</v>
      </c>
      <c r="E630">
        <v>1500</v>
      </c>
      <c r="F630" t="s">
        <v>32</v>
      </c>
      <c r="G630" t="s">
        <v>28</v>
      </c>
      <c r="H630" t="s">
        <v>33</v>
      </c>
      <c r="I630" t="s">
        <v>34</v>
      </c>
      <c r="J630" t="s">
        <v>25</v>
      </c>
      <c r="K630">
        <v>0</v>
      </c>
      <c r="L63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630">
        <f>GhanaStream[[#This Row],[Subscription Fee]]-(GhanaStream[[#This Row],[Discount]]*GhanaStream[[#This Row],[Subscription Fee]])</f>
        <v>1500</v>
      </c>
      <c r="N630" t="str">
        <f>IF(GhanaStream[[#This Row],[Churn Flag]]="Yes","Churned","Retained")</f>
        <v>Retained</v>
      </c>
    </row>
    <row r="631" spans="1:14" x14ac:dyDescent="0.25">
      <c r="A631" t="s">
        <v>669</v>
      </c>
      <c r="B631" s="1">
        <v>44996</v>
      </c>
      <c r="C631" t="s">
        <v>31</v>
      </c>
      <c r="D631" t="s">
        <v>27</v>
      </c>
      <c r="E631">
        <v>10800</v>
      </c>
      <c r="F631" t="s">
        <v>49</v>
      </c>
      <c r="G631" t="s">
        <v>24</v>
      </c>
      <c r="H631" t="s">
        <v>33</v>
      </c>
      <c r="I631" t="s">
        <v>34</v>
      </c>
      <c r="J631" t="s">
        <v>18</v>
      </c>
      <c r="K631">
        <v>0.1</v>
      </c>
      <c r="L63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631">
        <f>GhanaStream[[#This Row],[Subscription Fee]]-(GhanaStream[[#This Row],[Discount]]*GhanaStream[[#This Row],[Subscription Fee]])</f>
        <v>9720</v>
      </c>
      <c r="N631" t="str">
        <f>IF(GhanaStream[[#This Row],[Churn Flag]]="Yes","Churned","Retained")</f>
        <v>Retained</v>
      </c>
    </row>
    <row r="632" spans="1:14" x14ac:dyDescent="0.25">
      <c r="A632" t="s">
        <v>670</v>
      </c>
      <c r="B632" s="1">
        <v>44952</v>
      </c>
      <c r="C632" t="s">
        <v>20</v>
      </c>
      <c r="D632" t="s">
        <v>27</v>
      </c>
      <c r="E632">
        <v>5400</v>
      </c>
      <c r="F632" t="s">
        <v>32</v>
      </c>
      <c r="G632" t="s">
        <v>15</v>
      </c>
      <c r="H632" t="s">
        <v>16</v>
      </c>
      <c r="I632" t="s">
        <v>17</v>
      </c>
      <c r="J632" t="s">
        <v>25</v>
      </c>
      <c r="K632">
        <v>0.1</v>
      </c>
      <c r="L63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632">
        <f>GhanaStream[[#This Row],[Subscription Fee]]-(GhanaStream[[#This Row],[Discount]]*GhanaStream[[#This Row],[Subscription Fee]])</f>
        <v>4860</v>
      </c>
      <c r="N632" t="str">
        <f>IF(GhanaStream[[#This Row],[Churn Flag]]="Yes","Churned","Retained")</f>
        <v>Churned</v>
      </c>
    </row>
    <row r="633" spans="1:14" x14ac:dyDescent="0.25">
      <c r="A633" t="s">
        <v>671</v>
      </c>
      <c r="B633" s="1">
        <v>45621</v>
      </c>
      <c r="C633" t="s">
        <v>31</v>
      </c>
      <c r="D633" t="s">
        <v>13</v>
      </c>
      <c r="E633">
        <v>1000</v>
      </c>
      <c r="F633" t="s">
        <v>21</v>
      </c>
      <c r="G633" t="s">
        <v>28</v>
      </c>
      <c r="H633" t="s">
        <v>16</v>
      </c>
      <c r="I633" t="s">
        <v>17</v>
      </c>
      <c r="J633" t="s">
        <v>22</v>
      </c>
      <c r="K633">
        <v>0</v>
      </c>
      <c r="L63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633">
        <f>GhanaStream[[#This Row],[Subscription Fee]]-(GhanaStream[[#This Row],[Discount]]*GhanaStream[[#This Row],[Subscription Fee]])</f>
        <v>1000</v>
      </c>
      <c r="N633" t="str">
        <f>IF(GhanaStream[[#This Row],[Churn Flag]]="Yes","Churned","Retained")</f>
        <v>Churned</v>
      </c>
    </row>
    <row r="634" spans="1:14" x14ac:dyDescent="0.25">
      <c r="A634" t="s">
        <v>672</v>
      </c>
      <c r="B634" s="1">
        <v>45122</v>
      </c>
      <c r="C634" t="s">
        <v>31</v>
      </c>
      <c r="D634" t="s">
        <v>13</v>
      </c>
      <c r="E634">
        <v>1000</v>
      </c>
      <c r="F634" t="s">
        <v>21</v>
      </c>
      <c r="G634" t="s">
        <v>28</v>
      </c>
      <c r="H634" t="s">
        <v>16</v>
      </c>
      <c r="I634" t="s">
        <v>17</v>
      </c>
      <c r="J634" t="s">
        <v>18</v>
      </c>
      <c r="K634">
        <v>0</v>
      </c>
      <c r="L63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634">
        <f>GhanaStream[[#This Row],[Subscription Fee]]-(GhanaStream[[#This Row],[Discount]]*GhanaStream[[#This Row],[Subscription Fee]])</f>
        <v>1000</v>
      </c>
      <c r="N634" t="str">
        <f>IF(GhanaStream[[#This Row],[Churn Flag]]="Yes","Churned","Retained")</f>
        <v>Churned</v>
      </c>
    </row>
    <row r="635" spans="1:14" x14ac:dyDescent="0.25">
      <c r="A635" t="s">
        <v>673</v>
      </c>
      <c r="B635" s="1">
        <v>45155</v>
      </c>
      <c r="C635" t="s">
        <v>20</v>
      </c>
      <c r="D635" t="s">
        <v>27</v>
      </c>
      <c r="E635">
        <v>5400</v>
      </c>
      <c r="F635" t="s">
        <v>32</v>
      </c>
      <c r="G635" t="s">
        <v>15</v>
      </c>
      <c r="H635" t="s">
        <v>16</v>
      </c>
      <c r="I635" t="s">
        <v>17</v>
      </c>
      <c r="J635" t="s">
        <v>66</v>
      </c>
      <c r="K635">
        <v>0.1</v>
      </c>
      <c r="L63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635">
        <f>GhanaStream[[#This Row],[Subscription Fee]]-(GhanaStream[[#This Row],[Discount]]*GhanaStream[[#This Row],[Subscription Fee]])</f>
        <v>4860</v>
      </c>
      <c r="N635" t="str">
        <f>IF(GhanaStream[[#This Row],[Churn Flag]]="Yes","Churned","Retained")</f>
        <v>Churned</v>
      </c>
    </row>
    <row r="636" spans="1:14" x14ac:dyDescent="0.25">
      <c r="A636" t="s">
        <v>674</v>
      </c>
      <c r="B636" s="1">
        <v>45439</v>
      </c>
      <c r="C636" t="s">
        <v>12</v>
      </c>
      <c r="D636" t="s">
        <v>13</v>
      </c>
      <c r="E636">
        <v>1500</v>
      </c>
      <c r="F636" t="s">
        <v>32</v>
      </c>
      <c r="G636" t="s">
        <v>28</v>
      </c>
      <c r="H636" t="s">
        <v>16</v>
      </c>
      <c r="I636" t="s">
        <v>17</v>
      </c>
      <c r="J636" t="s">
        <v>25</v>
      </c>
      <c r="K636">
        <v>0</v>
      </c>
      <c r="L63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636">
        <f>GhanaStream[[#This Row],[Subscription Fee]]-(GhanaStream[[#This Row],[Discount]]*GhanaStream[[#This Row],[Subscription Fee]])</f>
        <v>1500</v>
      </c>
      <c r="N636" t="str">
        <f>IF(GhanaStream[[#This Row],[Churn Flag]]="Yes","Churned","Retained")</f>
        <v>Churned</v>
      </c>
    </row>
    <row r="637" spans="1:14" x14ac:dyDescent="0.25">
      <c r="A637" t="s">
        <v>675</v>
      </c>
      <c r="B637" s="1">
        <v>45218</v>
      </c>
      <c r="C637" t="s">
        <v>20</v>
      </c>
      <c r="D637" t="s">
        <v>13</v>
      </c>
      <c r="E637">
        <v>500</v>
      </c>
      <c r="F637" t="s">
        <v>32</v>
      </c>
      <c r="G637" t="s">
        <v>24</v>
      </c>
      <c r="H637" t="s">
        <v>33</v>
      </c>
      <c r="I637" t="s">
        <v>34</v>
      </c>
      <c r="J637" t="s">
        <v>25</v>
      </c>
      <c r="K637">
        <v>0</v>
      </c>
      <c r="L63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637">
        <f>GhanaStream[[#This Row],[Subscription Fee]]-(GhanaStream[[#This Row],[Discount]]*GhanaStream[[#This Row],[Subscription Fee]])</f>
        <v>500</v>
      </c>
      <c r="N637" t="str">
        <f>IF(GhanaStream[[#This Row],[Churn Flag]]="Yes","Churned","Retained")</f>
        <v>Retained</v>
      </c>
    </row>
    <row r="638" spans="1:14" x14ac:dyDescent="0.25">
      <c r="A638" t="s">
        <v>676</v>
      </c>
      <c r="B638" s="1">
        <v>45491</v>
      </c>
      <c r="C638" t="s">
        <v>20</v>
      </c>
      <c r="D638" t="s">
        <v>13</v>
      </c>
      <c r="E638">
        <v>500</v>
      </c>
      <c r="F638" t="s">
        <v>32</v>
      </c>
      <c r="G638" t="s">
        <v>28</v>
      </c>
      <c r="H638" t="s">
        <v>33</v>
      </c>
      <c r="I638" t="s">
        <v>34</v>
      </c>
      <c r="J638" t="s">
        <v>44</v>
      </c>
      <c r="K638">
        <v>0</v>
      </c>
      <c r="L63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638">
        <f>GhanaStream[[#This Row],[Subscription Fee]]-(GhanaStream[[#This Row],[Discount]]*GhanaStream[[#This Row],[Subscription Fee]])</f>
        <v>500</v>
      </c>
      <c r="N638" t="str">
        <f>IF(GhanaStream[[#This Row],[Churn Flag]]="Yes","Churned","Retained")</f>
        <v>Retained</v>
      </c>
    </row>
    <row r="639" spans="1:14" x14ac:dyDescent="0.25">
      <c r="A639" t="s">
        <v>677</v>
      </c>
      <c r="B639" s="1">
        <v>45206</v>
      </c>
      <c r="C639" t="s">
        <v>20</v>
      </c>
      <c r="D639" t="s">
        <v>27</v>
      </c>
      <c r="E639">
        <v>5400</v>
      </c>
      <c r="F639" t="s">
        <v>21</v>
      </c>
      <c r="G639" t="s">
        <v>24</v>
      </c>
      <c r="H639" t="s">
        <v>33</v>
      </c>
      <c r="I639" t="s">
        <v>34</v>
      </c>
      <c r="J639" t="s">
        <v>22</v>
      </c>
      <c r="K639">
        <v>0.1</v>
      </c>
      <c r="L63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639">
        <f>GhanaStream[[#This Row],[Subscription Fee]]-(GhanaStream[[#This Row],[Discount]]*GhanaStream[[#This Row],[Subscription Fee]])</f>
        <v>4860</v>
      </c>
      <c r="N639" t="str">
        <f>IF(GhanaStream[[#This Row],[Churn Flag]]="Yes","Churned","Retained")</f>
        <v>Retained</v>
      </c>
    </row>
    <row r="640" spans="1:14" x14ac:dyDescent="0.25">
      <c r="A640" t="s">
        <v>678</v>
      </c>
      <c r="B640" s="1">
        <v>45315</v>
      </c>
      <c r="C640" t="s">
        <v>31</v>
      </c>
      <c r="D640" t="s">
        <v>27</v>
      </c>
      <c r="E640">
        <v>10800</v>
      </c>
      <c r="F640" t="s">
        <v>14</v>
      </c>
      <c r="G640" t="s">
        <v>28</v>
      </c>
      <c r="H640" t="s">
        <v>33</v>
      </c>
      <c r="I640" t="s">
        <v>34</v>
      </c>
      <c r="J640" t="s">
        <v>18</v>
      </c>
      <c r="K640">
        <v>0.1</v>
      </c>
      <c r="L64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640">
        <f>GhanaStream[[#This Row],[Subscription Fee]]-(GhanaStream[[#This Row],[Discount]]*GhanaStream[[#This Row],[Subscription Fee]])</f>
        <v>9720</v>
      </c>
      <c r="N640" t="str">
        <f>IF(GhanaStream[[#This Row],[Churn Flag]]="Yes","Churned","Retained")</f>
        <v>Retained</v>
      </c>
    </row>
    <row r="641" spans="1:14" x14ac:dyDescent="0.25">
      <c r="A641" t="s">
        <v>679</v>
      </c>
      <c r="B641" s="1">
        <v>45498</v>
      </c>
      <c r="C641" t="s">
        <v>31</v>
      </c>
      <c r="D641" t="s">
        <v>13</v>
      </c>
      <c r="E641">
        <v>1000</v>
      </c>
      <c r="F641" t="s">
        <v>49</v>
      </c>
      <c r="G641" t="s">
        <v>15</v>
      </c>
      <c r="H641" t="s">
        <v>16</v>
      </c>
      <c r="I641" t="s">
        <v>17</v>
      </c>
      <c r="J641" t="s">
        <v>25</v>
      </c>
      <c r="K641">
        <v>0</v>
      </c>
      <c r="L64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641">
        <f>GhanaStream[[#This Row],[Subscription Fee]]-(GhanaStream[[#This Row],[Discount]]*GhanaStream[[#This Row],[Subscription Fee]])</f>
        <v>1000</v>
      </c>
      <c r="N641" t="str">
        <f>IF(GhanaStream[[#This Row],[Churn Flag]]="Yes","Churned","Retained")</f>
        <v>Churned</v>
      </c>
    </row>
    <row r="642" spans="1:14" x14ac:dyDescent="0.25">
      <c r="A642" t="s">
        <v>680</v>
      </c>
      <c r="B642" s="1">
        <v>45365</v>
      </c>
      <c r="C642" t="s">
        <v>12</v>
      </c>
      <c r="D642" t="s">
        <v>13</v>
      </c>
      <c r="E642">
        <v>1500</v>
      </c>
      <c r="F642" t="s">
        <v>49</v>
      </c>
      <c r="G642" t="s">
        <v>24</v>
      </c>
      <c r="H642" t="s">
        <v>33</v>
      </c>
      <c r="I642" t="s">
        <v>34</v>
      </c>
      <c r="J642" t="s">
        <v>22</v>
      </c>
      <c r="K642">
        <v>0</v>
      </c>
      <c r="L64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642">
        <f>GhanaStream[[#This Row],[Subscription Fee]]-(GhanaStream[[#This Row],[Discount]]*GhanaStream[[#This Row],[Subscription Fee]])</f>
        <v>1500</v>
      </c>
      <c r="N642" t="str">
        <f>IF(GhanaStream[[#This Row],[Churn Flag]]="Yes","Churned","Retained")</f>
        <v>Retained</v>
      </c>
    </row>
    <row r="643" spans="1:14" x14ac:dyDescent="0.25">
      <c r="A643" t="s">
        <v>681</v>
      </c>
      <c r="B643" s="1">
        <v>45425</v>
      </c>
      <c r="C643" t="s">
        <v>31</v>
      </c>
      <c r="D643" t="s">
        <v>13</v>
      </c>
      <c r="E643">
        <v>1000</v>
      </c>
      <c r="F643" t="s">
        <v>32</v>
      </c>
      <c r="G643" t="s">
        <v>28</v>
      </c>
      <c r="H643" t="s">
        <v>33</v>
      </c>
      <c r="I643" t="s">
        <v>34</v>
      </c>
      <c r="J643" t="s">
        <v>66</v>
      </c>
      <c r="K643">
        <v>0</v>
      </c>
      <c r="L64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643">
        <f>GhanaStream[[#This Row],[Subscription Fee]]-(GhanaStream[[#This Row],[Discount]]*GhanaStream[[#This Row],[Subscription Fee]])</f>
        <v>1000</v>
      </c>
      <c r="N643" t="str">
        <f>IF(GhanaStream[[#This Row],[Churn Flag]]="Yes","Churned","Retained")</f>
        <v>Retained</v>
      </c>
    </row>
    <row r="644" spans="1:14" x14ac:dyDescent="0.25">
      <c r="A644" t="s">
        <v>682</v>
      </c>
      <c r="B644" s="1">
        <v>45435</v>
      </c>
      <c r="C644" t="s">
        <v>12</v>
      </c>
      <c r="D644" t="s">
        <v>27</v>
      </c>
      <c r="E644">
        <v>16200</v>
      </c>
      <c r="F644" t="s">
        <v>49</v>
      </c>
      <c r="G644" t="s">
        <v>24</v>
      </c>
      <c r="H644" t="s">
        <v>16</v>
      </c>
      <c r="I644" t="s">
        <v>17</v>
      </c>
      <c r="J644" t="s">
        <v>58</v>
      </c>
      <c r="K644">
        <v>0.1</v>
      </c>
      <c r="L64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644">
        <f>GhanaStream[[#This Row],[Subscription Fee]]-(GhanaStream[[#This Row],[Discount]]*GhanaStream[[#This Row],[Subscription Fee]])</f>
        <v>14580</v>
      </c>
      <c r="N644" t="str">
        <f>IF(GhanaStream[[#This Row],[Churn Flag]]="Yes","Churned","Retained")</f>
        <v>Churned</v>
      </c>
    </row>
    <row r="645" spans="1:14" x14ac:dyDescent="0.25">
      <c r="A645" t="s">
        <v>683</v>
      </c>
      <c r="B645" s="1">
        <v>45033</v>
      </c>
      <c r="C645" t="s">
        <v>20</v>
      </c>
      <c r="D645" t="s">
        <v>13</v>
      </c>
      <c r="E645">
        <v>500</v>
      </c>
      <c r="F645" t="s">
        <v>14</v>
      </c>
      <c r="G645" t="s">
        <v>24</v>
      </c>
      <c r="H645" t="s">
        <v>33</v>
      </c>
      <c r="I645" t="s">
        <v>34</v>
      </c>
      <c r="J645" t="s">
        <v>18</v>
      </c>
      <c r="K645">
        <v>0</v>
      </c>
      <c r="L64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645">
        <f>GhanaStream[[#This Row],[Subscription Fee]]-(GhanaStream[[#This Row],[Discount]]*GhanaStream[[#This Row],[Subscription Fee]])</f>
        <v>500</v>
      </c>
      <c r="N645" t="str">
        <f>IF(GhanaStream[[#This Row],[Churn Flag]]="Yes","Churned","Retained")</f>
        <v>Retained</v>
      </c>
    </row>
    <row r="646" spans="1:14" x14ac:dyDescent="0.25">
      <c r="A646" t="s">
        <v>684</v>
      </c>
      <c r="B646" s="1">
        <v>45607</v>
      </c>
      <c r="C646" t="s">
        <v>31</v>
      </c>
      <c r="D646" t="s">
        <v>13</v>
      </c>
      <c r="E646">
        <v>1000</v>
      </c>
      <c r="F646" t="s">
        <v>32</v>
      </c>
      <c r="G646" t="s">
        <v>24</v>
      </c>
      <c r="H646" t="s">
        <v>33</v>
      </c>
      <c r="I646" t="s">
        <v>34</v>
      </c>
      <c r="J646" t="s">
        <v>35</v>
      </c>
      <c r="K646">
        <v>0</v>
      </c>
      <c r="L64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646">
        <f>GhanaStream[[#This Row],[Subscription Fee]]-(GhanaStream[[#This Row],[Discount]]*GhanaStream[[#This Row],[Subscription Fee]])</f>
        <v>1000</v>
      </c>
      <c r="N646" t="str">
        <f>IF(GhanaStream[[#This Row],[Churn Flag]]="Yes","Churned","Retained")</f>
        <v>Retained</v>
      </c>
    </row>
    <row r="647" spans="1:14" x14ac:dyDescent="0.25">
      <c r="A647" t="s">
        <v>685</v>
      </c>
      <c r="B647" s="1">
        <v>45027</v>
      </c>
      <c r="C647" t="s">
        <v>12</v>
      </c>
      <c r="D647" t="s">
        <v>27</v>
      </c>
      <c r="E647">
        <v>16200</v>
      </c>
      <c r="F647" t="s">
        <v>21</v>
      </c>
      <c r="G647" t="s">
        <v>15</v>
      </c>
      <c r="H647" t="s">
        <v>16</v>
      </c>
      <c r="I647" t="s">
        <v>17</v>
      </c>
      <c r="J647" t="s">
        <v>29</v>
      </c>
      <c r="K647">
        <v>0.1</v>
      </c>
      <c r="L64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647">
        <f>GhanaStream[[#This Row],[Subscription Fee]]-(GhanaStream[[#This Row],[Discount]]*GhanaStream[[#This Row],[Subscription Fee]])</f>
        <v>14580</v>
      </c>
      <c r="N647" t="str">
        <f>IF(GhanaStream[[#This Row],[Churn Flag]]="Yes","Churned","Retained")</f>
        <v>Churned</v>
      </c>
    </row>
    <row r="648" spans="1:14" x14ac:dyDescent="0.25">
      <c r="A648" t="s">
        <v>686</v>
      </c>
      <c r="B648" s="1">
        <v>45299</v>
      </c>
      <c r="C648" t="s">
        <v>20</v>
      </c>
      <c r="D648" t="s">
        <v>27</v>
      </c>
      <c r="E648">
        <v>5400</v>
      </c>
      <c r="F648" t="s">
        <v>32</v>
      </c>
      <c r="G648" t="s">
        <v>24</v>
      </c>
      <c r="H648" t="s">
        <v>16</v>
      </c>
      <c r="I648" t="s">
        <v>17</v>
      </c>
      <c r="J648" t="s">
        <v>25</v>
      </c>
      <c r="K648">
        <v>0.1</v>
      </c>
      <c r="L64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648">
        <f>GhanaStream[[#This Row],[Subscription Fee]]-(GhanaStream[[#This Row],[Discount]]*GhanaStream[[#This Row],[Subscription Fee]])</f>
        <v>4860</v>
      </c>
      <c r="N648" t="str">
        <f>IF(GhanaStream[[#This Row],[Churn Flag]]="Yes","Churned","Retained")</f>
        <v>Churned</v>
      </c>
    </row>
    <row r="649" spans="1:14" x14ac:dyDescent="0.25">
      <c r="A649" t="s">
        <v>687</v>
      </c>
      <c r="B649" s="1">
        <v>45159</v>
      </c>
      <c r="C649" t="s">
        <v>12</v>
      </c>
      <c r="D649" t="s">
        <v>27</v>
      </c>
      <c r="E649">
        <v>16200</v>
      </c>
      <c r="F649" t="s">
        <v>32</v>
      </c>
      <c r="G649" t="s">
        <v>28</v>
      </c>
      <c r="H649" t="s">
        <v>33</v>
      </c>
      <c r="I649" t="s">
        <v>34</v>
      </c>
      <c r="J649" t="s">
        <v>25</v>
      </c>
      <c r="K649">
        <v>0.1</v>
      </c>
      <c r="L64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649">
        <f>GhanaStream[[#This Row],[Subscription Fee]]-(GhanaStream[[#This Row],[Discount]]*GhanaStream[[#This Row],[Subscription Fee]])</f>
        <v>14580</v>
      </c>
      <c r="N649" t="str">
        <f>IF(GhanaStream[[#This Row],[Churn Flag]]="Yes","Churned","Retained")</f>
        <v>Retained</v>
      </c>
    </row>
    <row r="650" spans="1:14" x14ac:dyDescent="0.25">
      <c r="A650" t="s">
        <v>688</v>
      </c>
      <c r="B650" s="1">
        <v>45073</v>
      </c>
      <c r="C650" t="s">
        <v>12</v>
      </c>
      <c r="D650" t="s">
        <v>27</v>
      </c>
      <c r="E650">
        <v>16200</v>
      </c>
      <c r="F650" t="s">
        <v>49</v>
      </c>
      <c r="G650" t="s">
        <v>28</v>
      </c>
      <c r="H650" t="s">
        <v>16</v>
      </c>
      <c r="I650" t="s">
        <v>17</v>
      </c>
      <c r="J650" t="s">
        <v>35</v>
      </c>
      <c r="K650">
        <v>0.1</v>
      </c>
      <c r="L65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650">
        <f>GhanaStream[[#This Row],[Subscription Fee]]-(GhanaStream[[#This Row],[Discount]]*GhanaStream[[#This Row],[Subscription Fee]])</f>
        <v>14580</v>
      </c>
      <c r="N650" t="str">
        <f>IF(GhanaStream[[#This Row],[Churn Flag]]="Yes","Churned","Retained")</f>
        <v>Churned</v>
      </c>
    </row>
    <row r="651" spans="1:14" x14ac:dyDescent="0.25">
      <c r="A651" t="s">
        <v>689</v>
      </c>
      <c r="B651" s="1">
        <v>45389</v>
      </c>
      <c r="C651" t="s">
        <v>12</v>
      </c>
      <c r="D651" t="s">
        <v>27</v>
      </c>
      <c r="E651">
        <v>16200</v>
      </c>
      <c r="F651" t="s">
        <v>14</v>
      </c>
      <c r="G651" t="s">
        <v>15</v>
      </c>
      <c r="H651" t="s">
        <v>16</v>
      </c>
      <c r="I651" t="s">
        <v>17</v>
      </c>
      <c r="J651" t="s">
        <v>22</v>
      </c>
      <c r="K651">
        <v>0.1</v>
      </c>
      <c r="L65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651">
        <f>GhanaStream[[#This Row],[Subscription Fee]]-(GhanaStream[[#This Row],[Discount]]*GhanaStream[[#This Row],[Subscription Fee]])</f>
        <v>14580</v>
      </c>
      <c r="N651" t="str">
        <f>IF(GhanaStream[[#This Row],[Churn Flag]]="Yes","Churned","Retained")</f>
        <v>Churned</v>
      </c>
    </row>
    <row r="652" spans="1:14" x14ac:dyDescent="0.25">
      <c r="A652" t="s">
        <v>690</v>
      </c>
      <c r="B652" s="1">
        <v>45358</v>
      </c>
      <c r="C652" t="s">
        <v>31</v>
      </c>
      <c r="D652" t="s">
        <v>13</v>
      </c>
      <c r="E652">
        <v>1000</v>
      </c>
      <c r="F652" t="s">
        <v>32</v>
      </c>
      <c r="G652" t="s">
        <v>24</v>
      </c>
      <c r="H652" t="s">
        <v>33</v>
      </c>
      <c r="I652" t="s">
        <v>34</v>
      </c>
      <c r="J652" t="s">
        <v>35</v>
      </c>
      <c r="K652">
        <v>0</v>
      </c>
      <c r="L65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652">
        <f>GhanaStream[[#This Row],[Subscription Fee]]-(GhanaStream[[#This Row],[Discount]]*GhanaStream[[#This Row],[Subscription Fee]])</f>
        <v>1000</v>
      </c>
      <c r="N652" t="str">
        <f>IF(GhanaStream[[#This Row],[Churn Flag]]="Yes","Churned","Retained")</f>
        <v>Retained</v>
      </c>
    </row>
    <row r="653" spans="1:14" x14ac:dyDescent="0.25">
      <c r="A653" t="s">
        <v>691</v>
      </c>
      <c r="B653" s="1">
        <v>45033</v>
      </c>
      <c r="C653" t="s">
        <v>20</v>
      </c>
      <c r="D653" t="s">
        <v>27</v>
      </c>
      <c r="E653">
        <v>5400</v>
      </c>
      <c r="F653" t="s">
        <v>32</v>
      </c>
      <c r="G653" t="s">
        <v>28</v>
      </c>
      <c r="H653" t="s">
        <v>33</v>
      </c>
      <c r="I653" t="s">
        <v>34</v>
      </c>
      <c r="J653" t="s">
        <v>25</v>
      </c>
      <c r="K653">
        <v>0.1</v>
      </c>
      <c r="L65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653">
        <f>GhanaStream[[#This Row],[Subscription Fee]]-(GhanaStream[[#This Row],[Discount]]*GhanaStream[[#This Row],[Subscription Fee]])</f>
        <v>4860</v>
      </c>
      <c r="N653" t="str">
        <f>IF(GhanaStream[[#This Row],[Churn Flag]]="Yes","Churned","Retained")</f>
        <v>Retained</v>
      </c>
    </row>
    <row r="654" spans="1:14" x14ac:dyDescent="0.25">
      <c r="A654" t="s">
        <v>692</v>
      </c>
      <c r="B654" s="1">
        <v>45125</v>
      </c>
      <c r="C654" t="s">
        <v>31</v>
      </c>
      <c r="D654" t="s">
        <v>27</v>
      </c>
      <c r="E654">
        <v>10800</v>
      </c>
      <c r="F654" t="s">
        <v>14</v>
      </c>
      <c r="G654" t="s">
        <v>24</v>
      </c>
      <c r="H654" t="s">
        <v>33</v>
      </c>
      <c r="I654" t="s">
        <v>34</v>
      </c>
      <c r="J654" t="s">
        <v>55</v>
      </c>
      <c r="K654">
        <v>0.1</v>
      </c>
      <c r="L65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654">
        <f>GhanaStream[[#This Row],[Subscription Fee]]-(GhanaStream[[#This Row],[Discount]]*GhanaStream[[#This Row],[Subscription Fee]])</f>
        <v>9720</v>
      </c>
      <c r="N654" t="str">
        <f>IF(GhanaStream[[#This Row],[Churn Flag]]="Yes","Churned","Retained")</f>
        <v>Retained</v>
      </c>
    </row>
    <row r="655" spans="1:14" x14ac:dyDescent="0.25">
      <c r="A655" t="s">
        <v>693</v>
      </c>
      <c r="B655" s="1">
        <v>45269</v>
      </c>
      <c r="C655" t="s">
        <v>20</v>
      </c>
      <c r="D655" t="s">
        <v>27</v>
      </c>
      <c r="E655">
        <v>5400</v>
      </c>
      <c r="F655" t="s">
        <v>21</v>
      </c>
      <c r="G655" t="s">
        <v>24</v>
      </c>
      <c r="H655" t="s">
        <v>33</v>
      </c>
      <c r="I655" t="s">
        <v>34</v>
      </c>
      <c r="J655" t="s">
        <v>18</v>
      </c>
      <c r="K655">
        <v>0.1</v>
      </c>
      <c r="L65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655">
        <f>GhanaStream[[#This Row],[Subscription Fee]]-(GhanaStream[[#This Row],[Discount]]*GhanaStream[[#This Row],[Subscription Fee]])</f>
        <v>4860</v>
      </c>
      <c r="N655" t="str">
        <f>IF(GhanaStream[[#This Row],[Churn Flag]]="Yes","Churned","Retained")</f>
        <v>Retained</v>
      </c>
    </row>
    <row r="656" spans="1:14" x14ac:dyDescent="0.25">
      <c r="A656" t="s">
        <v>694</v>
      </c>
      <c r="B656" s="1">
        <v>45012</v>
      </c>
      <c r="C656" t="s">
        <v>31</v>
      </c>
      <c r="D656" t="s">
        <v>27</v>
      </c>
      <c r="E656">
        <v>10800</v>
      </c>
      <c r="F656" t="s">
        <v>32</v>
      </c>
      <c r="G656" t="s">
        <v>28</v>
      </c>
      <c r="H656" t="s">
        <v>16</v>
      </c>
      <c r="I656" t="s">
        <v>17</v>
      </c>
      <c r="J656" t="s">
        <v>35</v>
      </c>
      <c r="K656">
        <v>0.1</v>
      </c>
      <c r="L65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656">
        <f>GhanaStream[[#This Row],[Subscription Fee]]-(GhanaStream[[#This Row],[Discount]]*GhanaStream[[#This Row],[Subscription Fee]])</f>
        <v>9720</v>
      </c>
      <c r="N656" t="str">
        <f>IF(GhanaStream[[#This Row],[Churn Flag]]="Yes","Churned","Retained")</f>
        <v>Churned</v>
      </c>
    </row>
    <row r="657" spans="1:14" x14ac:dyDescent="0.25">
      <c r="A657" t="s">
        <v>695</v>
      </c>
      <c r="B657" s="1">
        <v>45082</v>
      </c>
      <c r="C657" t="s">
        <v>12</v>
      </c>
      <c r="D657" t="s">
        <v>13</v>
      </c>
      <c r="E657">
        <v>1500</v>
      </c>
      <c r="F657" t="s">
        <v>49</v>
      </c>
      <c r="G657" t="s">
        <v>24</v>
      </c>
      <c r="H657" t="s">
        <v>33</v>
      </c>
      <c r="I657" t="s">
        <v>34</v>
      </c>
      <c r="J657" t="s">
        <v>35</v>
      </c>
      <c r="K657">
        <v>0</v>
      </c>
      <c r="L65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657">
        <f>GhanaStream[[#This Row],[Subscription Fee]]-(GhanaStream[[#This Row],[Discount]]*GhanaStream[[#This Row],[Subscription Fee]])</f>
        <v>1500</v>
      </c>
      <c r="N657" t="str">
        <f>IF(GhanaStream[[#This Row],[Churn Flag]]="Yes","Churned","Retained")</f>
        <v>Retained</v>
      </c>
    </row>
    <row r="658" spans="1:14" x14ac:dyDescent="0.25">
      <c r="A658" t="s">
        <v>696</v>
      </c>
      <c r="B658" s="1">
        <v>45088</v>
      </c>
      <c r="C658" t="s">
        <v>12</v>
      </c>
      <c r="D658" t="s">
        <v>13</v>
      </c>
      <c r="E658">
        <v>1500</v>
      </c>
      <c r="F658" t="s">
        <v>49</v>
      </c>
      <c r="G658" t="s">
        <v>24</v>
      </c>
      <c r="H658" t="s">
        <v>16</v>
      </c>
      <c r="I658" t="s">
        <v>17</v>
      </c>
      <c r="J658" t="s">
        <v>35</v>
      </c>
      <c r="K658">
        <v>0</v>
      </c>
      <c r="L65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658">
        <f>GhanaStream[[#This Row],[Subscription Fee]]-(GhanaStream[[#This Row],[Discount]]*GhanaStream[[#This Row],[Subscription Fee]])</f>
        <v>1500</v>
      </c>
      <c r="N658" t="str">
        <f>IF(GhanaStream[[#This Row],[Churn Flag]]="Yes","Churned","Retained")</f>
        <v>Churned</v>
      </c>
    </row>
    <row r="659" spans="1:14" x14ac:dyDescent="0.25">
      <c r="A659" t="s">
        <v>697</v>
      </c>
      <c r="B659" s="1">
        <v>45448</v>
      </c>
      <c r="C659" t="s">
        <v>31</v>
      </c>
      <c r="D659" t="s">
        <v>27</v>
      </c>
      <c r="E659">
        <v>10800</v>
      </c>
      <c r="F659" t="s">
        <v>21</v>
      </c>
      <c r="G659" t="s">
        <v>15</v>
      </c>
      <c r="H659" t="s">
        <v>16</v>
      </c>
      <c r="I659" t="s">
        <v>17</v>
      </c>
      <c r="J659" t="s">
        <v>29</v>
      </c>
      <c r="K659">
        <v>0.1</v>
      </c>
      <c r="L65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659">
        <f>GhanaStream[[#This Row],[Subscription Fee]]-(GhanaStream[[#This Row],[Discount]]*GhanaStream[[#This Row],[Subscription Fee]])</f>
        <v>9720</v>
      </c>
      <c r="N659" t="str">
        <f>IF(GhanaStream[[#This Row],[Churn Flag]]="Yes","Churned","Retained")</f>
        <v>Churned</v>
      </c>
    </row>
    <row r="660" spans="1:14" x14ac:dyDescent="0.25">
      <c r="A660" t="s">
        <v>698</v>
      </c>
      <c r="B660" s="1">
        <v>44965</v>
      </c>
      <c r="C660" t="s">
        <v>20</v>
      </c>
      <c r="D660" t="s">
        <v>27</v>
      </c>
      <c r="E660">
        <v>5400</v>
      </c>
      <c r="F660" t="s">
        <v>14</v>
      </c>
      <c r="G660" t="s">
        <v>24</v>
      </c>
      <c r="H660" t="s">
        <v>16</v>
      </c>
      <c r="I660" t="s">
        <v>17</v>
      </c>
      <c r="J660" t="s">
        <v>55</v>
      </c>
      <c r="K660">
        <v>0.1</v>
      </c>
      <c r="L66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660">
        <f>GhanaStream[[#This Row],[Subscription Fee]]-(GhanaStream[[#This Row],[Discount]]*GhanaStream[[#This Row],[Subscription Fee]])</f>
        <v>4860</v>
      </c>
      <c r="N660" t="str">
        <f>IF(GhanaStream[[#This Row],[Churn Flag]]="Yes","Churned","Retained")</f>
        <v>Churned</v>
      </c>
    </row>
    <row r="661" spans="1:14" x14ac:dyDescent="0.25">
      <c r="A661" t="s">
        <v>699</v>
      </c>
      <c r="B661" s="1">
        <v>45211</v>
      </c>
      <c r="C661" t="s">
        <v>31</v>
      </c>
      <c r="D661" t="s">
        <v>13</v>
      </c>
      <c r="E661">
        <v>1000</v>
      </c>
      <c r="F661" t="s">
        <v>21</v>
      </c>
      <c r="G661" t="s">
        <v>24</v>
      </c>
      <c r="H661" t="s">
        <v>33</v>
      </c>
      <c r="I661" t="s">
        <v>34</v>
      </c>
      <c r="J661" t="s">
        <v>25</v>
      </c>
      <c r="K661">
        <v>0</v>
      </c>
      <c r="L66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661">
        <f>GhanaStream[[#This Row],[Subscription Fee]]-(GhanaStream[[#This Row],[Discount]]*GhanaStream[[#This Row],[Subscription Fee]])</f>
        <v>1000</v>
      </c>
      <c r="N661" t="str">
        <f>IF(GhanaStream[[#This Row],[Churn Flag]]="Yes","Churned","Retained")</f>
        <v>Retained</v>
      </c>
    </row>
    <row r="662" spans="1:14" x14ac:dyDescent="0.25">
      <c r="A662" t="s">
        <v>700</v>
      </c>
      <c r="B662" s="1">
        <v>45249</v>
      </c>
      <c r="C662" t="s">
        <v>12</v>
      </c>
      <c r="D662" t="s">
        <v>13</v>
      </c>
      <c r="E662">
        <v>1500</v>
      </c>
      <c r="F662" t="s">
        <v>49</v>
      </c>
      <c r="G662" t="s">
        <v>28</v>
      </c>
      <c r="H662" t="s">
        <v>16</v>
      </c>
      <c r="I662" t="s">
        <v>17</v>
      </c>
      <c r="J662" t="s">
        <v>18</v>
      </c>
      <c r="K662">
        <v>0</v>
      </c>
      <c r="L66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662">
        <f>GhanaStream[[#This Row],[Subscription Fee]]-(GhanaStream[[#This Row],[Discount]]*GhanaStream[[#This Row],[Subscription Fee]])</f>
        <v>1500</v>
      </c>
      <c r="N662" t="str">
        <f>IF(GhanaStream[[#This Row],[Churn Flag]]="Yes","Churned","Retained")</f>
        <v>Churned</v>
      </c>
    </row>
    <row r="663" spans="1:14" x14ac:dyDescent="0.25">
      <c r="A663" t="s">
        <v>701</v>
      </c>
      <c r="B663" s="1">
        <v>45478</v>
      </c>
      <c r="C663" t="s">
        <v>12</v>
      </c>
      <c r="D663" t="s">
        <v>13</v>
      </c>
      <c r="E663">
        <v>1500</v>
      </c>
      <c r="F663" t="s">
        <v>14</v>
      </c>
      <c r="G663" t="s">
        <v>24</v>
      </c>
      <c r="H663" t="s">
        <v>16</v>
      </c>
      <c r="I663" t="s">
        <v>17</v>
      </c>
      <c r="J663" t="s">
        <v>41</v>
      </c>
      <c r="K663">
        <v>0</v>
      </c>
      <c r="L66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663">
        <f>GhanaStream[[#This Row],[Subscription Fee]]-(GhanaStream[[#This Row],[Discount]]*GhanaStream[[#This Row],[Subscription Fee]])</f>
        <v>1500</v>
      </c>
      <c r="N663" t="str">
        <f>IF(GhanaStream[[#This Row],[Churn Flag]]="Yes","Churned","Retained")</f>
        <v>Churned</v>
      </c>
    </row>
    <row r="664" spans="1:14" x14ac:dyDescent="0.25">
      <c r="A664" t="s">
        <v>702</v>
      </c>
      <c r="B664" s="1">
        <v>45167</v>
      </c>
      <c r="C664" t="s">
        <v>20</v>
      </c>
      <c r="D664" t="s">
        <v>13</v>
      </c>
      <c r="E664">
        <v>500</v>
      </c>
      <c r="F664" t="s">
        <v>49</v>
      </c>
      <c r="G664" t="s">
        <v>28</v>
      </c>
      <c r="H664" t="s">
        <v>16</v>
      </c>
      <c r="I664" t="s">
        <v>17</v>
      </c>
      <c r="J664" t="s">
        <v>22</v>
      </c>
      <c r="K664">
        <v>0</v>
      </c>
      <c r="L66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664">
        <f>GhanaStream[[#This Row],[Subscription Fee]]-(GhanaStream[[#This Row],[Discount]]*GhanaStream[[#This Row],[Subscription Fee]])</f>
        <v>500</v>
      </c>
      <c r="N664" t="str">
        <f>IF(GhanaStream[[#This Row],[Churn Flag]]="Yes","Churned","Retained")</f>
        <v>Churned</v>
      </c>
    </row>
    <row r="665" spans="1:14" x14ac:dyDescent="0.25">
      <c r="A665" t="s">
        <v>703</v>
      </c>
      <c r="B665" s="1">
        <v>45656</v>
      </c>
      <c r="C665" t="s">
        <v>12</v>
      </c>
      <c r="D665" t="s">
        <v>27</v>
      </c>
      <c r="E665">
        <v>16200</v>
      </c>
      <c r="F665" t="s">
        <v>32</v>
      </c>
      <c r="G665" t="s">
        <v>24</v>
      </c>
      <c r="H665" t="s">
        <v>16</v>
      </c>
      <c r="I665" t="s">
        <v>17</v>
      </c>
      <c r="J665" t="s">
        <v>25</v>
      </c>
      <c r="K665">
        <v>0.1</v>
      </c>
      <c r="L66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665">
        <f>GhanaStream[[#This Row],[Subscription Fee]]-(GhanaStream[[#This Row],[Discount]]*GhanaStream[[#This Row],[Subscription Fee]])</f>
        <v>14580</v>
      </c>
      <c r="N665" t="str">
        <f>IF(GhanaStream[[#This Row],[Churn Flag]]="Yes","Churned","Retained")</f>
        <v>Churned</v>
      </c>
    </row>
    <row r="666" spans="1:14" x14ac:dyDescent="0.25">
      <c r="A666" t="s">
        <v>704</v>
      </c>
      <c r="B666" s="1">
        <v>45518</v>
      </c>
      <c r="C666" t="s">
        <v>20</v>
      </c>
      <c r="D666" t="s">
        <v>13</v>
      </c>
      <c r="E666">
        <v>500</v>
      </c>
      <c r="F666" t="s">
        <v>14</v>
      </c>
      <c r="G666" t="s">
        <v>24</v>
      </c>
      <c r="H666" t="s">
        <v>16</v>
      </c>
      <c r="I666" t="s">
        <v>17</v>
      </c>
      <c r="J666" t="s">
        <v>41</v>
      </c>
      <c r="K666">
        <v>0</v>
      </c>
      <c r="L66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666">
        <f>GhanaStream[[#This Row],[Subscription Fee]]-(GhanaStream[[#This Row],[Discount]]*GhanaStream[[#This Row],[Subscription Fee]])</f>
        <v>500</v>
      </c>
      <c r="N666" t="str">
        <f>IF(GhanaStream[[#This Row],[Churn Flag]]="Yes","Churned","Retained")</f>
        <v>Churned</v>
      </c>
    </row>
    <row r="667" spans="1:14" x14ac:dyDescent="0.25">
      <c r="A667" t="s">
        <v>705</v>
      </c>
      <c r="B667" s="1">
        <v>45176</v>
      </c>
      <c r="C667" t="s">
        <v>20</v>
      </c>
      <c r="D667" t="s">
        <v>13</v>
      </c>
      <c r="E667">
        <v>500</v>
      </c>
      <c r="F667" t="s">
        <v>49</v>
      </c>
      <c r="G667" t="s">
        <v>24</v>
      </c>
      <c r="H667" t="s">
        <v>33</v>
      </c>
      <c r="I667" t="s">
        <v>34</v>
      </c>
      <c r="J667" t="s">
        <v>22</v>
      </c>
      <c r="K667">
        <v>0</v>
      </c>
      <c r="L66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667">
        <f>GhanaStream[[#This Row],[Subscription Fee]]-(GhanaStream[[#This Row],[Discount]]*GhanaStream[[#This Row],[Subscription Fee]])</f>
        <v>500</v>
      </c>
      <c r="N667" t="str">
        <f>IF(GhanaStream[[#This Row],[Churn Flag]]="Yes","Churned","Retained")</f>
        <v>Retained</v>
      </c>
    </row>
    <row r="668" spans="1:14" x14ac:dyDescent="0.25">
      <c r="A668" t="s">
        <v>706</v>
      </c>
      <c r="B668" s="1">
        <v>45487</v>
      </c>
      <c r="C668" t="s">
        <v>31</v>
      </c>
      <c r="D668" t="s">
        <v>13</v>
      </c>
      <c r="E668">
        <v>1000</v>
      </c>
      <c r="F668" t="s">
        <v>32</v>
      </c>
      <c r="G668" t="s">
        <v>15</v>
      </c>
      <c r="H668" t="s">
        <v>16</v>
      </c>
      <c r="I668" t="s">
        <v>17</v>
      </c>
      <c r="J668" t="s">
        <v>35</v>
      </c>
      <c r="K668">
        <v>0</v>
      </c>
      <c r="L66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668">
        <f>GhanaStream[[#This Row],[Subscription Fee]]-(GhanaStream[[#This Row],[Discount]]*GhanaStream[[#This Row],[Subscription Fee]])</f>
        <v>1000</v>
      </c>
      <c r="N668" t="str">
        <f>IF(GhanaStream[[#This Row],[Churn Flag]]="Yes","Churned","Retained")</f>
        <v>Churned</v>
      </c>
    </row>
    <row r="669" spans="1:14" x14ac:dyDescent="0.25">
      <c r="A669" t="s">
        <v>707</v>
      </c>
      <c r="B669" s="1">
        <v>45597</v>
      </c>
      <c r="C669" t="s">
        <v>20</v>
      </c>
      <c r="D669" t="s">
        <v>13</v>
      </c>
      <c r="E669">
        <v>500</v>
      </c>
      <c r="F669" t="s">
        <v>49</v>
      </c>
      <c r="G669" t="s">
        <v>24</v>
      </c>
      <c r="H669" t="s">
        <v>33</v>
      </c>
      <c r="I669" t="s">
        <v>34</v>
      </c>
      <c r="J669" t="s">
        <v>22</v>
      </c>
      <c r="K669">
        <v>0</v>
      </c>
      <c r="L66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669">
        <f>GhanaStream[[#This Row],[Subscription Fee]]-(GhanaStream[[#This Row],[Discount]]*GhanaStream[[#This Row],[Subscription Fee]])</f>
        <v>500</v>
      </c>
      <c r="N669" t="str">
        <f>IF(GhanaStream[[#This Row],[Churn Flag]]="Yes","Churned","Retained")</f>
        <v>Retained</v>
      </c>
    </row>
    <row r="670" spans="1:14" x14ac:dyDescent="0.25">
      <c r="A670" t="s">
        <v>708</v>
      </c>
      <c r="B670" s="1">
        <v>45360</v>
      </c>
      <c r="C670" t="s">
        <v>12</v>
      </c>
      <c r="D670" t="s">
        <v>13</v>
      </c>
      <c r="E670">
        <v>1500</v>
      </c>
      <c r="F670" t="s">
        <v>14</v>
      </c>
      <c r="G670" t="s">
        <v>15</v>
      </c>
      <c r="H670" t="s">
        <v>16</v>
      </c>
      <c r="I670" t="s">
        <v>17</v>
      </c>
      <c r="J670" t="s">
        <v>41</v>
      </c>
      <c r="K670">
        <v>0</v>
      </c>
      <c r="L67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670">
        <f>GhanaStream[[#This Row],[Subscription Fee]]-(GhanaStream[[#This Row],[Discount]]*GhanaStream[[#This Row],[Subscription Fee]])</f>
        <v>1500</v>
      </c>
      <c r="N670" t="str">
        <f>IF(GhanaStream[[#This Row],[Churn Flag]]="Yes","Churned","Retained")</f>
        <v>Churned</v>
      </c>
    </row>
    <row r="671" spans="1:14" x14ac:dyDescent="0.25">
      <c r="A671" t="s">
        <v>709</v>
      </c>
      <c r="B671" s="1">
        <v>45577</v>
      </c>
      <c r="C671" t="s">
        <v>12</v>
      </c>
      <c r="D671" t="s">
        <v>27</v>
      </c>
      <c r="E671">
        <v>16200</v>
      </c>
      <c r="F671" t="s">
        <v>49</v>
      </c>
      <c r="G671" t="s">
        <v>28</v>
      </c>
      <c r="H671" t="s">
        <v>33</v>
      </c>
      <c r="I671" t="s">
        <v>34</v>
      </c>
      <c r="J671" t="s">
        <v>50</v>
      </c>
      <c r="K671">
        <v>0.1</v>
      </c>
      <c r="L67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671">
        <f>GhanaStream[[#This Row],[Subscription Fee]]-(GhanaStream[[#This Row],[Discount]]*GhanaStream[[#This Row],[Subscription Fee]])</f>
        <v>14580</v>
      </c>
      <c r="N671" t="str">
        <f>IF(GhanaStream[[#This Row],[Churn Flag]]="Yes","Churned","Retained")</f>
        <v>Retained</v>
      </c>
    </row>
    <row r="672" spans="1:14" x14ac:dyDescent="0.25">
      <c r="A672" t="s">
        <v>710</v>
      </c>
      <c r="B672" s="1">
        <v>45087</v>
      </c>
      <c r="C672" t="s">
        <v>31</v>
      </c>
      <c r="D672" t="s">
        <v>27</v>
      </c>
      <c r="E672">
        <v>10800</v>
      </c>
      <c r="F672" t="s">
        <v>32</v>
      </c>
      <c r="G672" t="s">
        <v>15</v>
      </c>
      <c r="H672" t="s">
        <v>16</v>
      </c>
      <c r="I672" t="s">
        <v>17</v>
      </c>
      <c r="J672" t="s">
        <v>44</v>
      </c>
      <c r="K672">
        <v>0.1</v>
      </c>
      <c r="L67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672">
        <f>GhanaStream[[#This Row],[Subscription Fee]]-(GhanaStream[[#This Row],[Discount]]*GhanaStream[[#This Row],[Subscription Fee]])</f>
        <v>9720</v>
      </c>
      <c r="N672" t="str">
        <f>IF(GhanaStream[[#This Row],[Churn Flag]]="Yes","Churned","Retained")</f>
        <v>Churned</v>
      </c>
    </row>
    <row r="673" spans="1:14" x14ac:dyDescent="0.25">
      <c r="A673" t="s">
        <v>711</v>
      </c>
      <c r="B673" s="1">
        <v>45453</v>
      </c>
      <c r="C673" t="s">
        <v>20</v>
      </c>
      <c r="D673" t="s">
        <v>13</v>
      </c>
      <c r="E673">
        <v>500</v>
      </c>
      <c r="F673" t="s">
        <v>32</v>
      </c>
      <c r="G673" t="s">
        <v>24</v>
      </c>
      <c r="H673" t="s">
        <v>33</v>
      </c>
      <c r="I673" t="s">
        <v>34</v>
      </c>
      <c r="J673" t="s">
        <v>39</v>
      </c>
      <c r="K673">
        <v>0</v>
      </c>
      <c r="L67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673">
        <f>GhanaStream[[#This Row],[Subscription Fee]]-(GhanaStream[[#This Row],[Discount]]*GhanaStream[[#This Row],[Subscription Fee]])</f>
        <v>500</v>
      </c>
      <c r="N673" t="str">
        <f>IF(GhanaStream[[#This Row],[Churn Flag]]="Yes","Churned","Retained")</f>
        <v>Retained</v>
      </c>
    </row>
    <row r="674" spans="1:14" x14ac:dyDescent="0.25">
      <c r="A674" t="s">
        <v>712</v>
      </c>
      <c r="B674" s="1">
        <v>45490</v>
      </c>
      <c r="C674" t="s">
        <v>12</v>
      </c>
      <c r="D674" t="s">
        <v>13</v>
      </c>
      <c r="E674">
        <v>1500</v>
      </c>
      <c r="F674" t="s">
        <v>21</v>
      </c>
      <c r="G674" t="s">
        <v>24</v>
      </c>
      <c r="H674" t="s">
        <v>16</v>
      </c>
      <c r="I674" t="s">
        <v>17</v>
      </c>
      <c r="J674" t="s">
        <v>29</v>
      </c>
      <c r="K674">
        <v>0</v>
      </c>
      <c r="L67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674">
        <f>GhanaStream[[#This Row],[Subscription Fee]]-(GhanaStream[[#This Row],[Discount]]*GhanaStream[[#This Row],[Subscription Fee]])</f>
        <v>1500</v>
      </c>
      <c r="N674" t="str">
        <f>IF(GhanaStream[[#This Row],[Churn Flag]]="Yes","Churned","Retained")</f>
        <v>Churned</v>
      </c>
    </row>
    <row r="675" spans="1:14" x14ac:dyDescent="0.25">
      <c r="A675" t="s">
        <v>713</v>
      </c>
      <c r="B675" s="1">
        <v>45305</v>
      </c>
      <c r="C675" t="s">
        <v>12</v>
      </c>
      <c r="D675" t="s">
        <v>13</v>
      </c>
      <c r="E675">
        <v>1500</v>
      </c>
      <c r="F675" t="s">
        <v>32</v>
      </c>
      <c r="G675" t="s">
        <v>24</v>
      </c>
      <c r="H675" t="s">
        <v>16</v>
      </c>
      <c r="I675" t="s">
        <v>17</v>
      </c>
      <c r="J675" t="s">
        <v>44</v>
      </c>
      <c r="K675">
        <v>0</v>
      </c>
      <c r="L67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675">
        <f>GhanaStream[[#This Row],[Subscription Fee]]-(GhanaStream[[#This Row],[Discount]]*GhanaStream[[#This Row],[Subscription Fee]])</f>
        <v>1500</v>
      </c>
      <c r="N675" t="str">
        <f>IF(GhanaStream[[#This Row],[Churn Flag]]="Yes","Churned","Retained")</f>
        <v>Churned</v>
      </c>
    </row>
    <row r="676" spans="1:14" x14ac:dyDescent="0.25">
      <c r="A676" t="s">
        <v>714</v>
      </c>
      <c r="B676" s="1">
        <v>45027</v>
      </c>
      <c r="C676" t="s">
        <v>12</v>
      </c>
      <c r="D676" t="s">
        <v>27</v>
      </c>
      <c r="E676">
        <v>16200</v>
      </c>
      <c r="F676" t="s">
        <v>49</v>
      </c>
      <c r="G676" t="s">
        <v>24</v>
      </c>
      <c r="H676" t="s">
        <v>33</v>
      </c>
      <c r="I676" t="s">
        <v>34</v>
      </c>
      <c r="J676" t="s">
        <v>18</v>
      </c>
      <c r="K676">
        <v>0.1</v>
      </c>
      <c r="L67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676">
        <f>GhanaStream[[#This Row],[Subscription Fee]]-(GhanaStream[[#This Row],[Discount]]*GhanaStream[[#This Row],[Subscription Fee]])</f>
        <v>14580</v>
      </c>
      <c r="N676" t="str">
        <f>IF(GhanaStream[[#This Row],[Churn Flag]]="Yes","Churned","Retained")</f>
        <v>Retained</v>
      </c>
    </row>
    <row r="677" spans="1:14" x14ac:dyDescent="0.25">
      <c r="A677" t="s">
        <v>715</v>
      </c>
      <c r="B677" s="1">
        <v>45022</v>
      </c>
      <c r="C677" t="s">
        <v>20</v>
      </c>
      <c r="D677" t="s">
        <v>27</v>
      </c>
      <c r="E677">
        <v>5400</v>
      </c>
      <c r="F677" t="s">
        <v>49</v>
      </c>
      <c r="G677" t="s">
        <v>28</v>
      </c>
      <c r="H677" t="s">
        <v>33</v>
      </c>
      <c r="I677" t="s">
        <v>34</v>
      </c>
      <c r="J677" t="s">
        <v>35</v>
      </c>
      <c r="K677">
        <v>0.1</v>
      </c>
      <c r="L67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677">
        <f>GhanaStream[[#This Row],[Subscription Fee]]-(GhanaStream[[#This Row],[Discount]]*GhanaStream[[#This Row],[Subscription Fee]])</f>
        <v>4860</v>
      </c>
      <c r="N677" t="str">
        <f>IF(GhanaStream[[#This Row],[Churn Flag]]="Yes","Churned","Retained")</f>
        <v>Retained</v>
      </c>
    </row>
    <row r="678" spans="1:14" x14ac:dyDescent="0.25">
      <c r="A678" t="s">
        <v>716</v>
      </c>
      <c r="B678" s="1">
        <v>44950</v>
      </c>
      <c r="C678" t="s">
        <v>31</v>
      </c>
      <c r="D678" t="s">
        <v>13</v>
      </c>
      <c r="E678">
        <v>1000</v>
      </c>
      <c r="F678" t="s">
        <v>32</v>
      </c>
      <c r="G678" t="s">
        <v>24</v>
      </c>
      <c r="H678" t="s">
        <v>33</v>
      </c>
      <c r="I678" t="s">
        <v>34</v>
      </c>
      <c r="J678" t="s">
        <v>44</v>
      </c>
      <c r="K678">
        <v>0</v>
      </c>
      <c r="L67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678">
        <f>GhanaStream[[#This Row],[Subscription Fee]]-(GhanaStream[[#This Row],[Discount]]*GhanaStream[[#This Row],[Subscription Fee]])</f>
        <v>1000</v>
      </c>
      <c r="N678" t="str">
        <f>IF(GhanaStream[[#This Row],[Churn Flag]]="Yes","Churned","Retained")</f>
        <v>Retained</v>
      </c>
    </row>
    <row r="679" spans="1:14" x14ac:dyDescent="0.25">
      <c r="A679" t="s">
        <v>717</v>
      </c>
      <c r="B679" s="1">
        <v>45376</v>
      </c>
      <c r="C679" t="s">
        <v>20</v>
      </c>
      <c r="D679" t="s">
        <v>13</v>
      </c>
      <c r="E679">
        <v>500</v>
      </c>
      <c r="F679" t="s">
        <v>14</v>
      </c>
      <c r="G679" t="s">
        <v>28</v>
      </c>
      <c r="H679" t="s">
        <v>16</v>
      </c>
      <c r="I679" t="s">
        <v>17</v>
      </c>
      <c r="J679" t="s">
        <v>55</v>
      </c>
      <c r="K679">
        <v>0</v>
      </c>
      <c r="L67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679">
        <f>GhanaStream[[#This Row],[Subscription Fee]]-(GhanaStream[[#This Row],[Discount]]*GhanaStream[[#This Row],[Subscription Fee]])</f>
        <v>500</v>
      </c>
      <c r="N679" t="str">
        <f>IF(GhanaStream[[#This Row],[Churn Flag]]="Yes","Churned","Retained")</f>
        <v>Churned</v>
      </c>
    </row>
    <row r="680" spans="1:14" x14ac:dyDescent="0.25">
      <c r="A680" t="s">
        <v>718</v>
      </c>
      <c r="B680" s="1">
        <v>45628</v>
      </c>
      <c r="C680" t="s">
        <v>31</v>
      </c>
      <c r="D680" t="s">
        <v>13</v>
      </c>
      <c r="E680">
        <v>1000</v>
      </c>
      <c r="F680" t="s">
        <v>21</v>
      </c>
      <c r="G680" t="s">
        <v>28</v>
      </c>
      <c r="H680" t="s">
        <v>16</v>
      </c>
      <c r="I680" t="s">
        <v>17</v>
      </c>
      <c r="J680" t="s">
        <v>22</v>
      </c>
      <c r="K680">
        <v>0</v>
      </c>
      <c r="L68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680">
        <f>GhanaStream[[#This Row],[Subscription Fee]]-(GhanaStream[[#This Row],[Discount]]*GhanaStream[[#This Row],[Subscription Fee]])</f>
        <v>1000</v>
      </c>
      <c r="N680" t="str">
        <f>IF(GhanaStream[[#This Row],[Churn Flag]]="Yes","Churned","Retained")</f>
        <v>Churned</v>
      </c>
    </row>
    <row r="681" spans="1:14" x14ac:dyDescent="0.25">
      <c r="A681" t="s">
        <v>719</v>
      </c>
      <c r="B681" s="1">
        <v>45389</v>
      </c>
      <c r="C681" t="s">
        <v>20</v>
      </c>
      <c r="D681" t="s">
        <v>27</v>
      </c>
      <c r="E681">
        <v>5400</v>
      </c>
      <c r="F681" t="s">
        <v>14</v>
      </c>
      <c r="G681" t="s">
        <v>15</v>
      </c>
      <c r="H681" t="s">
        <v>16</v>
      </c>
      <c r="I681" t="s">
        <v>17</v>
      </c>
      <c r="J681" t="s">
        <v>22</v>
      </c>
      <c r="K681">
        <v>0.1</v>
      </c>
      <c r="L68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681">
        <f>GhanaStream[[#This Row],[Subscription Fee]]-(GhanaStream[[#This Row],[Discount]]*GhanaStream[[#This Row],[Subscription Fee]])</f>
        <v>4860</v>
      </c>
      <c r="N681" t="str">
        <f>IF(GhanaStream[[#This Row],[Churn Flag]]="Yes","Churned","Retained")</f>
        <v>Churned</v>
      </c>
    </row>
    <row r="682" spans="1:14" x14ac:dyDescent="0.25">
      <c r="A682" t="s">
        <v>720</v>
      </c>
      <c r="B682" s="1">
        <v>45304</v>
      </c>
      <c r="C682" t="s">
        <v>20</v>
      </c>
      <c r="D682" t="s">
        <v>27</v>
      </c>
      <c r="E682">
        <v>5400</v>
      </c>
      <c r="F682" t="s">
        <v>14</v>
      </c>
      <c r="G682" t="s">
        <v>28</v>
      </c>
      <c r="H682" t="s">
        <v>16</v>
      </c>
      <c r="I682" t="s">
        <v>17</v>
      </c>
      <c r="J682" t="s">
        <v>41</v>
      </c>
      <c r="K682">
        <v>0.1</v>
      </c>
      <c r="L68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682">
        <f>GhanaStream[[#This Row],[Subscription Fee]]-(GhanaStream[[#This Row],[Discount]]*GhanaStream[[#This Row],[Subscription Fee]])</f>
        <v>4860</v>
      </c>
      <c r="N682" t="str">
        <f>IF(GhanaStream[[#This Row],[Churn Flag]]="Yes","Churned","Retained")</f>
        <v>Churned</v>
      </c>
    </row>
    <row r="683" spans="1:14" x14ac:dyDescent="0.25">
      <c r="A683" t="s">
        <v>721</v>
      </c>
      <c r="B683" s="1">
        <v>45407</v>
      </c>
      <c r="C683" t="s">
        <v>12</v>
      </c>
      <c r="D683" t="s">
        <v>13</v>
      </c>
      <c r="E683">
        <v>1500</v>
      </c>
      <c r="F683" t="s">
        <v>21</v>
      </c>
      <c r="G683" t="s">
        <v>28</v>
      </c>
      <c r="H683" t="s">
        <v>33</v>
      </c>
      <c r="I683" t="s">
        <v>34</v>
      </c>
      <c r="J683" t="s">
        <v>18</v>
      </c>
      <c r="K683">
        <v>0</v>
      </c>
      <c r="L68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683">
        <f>GhanaStream[[#This Row],[Subscription Fee]]-(GhanaStream[[#This Row],[Discount]]*GhanaStream[[#This Row],[Subscription Fee]])</f>
        <v>1500</v>
      </c>
      <c r="N683" t="str">
        <f>IF(GhanaStream[[#This Row],[Churn Flag]]="Yes","Churned","Retained")</f>
        <v>Retained</v>
      </c>
    </row>
    <row r="684" spans="1:14" x14ac:dyDescent="0.25">
      <c r="A684" t="s">
        <v>722</v>
      </c>
      <c r="B684" s="1">
        <v>45019</v>
      </c>
      <c r="C684" t="s">
        <v>12</v>
      </c>
      <c r="D684" t="s">
        <v>13</v>
      </c>
      <c r="E684">
        <v>1500</v>
      </c>
      <c r="F684" t="s">
        <v>14</v>
      </c>
      <c r="G684" t="s">
        <v>24</v>
      </c>
      <c r="H684" t="s">
        <v>33</v>
      </c>
      <c r="I684" t="s">
        <v>34</v>
      </c>
      <c r="J684" t="s">
        <v>55</v>
      </c>
      <c r="K684">
        <v>0</v>
      </c>
      <c r="L68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684">
        <f>GhanaStream[[#This Row],[Subscription Fee]]-(GhanaStream[[#This Row],[Discount]]*GhanaStream[[#This Row],[Subscription Fee]])</f>
        <v>1500</v>
      </c>
      <c r="N684" t="str">
        <f>IF(GhanaStream[[#This Row],[Churn Flag]]="Yes","Churned","Retained")</f>
        <v>Retained</v>
      </c>
    </row>
    <row r="685" spans="1:14" x14ac:dyDescent="0.25">
      <c r="A685" t="s">
        <v>723</v>
      </c>
      <c r="B685" s="1">
        <v>45593</v>
      </c>
      <c r="C685" t="s">
        <v>12</v>
      </c>
      <c r="D685" t="s">
        <v>27</v>
      </c>
      <c r="E685">
        <v>16200</v>
      </c>
      <c r="F685" t="s">
        <v>21</v>
      </c>
      <c r="G685" t="s">
        <v>24</v>
      </c>
      <c r="H685" t="s">
        <v>33</v>
      </c>
      <c r="I685" t="s">
        <v>34</v>
      </c>
      <c r="J685" t="s">
        <v>18</v>
      </c>
      <c r="K685">
        <v>0.1</v>
      </c>
      <c r="L68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685">
        <f>GhanaStream[[#This Row],[Subscription Fee]]-(GhanaStream[[#This Row],[Discount]]*GhanaStream[[#This Row],[Subscription Fee]])</f>
        <v>14580</v>
      </c>
      <c r="N685" t="str">
        <f>IF(GhanaStream[[#This Row],[Churn Flag]]="Yes","Churned","Retained")</f>
        <v>Retained</v>
      </c>
    </row>
    <row r="686" spans="1:14" x14ac:dyDescent="0.25">
      <c r="A686" t="s">
        <v>724</v>
      </c>
      <c r="B686" s="1">
        <v>45131</v>
      </c>
      <c r="C686" t="s">
        <v>20</v>
      </c>
      <c r="D686" t="s">
        <v>13</v>
      </c>
      <c r="E686">
        <v>500</v>
      </c>
      <c r="F686" t="s">
        <v>21</v>
      </c>
      <c r="G686" t="s">
        <v>28</v>
      </c>
      <c r="H686" t="s">
        <v>16</v>
      </c>
      <c r="I686" t="s">
        <v>17</v>
      </c>
      <c r="J686" t="s">
        <v>18</v>
      </c>
      <c r="K686">
        <v>0</v>
      </c>
      <c r="L68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686">
        <f>GhanaStream[[#This Row],[Subscription Fee]]-(GhanaStream[[#This Row],[Discount]]*GhanaStream[[#This Row],[Subscription Fee]])</f>
        <v>500</v>
      </c>
      <c r="N686" t="str">
        <f>IF(GhanaStream[[#This Row],[Churn Flag]]="Yes","Churned","Retained")</f>
        <v>Churned</v>
      </c>
    </row>
    <row r="687" spans="1:14" x14ac:dyDescent="0.25">
      <c r="A687" t="s">
        <v>725</v>
      </c>
      <c r="B687" s="1">
        <v>44958</v>
      </c>
      <c r="C687" t="s">
        <v>12</v>
      </c>
      <c r="D687" t="s">
        <v>27</v>
      </c>
      <c r="E687">
        <v>16200</v>
      </c>
      <c r="F687" t="s">
        <v>49</v>
      </c>
      <c r="G687" t="s">
        <v>28</v>
      </c>
      <c r="H687" t="s">
        <v>16</v>
      </c>
      <c r="I687" t="s">
        <v>17</v>
      </c>
      <c r="J687" t="s">
        <v>50</v>
      </c>
      <c r="K687">
        <v>0.1</v>
      </c>
      <c r="L68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687">
        <f>GhanaStream[[#This Row],[Subscription Fee]]-(GhanaStream[[#This Row],[Discount]]*GhanaStream[[#This Row],[Subscription Fee]])</f>
        <v>14580</v>
      </c>
      <c r="N687" t="str">
        <f>IF(GhanaStream[[#This Row],[Churn Flag]]="Yes","Churned","Retained")</f>
        <v>Churned</v>
      </c>
    </row>
    <row r="688" spans="1:14" x14ac:dyDescent="0.25">
      <c r="A688" t="s">
        <v>726</v>
      </c>
      <c r="B688" s="1">
        <v>45079</v>
      </c>
      <c r="C688" t="s">
        <v>31</v>
      </c>
      <c r="D688" t="s">
        <v>13</v>
      </c>
      <c r="E688">
        <v>1000</v>
      </c>
      <c r="F688" t="s">
        <v>21</v>
      </c>
      <c r="G688" t="s">
        <v>28</v>
      </c>
      <c r="H688" t="s">
        <v>33</v>
      </c>
      <c r="I688" t="s">
        <v>34</v>
      </c>
      <c r="J688" t="s">
        <v>18</v>
      </c>
      <c r="K688">
        <v>0</v>
      </c>
      <c r="L68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688">
        <f>GhanaStream[[#This Row],[Subscription Fee]]-(GhanaStream[[#This Row],[Discount]]*GhanaStream[[#This Row],[Subscription Fee]])</f>
        <v>1000</v>
      </c>
      <c r="N688" t="str">
        <f>IF(GhanaStream[[#This Row],[Churn Flag]]="Yes","Churned","Retained")</f>
        <v>Retained</v>
      </c>
    </row>
    <row r="689" spans="1:14" x14ac:dyDescent="0.25">
      <c r="A689" t="s">
        <v>727</v>
      </c>
      <c r="B689" s="1">
        <v>45055</v>
      </c>
      <c r="C689" t="s">
        <v>20</v>
      </c>
      <c r="D689" t="s">
        <v>13</v>
      </c>
      <c r="E689">
        <v>500</v>
      </c>
      <c r="F689" t="s">
        <v>32</v>
      </c>
      <c r="G689" t="s">
        <v>28</v>
      </c>
      <c r="H689" t="s">
        <v>16</v>
      </c>
      <c r="I689" t="s">
        <v>17</v>
      </c>
      <c r="J689" t="s">
        <v>39</v>
      </c>
      <c r="K689">
        <v>0</v>
      </c>
      <c r="L68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689">
        <f>GhanaStream[[#This Row],[Subscription Fee]]-(GhanaStream[[#This Row],[Discount]]*GhanaStream[[#This Row],[Subscription Fee]])</f>
        <v>500</v>
      </c>
      <c r="N689" t="str">
        <f>IF(GhanaStream[[#This Row],[Churn Flag]]="Yes","Churned","Retained")</f>
        <v>Churned</v>
      </c>
    </row>
    <row r="690" spans="1:14" x14ac:dyDescent="0.25">
      <c r="A690" t="s">
        <v>728</v>
      </c>
      <c r="B690" s="1">
        <v>45527</v>
      </c>
      <c r="C690" t="s">
        <v>12</v>
      </c>
      <c r="D690" t="s">
        <v>27</v>
      </c>
      <c r="E690">
        <v>16200</v>
      </c>
      <c r="F690" t="s">
        <v>14</v>
      </c>
      <c r="G690" t="s">
        <v>24</v>
      </c>
      <c r="H690" t="s">
        <v>33</v>
      </c>
      <c r="I690" t="s">
        <v>34</v>
      </c>
      <c r="J690" t="s">
        <v>55</v>
      </c>
      <c r="K690">
        <v>0.1</v>
      </c>
      <c r="L69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690">
        <f>GhanaStream[[#This Row],[Subscription Fee]]-(GhanaStream[[#This Row],[Discount]]*GhanaStream[[#This Row],[Subscription Fee]])</f>
        <v>14580</v>
      </c>
      <c r="N690" t="str">
        <f>IF(GhanaStream[[#This Row],[Churn Flag]]="Yes","Churned","Retained")</f>
        <v>Retained</v>
      </c>
    </row>
    <row r="691" spans="1:14" x14ac:dyDescent="0.25">
      <c r="A691" t="s">
        <v>729</v>
      </c>
      <c r="B691" s="1">
        <v>45361</v>
      </c>
      <c r="C691" t="s">
        <v>12</v>
      </c>
      <c r="D691" t="s">
        <v>27</v>
      </c>
      <c r="E691">
        <v>16200</v>
      </c>
      <c r="F691" t="s">
        <v>32</v>
      </c>
      <c r="G691" t="s">
        <v>28</v>
      </c>
      <c r="H691" t="s">
        <v>33</v>
      </c>
      <c r="I691" t="s">
        <v>34</v>
      </c>
      <c r="J691" t="s">
        <v>25</v>
      </c>
      <c r="K691">
        <v>0.1</v>
      </c>
      <c r="L69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691">
        <f>GhanaStream[[#This Row],[Subscription Fee]]-(GhanaStream[[#This Row],[Discount]]*GhanaStream[[#This Row],[Subscription Fee]])</f>
        <v>14580</v>
      </c>
      <c r="N691" t="str">
        <f>IF(GhanaStream[[#This Row],[Churn Flag]]="Yes","Churned","Retained")</f>
        <v>Retained</v>
      </c>
    </row>
    <row r="692" spans="1:14" x14ac:dyDescent="0.25">
      <c r="A692" t="s">
        <v>730</v>
      </c>
      <c r="B692" s="1">
        <v>45340</v>
      </c>
      <c r="C692" t="s">
        <v>20</v>
      </c>
      <c r="D692" t="s">
        <v>13</v>
      </c>
      <c r="E692">
        <v>500</v>
      </c>
      <c r="F692" t="s">
        <v>32</v>
      </c>
      <c r="G692" t="s">
        <v>24</v>
      </c>
      <c r="H692" t="s">
        <v>33</v>
      </c>
      <c r="I692" t="s">
        <v>34</v>
      </c>
      <c r="J692" t="s">
        <v>39</v>
      </c>
      <c r="K692">
        <v>0</v>
      </c>
      <c r="L69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692">
        <f>GhanaStream[[#This Row],[Subscription Fee]]-(GhanaStream[[#This Row],[Discount]]*GhanaStream[[#This Row],[Subscription Fee]])</f>
        <v>500</v>
      </c>
      <c r="N692" t="str">
        <f>IF(GhanaStream[[#This Row],[Churn Flag]]="Yes","Churned","Retained")</f>
        <v>Retained</v>
      </c>
    </row>
    <row r="693" spans="1:14" x14ac:dyDescent="0.25">
      <c r="A693" t="s">
        <v>731</v>
      </c>
      <c r="B693" s="1">
        <v>45154</v>
      </c>
      <c r="C693" t="s">
        <v>12</v>
      </c>
      <c r="D693" t="s">
        <v>27</v>
      </c>
      <c r="E693">
        <v>16200</v>
      </c>
      <c r="F693" t="s">
        <v>32</v>
      </c>
      <c r="G693" t="s">
        <v>24</v>
      </c>
      <c r="H693" t="s">
        <v>33</v>
      </c>
      <c r="I693" t="s">
        <v>34</v>
      </c>
      <c r="J693" t="s">
        <v>35</v>
      </c>
      <c r="K693">
        <v>0.1</v>
      </c>
      <c r="L69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693">
        <f>GhanaStream[[#This Row],[Subscription Fee]]-(GhanaStream[[#This Row],[Discount]]*GhanaStream[[#This Row],[Subscription Fee]])</f>
        <v>14580</v>
      </c>
      <c r="N693" t="str">
        <f>IF(GhanaStream[[#This Row],[Churn Flag]]="Yes","Churned","Retained")</f>
        <v>Retained</v>
      </c>
    </row>
    <row r="694" spans="1:14" x14ac:dyDescent="0.25">
      <c r="A694" t="s">
        <v>732</v>
      </c>
      <c r="B694" s="1">
        <v>45049</v>
      </c>
      <c r="C694" t="s">
        <v>12</v>
      </c>
      <c r="D694" t="s">
        <v>13</v>
      </c>
      <c r="E694">
        <v>1500</v>
      </c>
      <c r="F694" t="s">
        <v>14</v>
      </c>
      <c r="G694" t="s">
        <v>24</v>
      </c>
      <c r="H694" t="s">
        <v>33</v>
      </c>
      <c r="I694" t="s">
        <v>34</v>
      </c>
      <c r="J694" t="s">
        <v>55</v>
      </c>
      <c r="K694">
        <v>0</v>
      </c>
      <c r="L69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694">
        <f>GhanaStream[[#This Row],[Subscription Fee]]-(GhanaStream[[#This Row],[Discount]]*GhanaStream[[#This Row],[Subscription Fee]])</f>
        <v>1500</v>
      </c>
      <c r="N694" t="str">
        <f>IF(GhanaStream[[#This Row],[Churn Flag]]="Yes","Churned","Retained")</f>
        <v>Retained</v>
      </c>
    </row>
    <row r="695" spans="1:14" x14ac:dyDescent="0.25">
      <c r="A695" t="s">
        <v>733</v>
      </c>
      <c r="B695" s="1">
        <v>45590</v>
      </c>
      <c r="C695" t="s">
        <v>20</v>
      </c>
      <c r="D695" t="s">
        <v>27</v>
      </c>
      <c r="E695">
        <v>5400</v>
      </c>
      <c r="F695" t="s">
        <v>14</v>
      </c>
      <c r="G695" t="s">
        <v>24</v>
      </c>
      <c r="H695" t="s">
        <v>33</v>
      </c>
      <c r="I695" t="s">
        <v>34</v>
      </c>
      <c r="J695" t="s">
        <v>37</v>
      </c>
      <c r="K695">
        <v>0.1</v>
      </c>
      <c r="L69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695">
        <f>GhanaStream[[#This Row],[Subscription Fee]]-(GhanaStream[[#This Row],[Discount]]*GhanaStream[[#This Row],[Subscription Fee]])</f>
        <v>4860</v>
      </c>
      <c r="N695" t="str">
        <f>IF(GhanaStream[[#This Row],[Churn Flag]]="Yes","Churned","Retained")</f>
        <v>Retained</v>
      </c>
    </row>
    <row r="696" spans="1:14" x14ac:dyDescent="0.25">
      <c r="A696" t="s">
        <v>734</v>
      </c>
      <c r="B696" s="1">
        <v>45311</v>
      </c>
      <c r="C696" t="s">
        <v>20</v>
      </c>
      <c r="D696" t="s">
        <v>13</v>
      </c>
      <c r="E696">
        <v>500</v>
      </c>
      <c r="F696" t="s">
        <v>49</v>
      </c>
      <c r="G696" t="s">
        <v>28</v>
      </c>
      <c r="H696" t="s">
        <v>33</v>
      </c>
      <c r="I696" t="s">
        <v>34</v>
      </c>
      <c r="J696" t="s">
        <v>58</v>
      </c>
      <c r="K696">
        <v>0</v>
      </c>
      <c r="L69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696">
        <f>GhanaStream[[#This Row],[Subscription Fee]]-(GhanaStream[[#This Row],[Discount]]*GhanaStream[[#This Row],[Subscription Fee]])</f>
        <v>500</v>
      </c>
      <c r="N696" t="str">
        <f>IF(GhanaStream[[#This Row],[Churn Flag]]="Yes","Churned","Retained")</f>
        <v>Retained</v>
      </c>
    </row>
    <row r="697" spans="1:14" x14ac:dyDescent="0.25">
      <c r="A697" t="s">
        <v>735</v>
      </c>
      <c r="B697" s="1">
        <v>45619</v>
      </c>
      <c r="C697" t="s">
        <v>31</v>
      </c>
      <c r="D697" t="s">
        <v>13</v>
      </c>
      <c r="E697">
        <v>1000</v>
      </c>
      <c r="F697" t="s">
        <v>21</v>
      </c>
      <c r="G697" t="s">
        <v>24</v>
      </c>
      <c r="H697" t="s">
        <v>33</v>
      </c>
      <c r="I697" t="s">
        <v>34</v>
      </c>
      <c r="J697" t="s">
        <v>18</v>
      </c>
      <c r="K697">
        <v>0</v>
      </c>
      <c r="L69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697">
        <f>GhanaStream[[#This Row],[Subscription Fee]]-(GhanaStream[[#This Row],[Discount]]*GhanaStream[[#This Row],[Subscription Fee]])</f>
        <v>1000</v>
      </c>
      <c r="N697" t="str">
        <f>IF(GhanaStream[[#This Row],[Churn Flag]]="Yes","Churned","Retained")</f>
        <v>Retained</v>
      </c>
    </row>
    <row r="698" spans="1:14" x14ac:dyDescent="0.25">
      <c r="A698" t="s">
        <v>736</v>
      </c>
      <c r="B698" s="1">
        <v>45199</v>
      </c>
      <c r="C698" t="s">
        <v>31</v>
      </c>
      <c r="D698" t="s">
        <v>27</v>
      </c>
      <c r="E698">
        <v>10800</v>
      </c>
      <c r="F698" t="s">
        <v>49</v>
      </c>
      <c r="G698" t="s">
        <v>28</v>
      </c>
      <c r="H698" t="s">
        <v>33</v>
      </c>
      <c r="I698" t="s">
        <v>34</v>
      </c>
      <c r="J698" t="s">
        <v>58</v>
      </c>
      <c r="K698">
        <v>0.1</v>
      </c>
      <c r="L69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698">
        <f>GhanaStream[[#This Row],[Subscription Fee]]-(GhanaStream[[#This Row],[Discount]]*GhanaStream[[#This Row],[Subscription Fee]])</f>
        <v>9720</v>
      </c>
      <c r="N698" t="str">
        <f>IF(GhanaStream[[#This Row],[Churn Flag]]="Yes","Churned","Retained")</f>
        <v>Retained</v>
      </c>
    </row>
    <row r="699" spans="1:14" x14ac:dyDescent="0.25">
      <c r="A699" t="s">
        <v>737</v>
      </c>
      <c r="B699" s="1">
        <v>45467</v>
      </c>
      <c r="C699" t="s">
        <v>12</v>
      </c>
      <c r="D699" t="s">
        <v>13</v>
      </c>
      <c r="E699">
        <v>1500</v>
      </c>
      <c r="F699" t="s">
        <v>32</v>
      </c>
      <c r="G699" t="s">
        <v>24</v>
      </c>
      <c r="H699" t="s">
        <v>16</v>
      </c>
      <c r="I699" t="s">
        <v>17</v>
      </c>
      <c r="J699" t="s">
        <v>25</v>
      </c>
      <c r="K699">
        <v>0</v>
      </c>
      <c r="L69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699">
        <f>GhanaStream[[#This Row],[Subscription Fee]]-(GhanaStream[[#This Row],[Discount]]*GhanaStream[[#This Row],[Subscription Fee]])</f>
        <v>1500</v>
      </c>
      <c r="N699" t="str">
        <f>IF(GhanaStream[[#This Row],[Churn Flag]]="Yes","Churned","Retained")</f>
        <v>Churned</v>
      </c>
    </row>
    <row r="700" spans="1:14" x14ac:dyDescent="0.25">
      <c r="A700" t="s">
        <v>738</v>
      </c>
      <c r="B700" s="1">
        <v>45414</v>
      </c>
      <c r="C700" t="s">
        <v>31</v>
      </c>
      <c r="D700" t="s">
        <v>13</v>
      </c>
      <c r="E700">
        <v>1000</v>
      </c>
      <c r="F700" t="s">
        <v>14</v>
      </c>
      <c r="G700" t="s">
        <v>28</v>
      </c>
      <c r="H700" t="s">
        <v>33</v>
      </c>
      <c r="I700" t="s">
        <v>34</v>
      </c>
      <c r="J700" t="s">
        <v>55</v>
      </c>
      <c r="K700">
        <v>0</v>
      </c>
      <c r="L70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700">
        <f>GhanaStream[[#This Row],[Subscription Fee]]-(GhanaStream[[#This Row],[Discount]]*GhanaStream[[#This Row],[Subscription Fee]])</f>
        <v>1000</v>
      </c>
      <c r="N700" t="str">
        <f>IF(GhanaStream[[#This Row],[Churn Flag]]="Yes","Churned","Retained")</f>
        <v>Retained</v>
      </c>
    </row>
    <row r="701" spans="1:14" x14ac:dyDescent="0.25">
      <c r="A701" t="s">
        <v>739</v>
      </c>
      <c r="B701" s="1">
        <v>45332</v>
      </c>
      <c r="C701" t="s">
        <v>31</v>
      </c>
      <c r="D701" t="s">
        <v>27</v>
      </c>
      <c r="E701">
        <v>10800</v>
      </c>
      <c r="F701" t="s">
        <v>21</v>
      </c>
      <c r="G701" t="s">
        <v>24</v>
      </c>
      <c r="H701" t="s">
        <v>33</v>
      </c>
      <c r="I701" t="s">
        <v>34</v>
      </c>
      <c r="J701" t="s">
        <v>29</v>
      </c>
      <c r="K701">
        <v>0.1</v>
      </c>
      <c r="L70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701">
        <f>GhanaStream[[#This Row],[Subscription Fee]]-(GhanaStream[[#This Row],[Discount]]*GhanaStream[[#This Row],[Subscription Fee]])</f>
        <v>9720</v>
      </c>
      <c r="N701" t="str">
        <f>IF(GhanaStream[[#This Row],[Churn Flag]]="Yes","Churned","Retained")</f>
        <v>Retained</v>
      </c>
    </row>
    <row r="702" spans="1:14" x14ac:dyDescent="0.25">
      <c r="A702" t="s">
        <v>740</v>
      </c>
      <c r="B702" s="1">
        <v>45018</v>
      </c>
      <c r="C702" t="s">
        <v>12</v>
      </c>
      <c r="D702" t="s">
        <v>27</v>
      </c>
      <c r="E702">
        <v>16200</v>
      </c>
      <c r="F702" t="s">
        <v>32</v>
      </c>
      <c r="G702" t="s">
        <v>28</v>
      </c>
      <c r="H702" t="s">
        <v>16</v>
      </c>
      <c r="I702" t="s">
        <v>17</v>
      </c>
      <c r="J702" t="s">
        <v>25</v>
      </c>
      <c r="K702">
        <v>0.1</v>
      </c>
      <c r="L70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702">
        <f>GhanaStream[[#This Row],[Subscription Fee]]-(GhanaStream[[#This Row],[Discount]]*GhanaStream[[#This Row],[Subscription Fee]])</f>
        <v>14580</v>
      </c>
      <c r="N702" t="str">
        <f>IF(GhanaStream[[#This Row],[Churn Flag]]="Yes","Churned","Retained")</f>
        <v>Churned</v>
      </c>
    </row>
    <row r="703" spans="1:14" x14ac:dyDescent="0.25">
      <c r="A703" t="s">
        <v>741</v>
      </c>
      <c r="B703" s="1">
        <v>45630</v>
      </c>
      <c r="C703" t="s">
        <v>31</v>
      </c>
      <c r="D703" t="s">
        <v>13</v>
      </c>
      <c r="E703">
        <v>1000</v>
      </c>
      <c r="F703" t="s">
        <v>49</v>
      </c>
      <c r="G703" t="s">
        <v>24</v>
      </c>
      <c r="H703" t="s">
        <v>33</v>
      </c>
      <c r="I703" t="s">
        <v>34</v>
      </c>
      <c r="J703" t="s">
        <v>22</v>
      </c>
      <c r="K703">
        <v>0</v>
      </c>
      <c r="L70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703">
        <f>GhanaStream[[#This Row],[Subscription Fee]]-(GhanaStream[[#This Row],[Discount]]*GhanaStream[[#This Row],[Subscription Fee]])</f>
        <v>1000</v>
      </c>
      <c r="N703" t="str">
        <f>IF(GhanaStream[[#This Row],[Churn Flag]]="Yes","Churned","Retained")</f>
        <v>Retained</v>
      </c>
    </row>
    <row r="704" spans="1:14" x14ac:dyDescent="0.25">
      <c r="A704" t="s">
        <v>742</v>
      </c>
      <c r="B704" s="1">
        <v>45197</v>
      </c>
      <c r="C704" t="s">
        <v>31</v>
      </c>
      <c r="D704" t="s">
        <v>27</v>
      </c>
      <c r="E704">
        <v>10800</v>
      </c>
      <c r="F704" t="s">
        <v>14</v>
      </c>
      <c r="G704" t="s">
        <v>28</v>
      </c>
      <c r="H704" t="s">
        <v>33</v>
      </c>
      <c r="I704" t="s">
        <v>34</v>
      </c>
      <c r="J704" t="s">
        <v>37</v>
      </c>
      <c r="K704">
        <v>0.1</v>
      </c>
      <c r="L70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704">
        <f>GhanaStream[[#This Row],[Subscription Fee]]-(GhanaStream[[#This Row],[Discount]]*GhanaStream[[#This Row],[Subscription Fee]])</f>
        <v>9720</v>
      </c>
      <c r="N704" t="str">
        <f>IF(GhanaStream[[#This Row],[Churn Flag]]="Yes","Churned","Retained")</f>
        <v>Retained</v>
      </c>
    </row>
    <row r="705" spans="1:14" x14ac:dyDescent="0.25">
      <c r="A705" t="s">
        <v>743</v>
      </c>
      <c r="B705" s="1">
        <v>45141</v>
      </c>
      <c r="C705" t="s">
        <v>31</v>
      </c>
      <c r="D705" t="s">
        <v>27</v>
      </c>
      <c r="E705">
        <v>10800</v>
      </c>
      <c r="F705" t="s">
        <v>49</v>
      </c>
      <c r="G705" t="s">
        <v>24</v>
      </c>
      <c r="H705" t="s">
        <v>33</v>
      </c>
      <c r="I705" t="s">
        <v>34</v>
      </c>
      <c r="J705" t="s">
        <v>18</v>
      </c>
      <c r="K705">
        <v>0.1</v>
      </c>
      <c r="L70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705">
        <f>GhanaStream[[#This Row],[Subscription Fee]]-(GhanaStream[[#This Row],[Discount]]*GhanaStream[[#This Row],[Subscription Fee]])</f>
        <v>9720</v>
      </c>
      <c r="N705" t="str">
        <f>IF(GhanaStream[[#This Row],[Churn Flag]]="Yes","Churned","Retained")</f>
        <v>Retained</v>
      </c>
    </row>
    <row r="706" spans="1:14" x14ac:dyDescent="0.25">
      <c r="A706" t="s">
        <v>744</v>
      </c>
      <c r="B706" s="1">
        <v>45432</v>
      </c>
      <c r="C706" t="s">
        <v>31</v>
      </c>
      <c r="D706" t="s">
        <v>13</v>
      </c>
      <c r="E706">
        <v>1000</v>
      </c>
      <c r="F706" t="s">
        <v>32</v>
      </c>
      <c r="G706" t="s">
        <v>24</v>
      </c>
      <c r="H706" t="s">
        <v>33</v>
      </c>
      <c r="I706" t="s">
        <v>34</v>
      </c>
      <c r="J706" t="s">
        <v>35</v>
      </c>
      <c r="K706">
        <v>0</v>
      </c>
      <c r="L70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706">
        <f>GhanaStream[[#This Row],[Subscription Fee]]-(GhanaStream[[#This Row],[Discount]]*GhanaStream[[#This Row],[Subscription Fee]])</f>
        <v>1000</v>
      </c>
      <c r="N706" t="str">
        <f>IF(GhanaStream[[#This Row],[Churn Flag]]="Yes","Churned","Retained")</f>
        <v>Retained</v>
      </c>
    </row>
    <row r="707" spans="1:14" x14ac:dyDescent="0.25">
      <c r="A707" t="s">
        <v>745</v>
      </c>
      <c r="B707" s="1">
        <v>45052</v>
      </c>
      <c r="C707" t="s">
        <v>31</v>
      </c>
      <c r="D707" t="s">
        <v>13</v>
      </c>
      <c r="E707">
        <v>1000</v>
      </c>
      <c r="F707" t="s">
        <v>49</v>
      </c>
      <c r="G707" t="s">
        <v>28</v>
      </c>
      <c r="H707" t="s">
        <v>16</v>
      </c>
      <c r="I707" t="s">
        <v>17</v>
      </c>
      <c r="J707" t="s">
        <v>22</v>
      </c>
      <c r="K707">
        <v>0</v>
      </c>
      <c r="L70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707">
        <f>GhanaStream[[#This Row],[Subscription Fee]]-(GhanaStream[[#This Row],[Discount]]*GhanaStream[[#This Row],[Subscription Fee]])</f>
        <v>1000</v>
      </c>
      <c r="N707" t="str">
        <f>IF(GhanaStream[[#This Row],[Churn Flag]]="Yes","Churned","Retained")</f>
        <v>Churned</v>
      </c>
    </row>
    <row r="708" spans="1:14" x14ac:dyDescent="0.25">
      <c r="A708" t="s">
        <v>746</v>
      </c>
      <c r="B708" s="1">
        <v>45165</v>
      </c>
      <c r="C708" t="s">
        <v>31</v>
      </c>
      <c r="D708" t="s">
        <v>27</v>
      </c>
      <c r="E708">
        <v>10800</v>
      </c>
      <c r="F708" t="s">
        <v>21</v>
      </c>
      <c r="G708" t="s">
        <v>24</v>
      </c>
      <c r="H708" t="s">
        <v>33</v>
      </c>
      <c r="I708" t="s">
        <v>34</v>
      </c>
      <c r="J708" t="s">
        <v>29</v>
      </c>
      <c r="K708">
        <v>0.1</v>
      </c>
      <c r="L70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708">
        <f>GhanaStream[[#This Row],[Subscription Fee]]-(GhanaStream[[#This Row],[Discount]]*GhanaStream[[#This Row],[Subscription Fee]])</f>
        <v>9720</v>
      </c>
      <c r="N708" t="str">
        <f>IF(GhanaStream[[#This Row],[Churn Flag]]="Yes","Churned","Retained")</f>
        <v>Retained</v>
      </c>
    </row>
    <row r="709" spans="1:14" x14ac:dyDescent="0.25">
      <c r="A709" t="s">
        <v>747</v>
      </c>
      <c r="B709" s="1">
        <v>45160</v>
      </c>
      <c r="C709" t="s">
        <v>31</v>
      </c>
      <c r="D709" t="s">
        <v>13</v>
      </c>
      <c r="E709">
        <v>1000</v>
      </c>
      <c r="F709" t="s">
        <v>21</v>
      </c>
      <c r="G709" t="s">
        <v>28</v>
      </c>
      <c r="H709" t="s">
        <v>16</v>
      </c>
      <c r="I709" t="s">
        <v>17</v>
      </c>
      <c r="J709" t="s">
        <v>29</v>
      </c>
      <c r="K709">
        <v>0</v>
      </c>
      <c r="L70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709">
        <f>GhanaStream[[#This Row],[Subscription Fee]]-(GhanaStream[[#This Row],[Discount]]*GhanaStream[[#This Row],[Subscription Fee]])</f>
        <v>1000</v>
      </c>
      <c r="N709" t="str">
        <f>IF(GhanaStream[[#This Row],[Churn Flag]]="Yes","Churned","Retained")</f>
        <v>Churned</v>
      </c>
    </row>
    <row r="710" spans="1:14" x14ac:dyDescent="0.25">
      <c r="A710" t="s">
        <v>748</v>
      </c>
      <c r="B710" s="1">
        <v>45016</v>
      </c>
      <c r="C710" t="s">
        <v>31</v>
      </c>
      <c r="D710" t="s">
        <v>27</v>
      </c>
      <c r="E710">
        <v>10800</v>
      </c>
      <c r="F710" t="s">
        <v>14</v>
      </c>
      <c r="G710" t="s">
        <v>24</v>
      </c>
      <c r="H710" t="s">
        <v>16</v>
      </c>
      <c r="I710" t="s">
        <v>17</v>
      </c>
      <c r="J710" t="s">
        <v>18</v>
      </c>
      <c r="K710">
        <v>0.1</v>
      </c>
      <c r="L71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710">
        <f>GhanaStream[[#This Row],[Subscription Fee]]-(GhanaStream[[#This Row],[Discount]]*GhanaStream[[#This Row],[Subscription Fee]])</f>
        <v>9720</v>
      </c>
      <c r="N710" t="str">
        <f>IF(GhanaStream[[#This Row],[Churn Flag]]="Yes","Churned","Retained")</f>
        <v>Churned</v>
      </c>
    </row>
    <row r="711" spans="1:14" x14ac:dyDescent="0.25">
      <c r="A711" t="s">
        <v>749</v>
      </c>
      <c r="B711" s="1">
        <v>45360</v>
      </c>
      <c r="C711" t="s">
        <v>20</v>
      </c>
      <c r="D711" t="s">
        <v>27</v>
      </c>
      <c r="E711">
        <v>5400</v>
      </c>
      <c r="F711" t="s">
        <v>49</v>
      </c>
      <c r="G711" t="s">
        <v>15</v>
      </c>
      <c r="H711" t="s">
        <v>16</v>
      </c>
      <c r="I711" t="s">
        <v>17</v>
      </c>
      <c r="J711" t="s">
        <v>18</v>
      </c>
      <c r="K711">
        <v>0.1</v>
      </c>
      <c r="L71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711">
        <f>GhanaStream[[#This Row],[Subscription Fee]]-(GhanaStream[[#This Row],[Discount]]*GhanaStream[[#This Row],[Subscription Fee]])</f>
        <v>4860</v>
      </c>
      <c r="N711" t="str">
        <f>IF(GhanaStream[[#This Row],[Churn Flag]]="Yes","Churned","Retained")</f>
        <v>Churned</v>
      </c>
    </row>
    <row r="712" spans="1:14" x14ac:dyDescent="0.25">
      <c r="A712" t="s">
        <v>750</v>
      </c>
      <c r="B712" s="1">
        <v>44968</v>
      </c>
      <c r="C712" t="s">
        <v>12</v>
      </c>
      <c r="D712" t="s">
        <v>27</v>
      </c>
      <c r="E712">
        <v>16200</v>
      </c>
      <c r="F712" t="s">
        <v>21</v>
      </c>
      <c r="G712" t="s">
        <v>24</v>
      </c>
      <c r="H712" t="s">
        <v>33</v>
      </c>
      <c r="I712" t="s">
        <v>34</v>
      </c>
      <c r="J712" t="s">
        <v>18</v>
      </c>
      <c r="K712">
        <v>0.1</v>
      </c>
      <c r="L71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712">
        <f>GhanaStream[[#This Row],[Subscription Fee]]-(GhanaStream[[#This Row],[Discount]]*GhanaStream[[#This Row],[Subscription Fee]])</f>
        <v>14580</v>
      </c>
      <c r="N712" t="str">
        <f>IF(GhanaStream[[#This Row],[Churn Flag]]="Yes","Churned","Retained")</f>
        <v>Retained</v>
      </c>
    </row>
    <row r="713" spans="1:14" x14ac:dyDescent="0.25">
      <c r="A713" t="s">
        <v>751</v>
      </c>
      <c r="B713" s="1">
        <v>45195</v>
      </c>
      <c r="C713" t="s">
        <v>31</v>
      </c>
      <c r="D713" t="s">
        <v>27</v>
      </c>
      <c r="E713">
        <v>10800</v>
      </c>
      <c r="F713" t="s">
        <v>32</v>
      </c>
      <c r="G713" t="s">
        <v>15</v>
      </c>
      <c r="H713" t="s">
        <v>16</v>
      </c>
      <c r="I713" t="s">
        <v>17</v>
      </c>
      <c r="J713" t="s">
        <v>35</v>
      </c>
      <c r="K713">
        <v>0.1</v>
      </c>
      <c r="L71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713">
        <f>GhanaStream[[#This Row],[Subscription Fee]]-(GhanaStream[[#This Row],[Discount]]*GhanaStream[[#This Row],[Subscription Fee]])</f>
        <v>9720</v>
      </c>
      <c r="N713" t="str">
        <f>IF(GhanaStream[[#This Row],[Churn Flag]]="Yes","Churned","Retained")</f>
        <v>Churned</v>
      </c>
    </row>
    <row r="714" spans="1:14" x14ac:dyDescent="0.25">
      <c r="A714" t="s">
        <v>752</v>
      </c>
      <c r="B714" s="1">
        <v>45466</v>
      </c>
      <c r="C714" t="s">
        <v>20</v>
      </c>
      <c r="D714" t="s">
        <v>27</v>
      </c>
      <c r="E714">
        <v>5400</v>
      </c>
      <c r="F714" t="s">
        <v>21</v>
      </c>
      <c r="G714" t="s">
        <v>24</v>
      </c>
      <c r="H714" t="s">
        <v>33</v>
      </c>
      <c r="I714" t="s">
        <v>34</v>
      </c>
      <c r="J714" t="s">
        <v>22</v>
      </c>
      <c r="K714">
        <v>0.1</v>
      </c>
      <c r="L71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714">
        <f>GhanaStream[[#This Row],[Subscription Fee]]-(GhanaStream[[#This Row],[Discount]]*GhanaStream[[#This Row],[Subscription Fee]])</f>
        <v>4860</v>
      </c>
      <c r="N714" t="str">
        <f>IF(GhanaStream[[#This Row],[Churn Flag]]="Yes","Churned","Retained")</f>
        <v>Retained</v>
      </c>
    </row>
    <row r="715" spans="1:14" x14ac:dyDescent="0.25">
      <c r="A715" t="s">
        <v>753</v>
      </c>
      <c r="B715" s="1">
        <v>45030</v>
      </c>
      <c r="C715" t="s">
        <v>31</v>
      </c>
      <c r="D715" t="s">
        <v>13</v>
      </c>
      <c r="E715">
        <v>1000</v>
      </c>
      <c r="F715" t="s">
        <v>32</v>
      </c>
      <c r="G715" t="s">
        <v>24</v>
      </c>
      <c r="H715" t="s">
        <v>33</v>
      </c>
      <c r="I715" t="s">
        <v>34</v>
      </c>
      <c r="J715" t="s">
        <v>35</v>
      </c>
      <c r="K715">
        <v>0</v>
      </c>
      <c r="L71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715">
        <f>GhanaStream[[#This Row],[Subscription Fee]]-(GhanaStream[[#This Row],[Discount]]*GhanaStream[[#This Row],[Subscription Fee]])</f>
        <v>1000</v>
      </c>
      <c r="N715" t="str">
        <f>IF(GhanaStream[[#This Row],[Churn Flag]]="Yes","Churned","Retained")</f>
        <v>Retained</v>
      </c>
    </row>
    <row r="716" spans="1:14" x14ac:dyDescent="0.25">
      <c r="A716" t="s">
        <v>754</v>
      </c>
      <c r="B716" s="1">
        <v>45096</v>
      </c>
      <c r="C716" t="s">
        <v>12</v>
      </c>
      <c r="D716" t="s">
        <v>13</v>
      </c>
      <c r="E716">
        <v>1500</v>
      </c>
      <c r="F716" t="s">
        <v>21</v>
      </c>
      <c r="G716" t="s">
        <v>24</v>
      </c>
      <c r="H716" t="s">
        <v>16</v>
      </c>
      <c r="I716" t="s">
        <v>17</v>
      </c>
      <c r="J716" t="s">
        <v>29</v>
      </c>
      <c r="K716">
        <v>0</v>
      </c>
      <c r="L71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716">
        <f>GhanaStream[[#This Row],[Subscription Fee]]-(GhanaStream[[#This Row],[Discount]]*GhanaStream[[#This Row],[Subscription Fee]])</f>
        <v>1500</v>
      </c>
      <c r="N716" t="str">
        <f>IF(GhanaStream[[#This Row],[Churn Flag]]="Yes","Churned","Retained")</f>
        <v>Churned</v>
      </c>
    </row>
    <row r="717" spans="1:14" x14ac:dyDescent="0.25">
      <c r="A717" t="s">
        <v>755</v>
      </c>
      <c r="B717" s="1">
        <v>45162</v>
      </c>
      <c r="C717" t="s">
        <v>31</v>
      </c>
      <c r="D717" t="s">
        <v>13</v>
      </c>
      <c r="E717">
        <v>1000</v>
      </c>
      <c r="F717" t="s">
        <v>21</v>
      </c>
      <c r="G717" t="s">
        <v>28</v>
      </c>
      <c r="H717" t="s">
        <v>16</v>
      </c>
      <c r="I717" t="s">
        <v>17</v>
      </c>
      <c r="J717" t="s">
        <v>29</v>
      </c>
      <c r="K717">
        <v>0</v>
      </c>
      <c r="L71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717">
        <f>GhanaStream[[#This Row],[Subscription Fee]]-(GhanaStream[[#This Row],[Discount]]*GhanaStream[[#This Row],[Subscription Fee]])</f>
        <v>1000</v>
      </c>
      <c r="N717" t="str">
        <f>IF(GhanaStream[[#This Row],[Churn Flag]]="Yes","Churned","Retained")</f>
        <v>Churned</v>
      </c>
    </row>
    <row r="718" spans="1:14" x14ac:dyDescent="0.25">
      <c r="A718" t="s">
        <v>756</v>
      </c>
      <c r="B718" s="1">
        <v>45150</v>
      </c>
      <c r="C718" t="s">
        <v>31</v>
      </c>
      <c r="D718" t="s">
        <v>13</v>
      </c>
      <c r="E718">
        <v>1000</v>
      </c>
      <c r="F718" t="s">
        <v>14</v>
      </c>
      <c r="G718" t="s">
        <v>15</v>
      </c>
      <c r="H718" t="s">
        <v>16</v>
      </c>
      <c r="I718" t="s">
        <v>17</v>
      </c>
      <c r="J718" t="s">
        <v>22</v>
      </c>
      <c r="K718">
        <v>0</v>
      </c>
      <c r="L71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718">
        <f>GhanaStream[[#This Row],[Subscription Fee]]-(GhanaStream[[#This Row],[Discount]]*GhanaStream[[#This Row],[Subscription Fee]])</f>
        <v>1000</v>
      </c>
      <c r="N718" t="str">
        <f>IF(GhanaStream[[#This Row],[Churn Flag]]="Yes","Churned","Retained")</f>
        <v>Churned</v>
      </c>
    </row>
    <row r="719" spans="1:14" x14ac:dyDescent="0.25">
      <c r="A719" t="s">
        <v>757</v>
      </c>
      <c r="B719" s="1">
        <v>44944</v>
      </c>
      <c r="C719" t="s">
        <v>31</v>
      </c>
      <c r="D719" t="s">
        <v>27</v>
      </c>
      <c r="E719">
        <v>10800</v>
      </c>
      <c r="F719" t="s">
        <v>21</v>
      </c>
      <c r="G719" t="s">
        <v>24</v>
      </c>
      <c r="H719" t="s">
        <v>33</v>
      </c>
      <c r="I719" t="s">
        <v>34</v>
      </c>
      <c r="J719" t="s">
        <v>18</v>
      </c>
      <c r="K719">
        <v>0.1</v>
      </c>
      <c r="L71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719">
        <f>GhanaStream[[#This Row],[Subscription Fee]]-(GhanaStream[[#This Row],[Discount]]*GhanaStream[[#This Row],[Subscription Fee]])</f>
        <v>9720</v>
      </c>
      <c r="N719" t="str">
        <f>IF(GhanaStream[[#This Row],[Churn Flag]]="Yes","Churned","Retained")</f>
        <v>Retained</v>
      </c>
    </row>
    <row r="720" spans="1:14" x14ac:dyDescent="0.25">
      <c r="A720" t="s">
        <v>758</v>
      </c>
      <c r="B720" s="1">
        <v>45405</v>
      </c>
      <c r="C720" t="s">
        <v>31</v>
      </c>
      <c r="D720" t="s">
        <v>13</v>
      </c>
      <c r="E720">
        <v>1000</v>
      </c>
      <c r="F720" t="s">
        <v>49</v>
      </c>
      <c r="G720" t="s">
        <v>28</v>
      </c>
      <c r="H720" t="s">
        <v>33</v>
      </c>
      <c r="I720" t="s">
        <v>34</v>
      </c>
      <c r="J720" t="s">
        <v>50</v>
      </c>
      <c r="K720">
        <v>0</v>
      </c>
      <c r="L72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720">
        <f>GhanaStream[[#This Row],[Subscription Fee]]-(GhanaStream[[#This Row],[Discount]]*GhanaStream[[#This Row],[Subscription Fee]])</f>
        <v>1000</v>
      </c>
      <c r="N720" t="str">
        <f>IF(GhanaStream[[#This Row],[Churn Flag]]="Yes","Churned","Retained")</f>
        <v>Retained</v>
      </c>
    </row>
    <row r="721" spans="1:14" x14ac:dyDescent="0.25">
      <c r="A721" t="s">
        <v>759</v>
      </c>
      <c r="B721" s="1">
        <v>44933</v>
      </c>
      <c r="C721" t="s">
        <v>31</v>
      </c>
      <c r="D721" t="s">
        <v>27</v>
      </c>
      <c r="E721">
        <v>10800</v>
      </c>
      <c r="F721" t="s">
        <v>32</v>
      </c>
      <c r="G721" t="s">
        <v>15</v>
      </c>
      <c r="H721" t="s">
        <v>16</v>
      </c>
      <c r="I721" t="s">
        <v>17</v>
      </c>
      <c r="J721" t="s">
        <v>35</v>
      </c>
      <c r="K721">
        <v>0.1</v>
      </c>
      <c r="L72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721">
        <f>GhanaStream[[#This Row],[Subscription Fee]]-(GhanaStream[[#This Row],[Discount]]*GhanaStream[[#This Row],[Subscription Fee]])</f>
        <v>9720</v>
      </c>
      <c r="N721" t="str">
        <f>IF(GhanaStream[[#This Row],[Churn Flag]]="Yes","Churned","Retained")</f>
        <v>Churned</v>
      </c>
    </row>
    <row r="722" spans="1:14" x14ac:dyDescent="0.25">
      <c r="A722" t="s">
        <v>760</v>
      </c>
      <c r="B722" s="1">
        <v>44989</v>
      </c>
      <c r="C722" t="s">
        <v>31</v>
      </c>
      <c r="D722" t="s">
        <v>13</v>
      </c>
      <c r="E722">
        <v>1000</v>
      </c>
      <c r="F722" t="s">
        <v>49</v>
      </c>
      <c r="G722" t="s">
        <v>28</v>
      </c>
      <c r="H722" t="s">
        <v>33</v>
      </c>
      <c r="I722" t="s">
        <v>34</v>
      </c>
      <c r="J722" t="s">
        <v>35</v>
      </c>
      <c r="K722">
        <v>0</v>
      </c>
      <c r="L72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722">
        <f>GhanaStream[[#This Row],[Subscription Fee]]-(GhanaStream[[#This Row],[Discount]]*GhanaStream[[#This Row],[Subscription Fee]])</f>
        <v>1000</v>
      </c>
      <c r="N722" t="str">
        <f>IF(GhanaStream[[#This Row],[Churn Flag]]="Yes","Churned","Retained")</f>
        <v>Retained</v>
      </c>
    </row>
    <row r="723" spans="1:14" x14ac:dyDescent="0.25">
      <c r="A723" t="s">
        <v>761</v>
      </c>
      <c r="B723" s="1">
        <v>45634</v>
      </c>
      <c r="C723" t="s">
        <v>20</v>
      </c>
      <c r="D723" t="s">
        <v>13</v>
      </c>
      <c r="E723">
        <v>500</v>
      </c>
      <c r="F723" t="s">
        <v>49</v>
      </c>
      <c r="G723" t="s">
        <v>24</v>
      </c>
      <c r="H723" t="s">
        <v>16</v>
      </c>
      <c r="I723" t="s">
        <v>17</v>
      </c>
      <c r="J723" t="s">
        <v>18</v>
      </c>
      <c r="K723">
        <v>0</v>
      </c>
      <c r="L72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723">
        <f>GhanaStream[[#This Row],[Subscription Fee]]-(GhanaStream[[#This Row],[Discount]]*GhanaStream[[#This Row],[Subscription Fee]])</f>
        <v>500</v>
      </c>
      <c r="N723" t="str">
        <f>IF(GhanaStream[[#This Row],[Churn Flag]]="Yes","Churned","Retained")</f>
        <v>Churned</v>
      </c>
    </row>
    <row r="724" spans="1:14" x14ac:dyDescent="0.25">
      <c r="A724" t="s">
        <v>762</v>
      </c>
      <c r="B724" s="1">
        <v>45001</v>
      </c>
      <c r="C724" t="s">
        <v>20</v>
      </c>
      <c r="D724" t="s">
        <v>13</v>
      </c>
      <c r="E724">
        <v>500</v>
      </c>
      <c r="F724" t="s">
        <v>21</v>
      </c>
      <c r="G724" t="s">
        <v>24</v>
      </c>
      <c r="H724" t="s">
        <v>16</v>
      </c>
      <c r="I724" t="s">
        <v>17</v>
      </c>
      <c r="J724" t="s">
        <v>22</v>
      </c>
      <c r="K724">
        <v>0</v>
      </c>
      <c r="L72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724">
        <f>GhanaStream[[#This Row],[Subscription Fee]]-(GhanaStream[[#This Row],[Discount]]*GhanaStream[[#This Row],[Subscription Fee]])</f>
        <v>500</v>
      </c>
      <c r="N724" t="str">
        <f>IF(GhanaStream[[#This Row],[Churn Flag]]="Yes","Churned","Retained")</f>
        <v>Churned</v>
      </c>
    </row>
    <row r="725" spans="1:14" x14ac:dyDescent="0.25">
      <c r="A725" t="s">
        <v>763</v>
      </c>
      <c r="B725" s="1">
        <v>44938</v>
      </c>
      <c r="C725" t="s">
        <v>31</v>
      </c>
      <c r="D725" t="s">
        <v>27</v>
      </c>
      <c r="E725">
        <v>10800</v>
      </c>
      <c r="F725" t="s">
        <v>21</v>
      </c>
      <c r="G725" t="s">
        <v>28</v>
      </c>
      <c r="H725" t="s">
        <v>33</v>
      </c>
      <c r="I725" t="s">
        <v>34</v>
      </c>
      <c r="J725" t="s">
        <v>18</v>
      </c>
      <c r="K725">
        <v>0.1</v>
      </c>
      <c r="L72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725">
        <f>GhanaStream[[#This Row],[Subscription Fee]]-(GhanaStream[[#This Row],[Discount]]*GhanaStream[[#This Row],[Subscription Fee]])</f>
        <v>9720</v>
      </c>
      <c r="N725" t="str">
        <f>IF(GhanaStream[[#This Row],[Churn Flag]]="Yes","Churned","Retained")</f>
        <v>Retained</v>
      </c>
    </row>
    <row r="726" spans="1:14" x14ac:dyDescent="0.25">
      <c r="A726" t="s">
        <v>764</v>
      </c>
      <c r="B726" s="1">
        <v>45049</v>
      </c>
      <c r="C726" t="s">
        <v>31</v>
      </c>
      <c r="D726" t="s">
        <v>13</v>
      </c>
      <c r="E726">
        <v>1000</v>
      </c>
      <c r="F726" t="s">
        <v>32</v>
      </c>
      <c r="G726" t="s">
        <v>24</v>
      </c>
      <c r="H726" t="s">
        <v>16</v>
      </c>
      <c r="I726" t="s">
        <v>17</v>
      </c>
      <c r="J726" t="s">
        <v>25</v>
      </c>
      <c r="K726">
        <v>0</v>
      </c>
      <c r="L72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726">
        <f>GhanaStream[[#This Row],[Subscription Fee]]-(GhanaStream[[#This Row],[Discount]]*GhanaStream[[#This Row],[Subscription Fee]])</f>
        <v>1000</v>
      </c>
      <c r="N726" t="str">
        <f>IF(GhanaStream[[#This Row],[Churn Flag]]="Yes","Churned","Retained")</f>
        <v>Churned</v>
      </c>
    </row>
    <row r="727" spans="1:14" x14ac:dyDescent="0.25">
      <c r="A727" t="s">
        <v>765</v>
      </c>
      <c r="B727" s="1">
        <v>45156</v>
      </c>
      <c r="C727" t="s">
        <v>31</v>
      </c>
      <c r="D727" t="s">
        <v>27</v>
      </c>
      <c r="E727">
        <v>10800</v>
      </c>
      <c r="F727" t="s">
        <v>32</v>
      </c>
      <c r="G727" t="s">
        <v>24</v>
      </c>
      <c r="H727" t="s">
        <v>33</v>
      </c>
      <c r="I727" t="s">
        <v>34</v>
      </c>
      <c r="J727" t="s">
        <v>25</v>
      </c>
      <c r="K727">
        <v>0.1</v>
      </c>
      <c r="L72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727">
        <f>GhanaStream[[#This Row],[Subscription Fee]]-(GhanaStream[[#This Row],[Discount]]*GhanaStream[[#This Row],[Subscription Fee]])</f>
        <v>9720</v>
      </c>
      <c r="N727" t="str">
        <f>IF(GhanaStream[[#This Row],[Churn Flag]]="Yes","Churned","Retained")</f>
        <v>Retained</v>
      </c>
    </row>
    <row r="728" spans="1:14" x14ac:dyDescent="0.25">
      <c r="A728" t="s">
        <v>766</v>
      </c>
      <c r="B728" s="1">
        <v>45607</v>
      </c>
      <c r="C728" t="s">
        <v>12</v>
      </c>
      <c r="D728" t="s">
        <v>13</v>
      </c>
      <c r="E728">
        <v>1500</v>
      </c>
      <c r="F728" t="s">
        <v>14</v>
      </c>
      <c r="G728" t="s">
        <v>28</v>
      </c>
      <c r="H728" t="s">
        <v>16</v>
      </c>
      <c r="I728" t="s">
        <v>17</v>
      </c>
      <c r="J728" t="s">
        <v>18</v>
      </c>
      <c r="K728">
        <v>0</v>
      </c>
      <c r="L72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728">
        <f>GhanaStream[[#This Row],[Subscription Fee]]-(GhanaStream[[#This Row],[Discount]]*GhanaStream[[#This Row],[Subscription Fee]])</f>
        <v>1500</v>
      </c>
      <c r="N728" t="str">
        <f>IF(GhanaStream[[#This Row],[Churn Flag]]="Yes","Churned","Retained")</f>
        <v>Churned</v>
      </c>
    </row>
    <row r="729" spans="1:14" x14ac:dyDescent="0.25">
      <c r="A729" t="s">
        <v>767</v>
      </c>
      <c r="B729" s="1">
        <v>45499</v>
      </c>
      <c r="C729" t="s">
        <v>31</v>
      </c>
      <c r="D729" t="s">
        <v>13</v>
      </c>
      <c r="E729">
        <v>1000</v>
      </c>
      <c r="F729" t="s">
        <v>21</v>
      </c>
      <c r="G729" t="s">
        <v>24</v>
      </c>
      <c r="H729" t="s">
        <v>33</v>
      </c>
      <c r="I729" t="s">
        <v>34</v>
      </c>
      <c r="J729" t="s">
        <v>29</v>
      </c>
      <c r="K729">
        <v>0</v>
      </c>
      <c r="L72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729">
        <f>GhanaStream[[#This Row],[Subscription Fee]]-(GhanaStream[[#This Row],[Discount]]*GhanaStream[[#This Row],[Subscription Fee]])</f>
        <v>1000</v>
      </c>
      <c r="N729" t="str">
        <f>IF(GhanaStream[[#This Row],[Churn Flag]]="Yes","Churned","Retained")</f>
        <v>Retained</v>
      </c>
    </row>
    <row r="730" spans="1:14" x14ac:dyDescent="0.25">
      <c r="A730" t="s">
        <v>768</v>
      </c>
      <c r="B730" s="1">
        <v>44975</v>
      </c>
      <c r="C730" t="s">
        <v>12</v>
      </c>
      <c r="D730" t="s">
        <v>27</v>
      </c>
      <c r="E730">
        <v>16200</v>
      </c>
      <c r="F730" t="s">
        <v>32</v>
      </c>
      <c r="G730" t="s">
        <v>24</v>
      </c>
      <c r="H730" t="s">
        <v>33</v>
      </c>
      <c r="I730" t="s">
        <v>34</v>
      </c>
      <c r="J730" t="s">
        <v>35</v>
      </c>
      <c r="K730">
        <v>0.1</v>
      </c>
      <c r="L73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730">
        <f>GhanaStream[[#This Row],[Subscription Fee]]-(GhanaStream[[#This Row],[Discount]]*GhanaStream[[#This Row],[Subscription Fee]])</f>
        <v>14580</v>
      </c>
      <c r="N730" t="str">
        <f>IF(GhanaStream[[#This Row],[Churn Flag]]="Yes","Churned","Retained")</f>
        <v>Retained</v>
      </c>
    </row>
    <row r="731" spans="1:14" x14ac:dyDescent="0.25">
      <c r="A731" t="s">
        <v>769</v>
      </c>
      <c r="B731" s="1">
        <v>45034</v>
      </c>
      <c r="C731" t="s">
        <v>20</v>
      </c>
      <c r="D731" t="s">
        <v>27</v>
      </c>
      <c r="E731">
        <v>5400</v>
      </c>
      <c r="F731" t="s">
        <v>49</v>
      </c>
      <c r="G731" t="s">
        <v>28</v>
      </c>
      <c r="H731" t="s">
        <v>16</v>
      </c>
      <c r="I731" t="s">
        <v>17</v>
      </c>
      <c r="J731" t="s">
        <v>18</v>
      </c>
      <c r="K731">
        <v>0.1</v>
      </c>
      <c r="L73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731">
        <f>GhanaStream[[#This Row],[Subscription Fee]]-(GhanaStream[[#This Row],[Discount]]*GhanaStream[[#This Row],[Subscription Fee]])</f>
        <v>4860</v>
      </c>
      <c r="N731" t="str">
        <f>IF(GhanaStream[[#This Row],[Churn Flag]]="Yes","Churned","Retained")</f>
        <v>Churned</v>
      </c>
    </row>
    <row r="732" spans="1:14" x14ac:dyDescent="0.25">
      <c r="A732" t="s">
        <v>770</v>
      </c>
      <c r="B732" s="1">
        <v>45371</v>
      </c>
      <c r="C732" t="s">
        <v>12</v>
      </c>
      <c r="D732" t="s">
        <v>27</v>
      </c>
      <c r="E732">
        <v>16200</v>
      </c>
      <c r="F732" t="s">
        <v>14</v>
      </c>
      <c r="G732" t="s">
        <v>24</v>
      </c>
      <c r="H732" t="s">
        <v>33</v>
      </c>
      <c r="I732" t="s">
        <v>34</v>
      </c>
      <c r="J732" t="s">
        <v>41</v>
      </c>
      <c r="K732">
        <v>0.1</v>
      </c>
      <c r="L73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732">
        <f>GhanaStream[[#This Row],[Subscription Fee]]-(GhanaStream[[#This Row],[Discount]]*GhanaStream[[#This Row],[Subscription Fee]])</f>
        <v>14580</v>
      </c>
      <c r="N732" t="str">
        <f>IF(GhanaStream[[#This Row],[Churn Flag]]="Yes","Churned","Retained")</f>
        <v>Retained</v>
      </c>
    </row>
    <row r="733" spans="1:14" x14ac:dyDescent="0.25">
      <c r="A733" t="s">
        <v>771</v>
      </c>
      <c r="B733" s="1">
        <v>45512</v>
      </c>
      <c r="C733" t="s">
        <v>20</v>
      </c>
      <c r="D733" t="s">
        <v>27</v>
      </c>
      <c r="E733">
        <v>5400</v>
      </c>
      <c r="F733" t="s">
        <v>32</v>
      </c>
      <c r="G733" t="s">
        <v>15</v>
      </c>
      <c r="H733" t="s">
        <v>16</v>
      </c>
      <c r="I733" t="s">
        <v>17</v>
      </c>
      <c r="J733" t="s">
        <v>39</v>
      </c>
      <c r="K733">
        <v>0.1</v>
      </c>
      <c r="L73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733">
        <f>GhanaStream[[#This Row],[Subscription Fee]]-(GhanaStream[[#This Row],[Discount]]*GhanaStream[[#This Row],[Subscription Fee]])</f>
        <v>4860</v>
      </c>
      <c r="N733" t="str">
        <f>IF(GhanaStream[[#This Row],[Churn Flag]]="Yes","Churned","Retained")</f>
        <v>Churned</v>
      </c>
    </row>
    <row r="734" spans="1:14" x14ac:dyDescent="0.25">
      <c r="A734" t="s">
        <v>772</v>
      </c>
      <c r="B734" s="1">
        <v>45167</v>
      </c>
      <c r="C734" t="s">
        <v>31</v>
      </c>
      <c r="D734" t="s">
        <v>27</v>
      </c>
      <c r="E734">
        <v>10800</v>
      </c>
      <c r="F734" t="s">
        <v>49</v>
      </c>
      <c r="G734" t="s">
        <v>24</v>
      </c>
      <c r="H734" t="s">
        <v>33</v>
      </c>
      <c r="I734" t="s">
        <v>34</v>
      </c>
      <c r="J734" t="s">
        <v>58</v>
      </c>
      <c r="K734">
        <v>0.1</v>
      </c>
      <c r="L73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734">
        <f>GhanaStream[[#This Row],[Subscription Fee]]-(GhanaStream[[#This Row],[Discount]]*GhanaStream[[#This Row],[Subscription Fee]])</f>
        <v>9720</v>
      </c>
      <c r="N734" t="str">
        <f>IF(GhanaStream[[#This Row],[Churn Flag]]="Yes","Churned","Retained")</f>
        <v>Retained</v>
      </c>
    </row>
    <row r="735" spans="1:14" x14ac:dyDescent="0.25">
      <c r="A735" t="s">
        <v>773</v>
      </c>
      <c r="B735" s="1">
        <v>45431</v>
      </c>
      <c r="C735" t="s">
        <v>12</v>
      </c>
      <c r="D735" t="s">
        <v>13</v>
      </c>
      <c r="E735">
        <v>1500</v>
      </c>
      <c r="F735" t="s">
        <v>14</v>
      </c>
      <c r="G735" t="s">
        <v>28</v>
      </c>
      <c r="H735" t="s">
        <v>16</v>
      </c>
      <c r="I735" t="s">
        <v>17</v>
      </c>
      <c r="J735" t="s">
        <v>37</v>
      </c>
      <c r="K735">
        <v>0</v>
      </c>
      <c r="L73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735">
        <f>GhanaStream[[#This Row],[Subscription Fee]]-(GhanaStream[[#This Row],[Discount]]*GhanaStream[[#This Row],[Subscription Fee]])</f>
        <v>1500</v>
      </c>
      <c r="N735" t="str">
        <f>IF(GhanaStream[[#This Row],[Churn Flag]]="Yes","Churned","Retained")</f>
        <v>Churned</v>
      </c>
    </row>
    <row r="736" spans="1:14" x14ac:dyDescent="0.25">
      <c r="A736" t="s">
        <v>774</v>
      </c>
      <c r="B736" s="1">
        <v>44983</v>
      </c>
      <c r="C736" t="s">
        <v>20</v>
      </c>
      <c r="D736" t="s">
        <v>13</v>
      </c>
      <c r="E736">
        <v>500</v>
      </c>
      <c r="F736" t="s">
        <v>32</v>
      </c>
      <c r="G736" t="s">
        <v>15</v>
      </c>
      <c r="H736" t="s">
        <v>16</v>
      </c>
      <c r="I736" t="s">
        <v>17</v>
      </c>
      <c r="J736" t="s">
        <v>25</v>
      </c>
      <c r="K736">
        <v>0</v>
      </c>
      <c r="L73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736">
        <f>GhanaStream[[#This Row],[Subscription Fee]]-(GhanaStream[[#This Row],[Discount]]*GhanaStream[[#This Row],[Subscription Fee]])</f>
        <v>500</v>
      </c>
      <c r="N736" t="str">
        <f>IF(GhanaStream[[#This Row],[Churn Flag]]="Yes","Churned","Retained")</f>
        <v>Churned</v>
      </c>
    </row>
    <row r="737" spans="1:14" x14ac:dyDescent="0.25">
      <c r="A737" t="s">
        <v>775</v>
      </c>
      <c r="B737" s="1">
        <v>45338</v>
      </c>
      <c r="C737" t="s">
        <v>31</v>
      </c>
      <c r="D737" t="s">
        <v>27</v>
      </c>
      <c r="E737">
        <v>10800</v>
      </c>
      <c r="F737" t="s">
        <v>21</v>
      </c>
      <c r="G737" t="s">
        <v>24</v>
      </c>
      <c r="H737" t="s">
        <v>33</v>
      </c>
      <c r="I737" t="s">
        <v>34</v>
      </c>
      <c r="J737" t="s">
        <v>18</v>
      </c>
      <c r="K737">
        <v>0.1</v>
      </c>
      <c r="L73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737">
        <f>GhanaStream[[#This Row],[Subscription Fee]]-(GhanaStream[[#This Row],[Discount]]*GhanaStream[[#This Row],[Subscription Fee]])</f>
        <v>9720</v>
      </c>
      <c r="N737" t="str">
        <f>IF(GhanaStream[[#This Row],[Churn Flag]]="Yes","Churned","Retained")</f>
        <v>Retained</v>
      </c>
    </row>
    <row r="738" spans="1:14" x14ac:dyDescent="0.25">
      <c r="A738" t="s">
        <v>776</v>
      </c>
      <c r="B738" s="1">
        <v>45051</v>
      </c>
      <c r="C738" t="s">
        <v>20</v>
      </c>
      <c r="D738" t="s">
        <v>27</v>
      </c>
      <c r="E738">
        <v>5400</v>
      </c>
      <c r="F738" t="s">
        <v>49</v>
      </c>
      <c r="G738" t="s">
        <v>24</v>
      </c>
      <c r="H738" t="s">
        <v>33</v>
      </c>
      <c r="I738" t="s">
        <v>34</v>
      </c>
      <c r="J738" t="s">
        <v>35</v>
      </c>
      <c r="K738">
        <v>0.1</v>
      </c>
      <c r="L73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738">
        <f>GhanaStream[[#This Row],[Subscription Fee]]-(GhanaStream[[#This Row],[Discount]]*GhanaStream[[#This Row],[Subscription Fee]])</f>
        <v>4860</v>
      </c>
      <c r="N738" t="str">
        <f>IF(GhanaStream[[#This Row],[Churn Flag]]="Yes","Churned","Retained")</f>
        <v>Retained</v>
      </c>
    </row>
    <row r="739" spans="1:14" x14ac:dyDescent="0.25">
      <c r="A739" t="s">
        <v>777</v>
      </c>
      <c r="B739" s="1">
        <v>45441</v>
      </c>
      <c r="C739" t="s">
        <v>31</v>
      </c>
      <c r="D739" t="s">
        <v>27</v>
      </c>
      <c r="E739">
        <v>10800</v>
      </c>
      <c r="F739" t="s">
        <v>32</v>
      </c>
      <c r="G739" t="s">
        <v>28</v>
      </c>
      <c r="H739" t="s">
        <v>16</v>
      </c>
      <c r="I739" t="s">
        <v>17</v>
      </c>
      <c r="J739" t="s">
        <v>35</v>
      </c>
      <c r="K739">
        <v>0.1</v>
      </c>
      <c r="L73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739">
        <f>GhanaStream[[#This Row],[Subscription Fee]]-(GhanaStream[[#This Row],[Discount]]*GhanaStream[[#This Row],[Subscription Fee]])</f>
        <v>9720</v>
      </c>
      <c r="N739" t="str">
        <f>IF(GhanaStream[[#This Row],[Churn Flag]]="Yes","Churned","Retained")</f>
        <v>Churned</v>
      </c>
    </row>
    <row r="740" spans="1:14" x14ac:dyDescent="0.25">
      <c r="A740" t="s">
        <v>778</v>
      </c>
      <c r="B740" s="1">
        <v>45374</v>
      </c>
      <c r="C740" t="s">
        <v>12</v>
      </c>
      <c r="D740" t="s">
        <v>13</v>
      </c>
      <c r="E740">
        <v>1500</v>
      </c>
      <c r="F740" t="s">
        <v>49</v>
      </c>
      <c r="G740" t="s">
        <v>24</v>
      </c>
      <c r="H740" t="s">
        <v>33</v>
      </c>
      <c r="I740" t="s">
        <v>34</v>
      </c>
      <c r="J740" t="s">
        <v>18</v>
      </c>
      <c r="K740">
        <v>0</v>
      </c>
      <c r="L74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740">
        <f>GhanaStream[[#This Row],[Subscription Fee]]-(GhanaStream[[#This Row],[Discount]]*GhanaStream[[#This Row],[Subscription Fee]])</f>
        <v>1500</v>
      </c>
      <c r="N740" t="str">
        <f>IF(GhanaStream[[#This Row],[Churn Flag]]="Yes","Churned","Retained")</f>
        <v>Retained</v>
      </c>
    </row>
    <row r="741" spans="1:14" x14ac:dyDescent="0.25">
      <c r="A741" t="s">
        <v>779</v>
      </c>
      <c r="B741" s="1">
        <v>45474</v>
      </c>
      <c r="C741" t="s">
        <v>31</v>
      </c>
      <c r="D741" t="s">
        <v>27</v>
      </c>
      <c r="E741">
        <v>10800</v>
      </c>
      <c r="F741" t="s">
        <v>49</v>
      </c>
      <c r="G741" t="s">
        <v>24</v>
      </c>
      <c r="H741" t="s">
        <v>33</v>
      </c>
      <c r="I741" t="s">
        <v>34</v>
      </c>
      <c r="J741" t="s">
        <v>35</v>
      </c>
      <c r="K741">
        <v>0.1</v>
      </c>
      <c r="L74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741">
        <f>GhanaStream[[#This Row],[Subscription Fee]]-(GhanaStream[[#This Row],[Discount]]*GhanaStream[[#This Row],[Subscription Fee]])</f>
        <v>9720</v>
      </c>
      <c r="N741" t="str">
        <f>IF(GhanaStream[[#This Row],[Churn Flag]]="Yes","Churned","Retained")</f>
        <v>Retained</v>
      </c>
    </row>
    <row r="742" spans="1:14" x14ac:dyDescent="0.25">
      <c r="A742" t="s">
        <v>780</v>
      </c>
      <c r="B742" s="1">
        <v>45606</v>
      </c>
      <c r="C742" t="s">
        <v>20</v>
      </c>
      <c r="D742" t="s">
        <v>27</v>
      </c>
      <c r="E742">
        <v>5400</v>
      </c>
      <c r="F742" t="s">
        <v>14</v>
      </c>
      <c r="G742" t="s">
        <v>28</v>
      </c>
      <c r="H742" t="s">
        <v>16</v>
      </c>
      <c r="I742" t="s">
        <v>17</v>
      </c>
      <c r="J742" t="s">
        <v>41</v>
      </c>
      <c r="K742">
        <v>0.1</v>
      </c>
      <c r="L74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742">
        <f>GhanaStream[[#This Row],[Subscription Fee]]-(GhanaStream[[#This Row],[Discount]]*GhanaStream[[#This Row],[Subscription Fee]])</f>
        <v>4860</v>
      </c>
      <c r="N742" t="str">
        <f>IF(GhanaStream[[#This Row],[Churn Flag]]="Yes","Churned","Retained")</f>
        <v>Churned</v>
      </c>
    </row>
    <row r="743" spans="1:14" x14ac:dyDescent="0.25">
      <c r="A743" t="s">
        <v>781</v>
      </c>
      <c r="B743" s="1">
        <v>45559</v>
      </c>
      <c r="C743" t="s">
        <v>20</v>
      </c>
      <c r="D743" t="s">
        <v>13</v>
      </c>
      <c r="E743">
        <v>500</v>
      </c>
      <c r="F743" t="s">
        <v>14</v>
      </c>
      <c r="G743" t="s">
        <v>15</v>
      </c>
      <c r="H743" t="s">
        <v>16</v>
      </c>
      <c r="I743" t="s">
        <v>17</v>
      </c>
      <c r="J743" t="s">
        <v>18</v>
      </c>
      <c r="K743">
        <v>0</v>
      </c>
      <c r="L74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743">
        <f>GhanaStream[[#This Row],[Subscription Fee]]-(GhanaStream[[#This Row],[Discount]]*GhanaStream[[#This Row],[Subscription Fee]])</f>
        <v>500</v>
      </c>
      <c r="N743" t="str">
        <f>IF(GhanaStream[[#This Row],[Churn Flag]]="Yes","Churned","Retained")</f>
        <v>Churned</v>
      </c>
    </row>
    <row r="744" spans="1:14" x14ac:dyDescent="0.25">
      <c r="A744" t="s">
        <v>782</v>
      </c>
      <c r="B744" s="1">
        <v>45000</v>
      </c>
      <c r="C744" t="s">
        <v>31</v>
      </c>
      <c r="D744" t="s">
        <v>13</v>
      </c>
      <c r="E744">
        <v>1000</v>
      </c>
      <c r="F744" t="s">
        <v>14</v>
      </c>
      <c r="G744" t="s">
        <v>24</v>
      </c>
      <c r="H744" t="s">
        <v>16</v>
      </c>
      <c r="I744" t="s">
        <v>17</v>
      </c>
      <c r="J744" t="s">
        <v>37</v>
      </c>
      <c r="K744">
        <v>0</v>
      </c>
      <c r="L74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744">
        <f>GhanaStream[[#This Row],[Subscription Fee]]-(GhanaStream[[#This Row],[Discount]]*GhanaStream[[#This Row],[Subscription Fee]])</f>
        <v>1000</v>
      </c>
      <c r="N744" t="str">
        <f>IF(GhanaStream[[#This Row],[Churn Flag]]="Yes","Churned","Retained")</f>
        <v>Churned</v>
      </c>
    </row>
    <row r="745" spans="1:14" x14ac:dyDescent="0.25">
      <c r="A745" t="s">
        <v>783</v>
      </c>
      <c r="B745" s="1">
        <v>45456</v>
      </c>
      <c r="C745" t="s">
        <v>12</v>
      </c>
      <c r="D745" t="s">
        <v>27</v>
      </c>
      <c r="E745">
        <v>16200</v>
      </c>
      <c r="F745" t="s">
        <v>14</v>
      </c>
      <c r="G745" t="s">
        <v>24</v>
      </c>
      <c r="H745" t="s">
        <v>33</v>
      </c>
      <c r="I745" t="s">
        <v>34</v>
      </c>
      <c r="J745" t="s">
        <v>41</v>
      </c>
      <c r="K745">
        <v>0.1</v>
      </c>
      <c r="L74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745">
        <f>GhanaStream[[#This Row],[Subscription Fee]]-(GhanaStream[[#This Row],[Discount]]*GhanaStream[[#This Row],[Subscription Fee]])</f>
        <v>14580</v>
      </c>
      <c r="N745" t="str">
        <f>IF(GhanaStream[[#This Row],[Churn Flag]]="Yes","Churned","Retained")</f>
        <v>Retained</v>
      </c>
    </row>
    <row r="746" spans="1:14" x14ac:dyDescent="0.25">
      <c r="A746" t="s">
        <v>784</v>
      </c>
      <c r="B746" s="1">
        <v>45132</v>
      </c>
      <c r="C746" t="s">
        <v>12</v>
      </c>
      <c r="D746" t="s">
        <v>13</v>
      </c>
      <c r="E746">
        <v>1500</v>
      </c>
      <c r="F746" t="s">
        <v>14</v>
      </c>
      <c r="G746" t="s">
        <v>28</v>
      </c>
      <c r="H746" t="s">
        <v>16</v>
      </c>
      <c r="I746" t="s">
        <v>17</v>
      </c>
      <c r="J746" t="s">
        <v>22</v>
      </c>
      <c r="K746">
        <v>0</v>
      </c>
      <c r="L74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746">
        <f>GhanaStream[[#This Row],[Subscription Fee]]-(GhanaStream[[#This Row],[Discount]]*GhanaStream[[#This Row],[Subscription Fee]])</f>
        <v>1500</v>
      </c>
      <c r="N746" t="str">
        <f>IF(GhanaStream[[#This Row],[Churn Flag]]="Yes","Churned","Retained")</f>
        <v>Churned</v>
      </c>
    </row>
    <row r="747" spans="1:14" x14ac:dyDescent="0.25">
      <c r="A747" t="s">
        <v>785</v>
      </c>
      <c r="B747" s="1">
        <v>45178</v>
      </c>
      <c r="C747" t="s">
        <v>31</v>
      </c>
      <c r="D747" t="s">
        <v>27</v>
      </c>
      <c r="E747">
        <v>10800</v>
      </c>
      <c r="F747" t="s">
        <v>49</v>
      </c>
      <c r="G747" t="s">
        <v>28</v>
      </c>
      <c r="H747" t="s">
        <v>33</v>
      </c>
      <c r="I747" t="s">
        <v>34</v>
      </c>
      <c r="J747" t="s">
        <v>18</v>
      </c>
      <c r="K747">
        <v>0.1</v>
      </c>
      <c r="L74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747">
        <f>GhanaStream[[#This Row],[Subscription Fee]]-(GhanaStream[[#This Row],[Discount]]*GhanaStream[[#This Row],[Subscription Fee]])</f>
        <v>9720</v>
      </c>
      <c r="N747" t="str">
        <f>IF(GhanaStream[[#This Row],[Churn Flag]]="Yes","Churned","Retained")</f>
        <v>Retained</v>
      </c>
    </row>
    <row r="748" spans="1:14" x14ac:dyDescent="0.25">
      <c r="A748" t="s">
        <v>786</v>
      </c>
      <c r="B748" s="1">
        <v>45167</v>
      </c>
      <c r="C748" t="s">
        <v>12</v>
      </c>
      <c r="D748" t="s">
        <v>27</v>
      </c>
      <c r="E748">
        <v>16200</v>
      </c>
      <c r="F748" t="s">
        <v>21</v>
      </c>
      <c r="G748" t="s">
        <v>28</v>
      </c>
      <c r="H748" t="s">
        <v>16</v>
      </c>
      <c r="I748" t="s">
        <v>17</v>
      </c>
      <c r="J748" t="s">
        <v>22</v>
      </c>
      <c r="K748">
        <v>0.1</v>
      </c>
      <c r="L74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748">
        <f>GhanaStream[[#This Row],[Subscription Fee]]-(GhanaStream[[#This Row],[Discount]]*GhanaStream[[#This Row],[Subscription Fee]])</f>
        <v>14580</v>
      </c>
      <c r="N748" t="str">
        <f>IF(GhanaStream[[#This Row],[Churn Flag]]="Yes","Churned","Retained")</f>
        <v>Churned</v>
      </c>
    </row>
    <row r="749" spans="1:14" x14ac:dyDescent="0.25">
      <c r="A749" t="s">
        <v>787</v>
      </c>
      <c r="B749" s="1">
        <v>45056</v>
      </c>
      <c r="C749" t="s">
        <v>31</v>
      </c>
      <c r="D749" t="s">
        <v>13</v>
      </c>
      <c r="E749">
        <v>1000</v>
      </c>
      <c r="F749" t="s">
        <v>21</v>
      </c>
      <c r="G749" t="s">
        <v>24</v>
      </c>
      <c r="H749" t="s">
        <v>33</v>
      </c>
      <c r="I749" t="s">
        <v>34</v>
      </c>
      <c r="J749" t="s">
        <v>18</v>
      </c>
      <c r="K749">
        <v>0</v>
      </c>
      <c r="L74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749">
        <f>GhanaStream[[#This Row],[Subscription Fee]]-(GhanaStream[[#This Row],[Discount]]*GhanaStream[[#This Row],[Subscription Fee]])</f>
        <v>1000</v>
      </c>
      <c r="N749" t="str">
        <f>IF(GhanaStream[[#This Row],[Churn Flag]]="Yes","Churned","Retained")</f>
        <v>Retained</v>
      </c>
    </row>
    <row r="750" spans="1:14" x14ac:dyDescent="0.25">
      <c r="A750" t="s">
        <v>788</v>
      </c>
      <c r="B750" s="1">
        <v>45497</v>
      </c>
      <c r="C750" t="s">
        <v>12</v>
      </c>
      <c r="D750" t="s">
        <v>27</v>
      </c>
      <c r="E750">
        <v>16200</v>
      </c>
      <c r="F750" t="s">
        <v>49</v>
      </c>
      <c r="G750" t="s">
        <v>24</v>
      </c>
      <c r="H750" t="s">
        <v>33</v>
      </c>
      <c r="I750" t="s">
        <v>34</v>
      </c>
      <c r="J750" t="s">
        <v>18</v>
      </c>
      <c r="K750">
        <v>0.1</v>
      </c>
      <c r="L75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750">
        <f>GhanaStream[[#This Row],[Subscription Fee]]-(GhanaStream[[#This Row],[Discount]]*GhanaStream[[#This Row],[Subscription Fee]])</f>
        <v>14580</v>
      </c>
      <c r="N750" t="str">
        <f>IF(GhanaStream[[#This Row],[Churn Flag]]="Yes","Churned","Retained")</f>
        <v>Retained</v>
      </c>
    </row>
    <row r="751" spans="1:14" x14ac:dyDescent="0.25">
      <c r="A751" t="s">
        <v>789</v>
      </c>
      <c r="B751" s="1">
        <v>45560</v>
      </c>
      <c r="C751" t="s">
        <v>20</v>
      </c>
      <c r="D751" t="s">
        <v>13</v>
      </c>
      <c r="E751">
        <v>500</v>
      </c>
      <c r="F751" t="s">
        <v>21</v>
      </c>
      <c r="G751" t="s">
        <v>24</v>
      </c>
      <c r="H751" t="s">
        <v>33</v>
      </c>
      <c r="I751" t="s">
        <v>34</v>
      </c>
      <c r="J751" t="s">
        <v>29</v>
      </c>
      <c r="K751">
        <v>0</v>
      </c>
      <c r="L75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751">
        <f>GhanaStream[[#This Row],[Subscription Fee]]-(GhanaStream[[#This Row],[Discount]]*GhanaStream[[#This Row],[Subscription Fee]])</f>
        <v>500</v>
      </c>
      <c r="N751" t="str">
        <f>IF(GhanaStream[[#This Row],[Churn Flag]]="Yes","Churned","Retained")</f>
        <v>Retained</v>
      </c>
    </row>
    <row r="752" spans="1:14" x14ac:dyDescent="0.25">
      <c r="A752" t="s">
        <v>790</v>
      </c>
      <c r="B752" s="1">
        <v>45014</v>
      </c>
      <c r="C752" t="s">
        <v>20</v>
      </c>
      <c r="D752" t="s">
        <v>13</v>
      </c>
      <c r="E752">
        <v>500</v>
      </c>
      <c r="F752" t="s">
        <v>49</v>
      </c>
      <c r="G752" t="s">
        <v>24</v>
      </c>
      <c r="H752" t="s">
        <v>33</v>
      </c>
      <c r="I752" t="s">
        <v>34</v>
      </c>
      <c r="J752" t="s">
        <v>58</v>
      </c>
      <c r="K752">
        <v>0</v>
      </c>
      <c r="L75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752">
        <f>GhanaStream[[#This Row],[Subscription Fee]]-(GhanaStream[[#This Row],[Discount]]*GhanaStream[[#This Row],[Subscription Fee]])</f>
        <v>500</v>
      </c>
      <c r="N752" t="str">
        <f>IF(GhanaStream[[#This Row],[Churn Flag]]="Yes","Churned","Retained")</f>
        <v>Retained</v>
      </c>
    </row>
    <row r="753" spans="1:14" x14ac:dyDescent="0.25">
      <c r="A753" t="s">
        <v>791</v>
      </c>
      <c r="B753" s="1">
        <v>45291</v>
      </c>
      <c r="C753" t="s">
        <v>20</v>
      </c>
      <c r="D753" t="s">
        <v>13</v>
      </c>
      <c r="E753">
        <v>500</v>
      </c>
      <c r="F753" t="s">
        <v>49</v>
      </c>
      <c r="G753" t="s">
        <v>28</v>
      </c>
      <c r="H753" t="s">
        <v>16</v>
      </c>
      <c r="I753" t="s">
        <v>17</v>
      </c>
      <c r="J753" t="s">
        <v>18</v>
      </c>
      <c r="K753">
        <v>0</v>
      </c>
      <c r="L75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753">
        <f>GhanaStream[[#This Row],[Subscription Fee]]-(GhanaStream[[#This Row],[Discount]]*GhanaStream[[#This Row],[Subscription Fee]])</f>
        <v>500</v>
      </c>
      <c r="N753" t="str">
        <f>IF(GhanaStream[[#This Row],[Churn Flag]]="Yes","Churned","Retained")</f>
        <v>Churned</v>
      </c>
    </row>
    <row r="754" spans="1:14" x14ac:dyDescent="0.25">
      <c r="A754" t="s">
        <v>792</v>
      </c>
      <c r="B754" s="1">
        <v>45555</v>
      </c>
      <c r="C754" t="s">
        <v>20</v>
      </c>
      <c r="D754" t="s">
        <v>13</v>
      </c>
      <c r="E754">
        <v>500</v>
      </c>
      <c r="F754" t="s">
        <v>49</v>
      </c>
      <c r="G754" t="s">
        <v>15</v>
      </c>
      <c r="H754" t="s">
        <v>16</v>
      </c>
      <c r="I754" t="s">
        <v>17</v>
      </c>
      <c r="J754" t="s">
        <v>25</v>
      </c>
      <c r="K754">
        <v>0</v>
      </c>
      <c r="L75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754">
        <f>GhanaStream[[#This Row],[Subscription Fee]]-(GhanaStream[[#This Row],[Discount]]*GhanaStream[[#This Row],[Subscription Fee]])</f>
        <v>500</v>
      </c>
      <c r="N754" t="str">
        <f>IF(GhanaStream[[#This Row],[Churn Flag]]="Yes","Churned","Retained")</f>
        <v>Churned</v>
      </c>
    </row>
    <row r="755" spans="1:14" x14ac:dyDescent="0.25">
      <c r="A755" t="s">
        <v>793</v>
      </c>
      <c r="B755" s="1">
        <v>45212</v>
      </c>
      <c r="C755" t="s">
        <v>31</v>
      </c>
      <c r="D755" t="s">
        <v>27</v>
      </c>
      <c r="E755">
        <v>10800</v>
      </c>
      <c r="F755" t="s">
        <v>21</v>
      </c>
      <c r="G755" t="s">
        <v>15</v>
      </c>
      <c r="H755" t="s">
        <v>16</v>
      </c>
      <c r="I755" t="s">
        <v>17</v>
      </c>
      <c r="J755" t="s">
        <v>25</v>
      </c>
      <c r="K755">
        <v>0.1</v>
      </c>
      <c r="L75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755">
        <f>GhanaStream[[#This Row],[Subscription Fee]]-(GhanaStream[[#This Row],[Discount]]*GhanaStream[[#This Row],[Subscription Fee]])</f>
        <v>9720</v>
      </c>
      <c r="N755" t="str">
        <f>IF(GhanaStream[[#This Row],[Churn Flag]]="Yes","Churned","Retained")</f>
        <v>Churned</v>
      </c>
    </row>
    <row r="756" spans="1:14" x14ac:dyDescent="0.25">
      <c r="A756" t="s">
        <v>794</v>
      </c>
      <c r="B756" s="1">
        <v>45006</v>
      </c>
      <c r="C756" t="s">
        <v>31</v>
      </c>
      <c r="D756" t="s">
        <v>27</v>
      </c>
      <c r="E756">
        <v>10800</v>
      </c>
      <c r="F756" t="s">
        <v>32</v>
      </c>
      <c r="G756" t="s">
        <v>24</v>
      </c>
      <c r="H756" t="s">
        <v>33</v>
      </c>
      <c r="I756" t="s">
        <v>34</v>
      </c>
      <c r="J756" t="s">
        <v>25</v>
      </c>
      <c r="K756">
        <v>0.1</v>
      </c>
      <c r="L75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756">
        <f>GhanaStream[[#This Row],[Subscription Fee]]-(GhanaStream[[#This Row],[Discount]]*GhanaStream[[#This Row],[Subscription Fee]])</f>
        <v>9720</v>
      </c>
      <c r="N756" t="str">
        <f>IF(GhanaStream[[#This Row],[Churn Flag]]="Yes","Churned","Retained")</f>
        <v>Retained</v>
      </c>
    </row>
    <row r="757" spans="1:14" x14ac:dyDescent="0.25">
      <c r="A757" t="s">
        <v>795</v>
      </c>
      <c r="B757" s="1">
        <v>45351</v>
      </c>
      <c r="C757" t="s">
        <v>31</v>
      </c>
      <c r="D757" t="s">
        <v>27</v>
      </c>
      <c r="E757">
        <v>10800</v>
      </c>
      <c r="F757" t="s">
        <v>21</v>
      </c>
      <c r="G757" t="s">
        <v>28</v>
      </c>
      <c r="H757" t="s">
        <v>16</v>
      </c>
      <c r="I757" t="s">
        <v>17</v>
      </c>
      <c r="J757" t="s">
        <v>29</v>
      </c>
      <c r="K757">
        <v>0.1</v>
      </c>
      <c r="L75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757">
        <f>GhanaStream[[#This Row],[Subscription Fee]]-(GhanaStream[[#This Row],[Discount]]*GhanaStream[[#This Row],[Subscription Fee]])</f>
        <v>9720</v>
      </c>
      <c r="N757" t="str">
        <f>IF(GhanaStream[[#This Row],[Churn Flag]]="Yes","Churned","Retained")</f>
        <v>Churned</v>
      </c>
    </row>
    <row r="758" spans="1:14" x14ac:dyDescent="0.25">
      <c r="A758" t="s">
        <v>796</v>
      </c>
      <c r="B758" s="1">
        <v>45088</v>
      </c>
      <c r="C758" t="s">
        <v>20</v>
      </c>
      <c r="D758" t="s">
        <v>27</v>
      </c>
      <c r="E758">
        <v>5400</v>
      </c>
      <c r="F758" t="s">
        <v>32</v>
      </c>
      <c r="G758" t="s">
        <v>28</v>
      </c>
      <c r="H758" t="s">
        <v>16</v>
      </c>
      <c r="I758" t="s">
        <v>17</v>
      </c>
      <c r="J758" t="s">
        <v>66</v>
      </c>
      <c r="K758">
        <v>0.1</v>
      </c>
      <c r="L75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758">
        <f>GhanaStream[[#This Row],[Subscription Fee]]-(GhanaStream[[#This Row],[Discount]]*GhanaStream[[#This Row],[Subscription Fee]])</f>
        <v>4860</v>
      </c>
      <c r="N758" t="str">
        <f>IF(GhanaStream[[#This Row],[Churn Flag]]="Yes","Churned","Retained")</f>
        <v>Churned</v>
      </c>
    </row>
    <row r="759" spans="1:14" x14ac:dyDescent="0.25">
      <c r="A759" t="s">
        <v>797</v>
      </c>
      <c r="B759" s="1">
        <v>45151</v>
      </c>
      <c r="C759" t="s">
        <v>20</v>
      </c>
      <c r="D759" t="s">
        <v>13</v>
      </c>
      <c r="E759">
        <v>500</v>
      </c>
      <c r="F759" t="s">
        <v>21</v>
      </c>
      <c r="G759" t="s">
        <v>15</v>
      </c>
      <c r="H759" t="s">
        <v>16</v>
      </c>
      <c r="I759" t="s">
        <v>17</v>
      </c>
      <c r="J759" t="s">
        <v>18</v>
      </c>
      <c r="K759">
        <v>0</v>
      </c>
      <c r="L75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759">
        <f>GhanaStream[[#This Row],[Subscription Fee]]-(GhanaStream[[#This Row],[Discount]]*GhanaStream[[#This Row],[Subscription Fee]])</f>
        <v>500</v>
      </c>
      <c r="N759" t="str">
        <f>IF(GhanaStream[[#This Row],[Churn Flag]]="Yes","Churned","Retained")</f>
        <v>Churned</v>
      </c>
    </row>
    <row r="760" spans="1:14" x14ac:dyDescent="0.25">
      <c r="A760" t="s">
        <v>798</v>
      </c>
      <c r="B760" s="1">
        <v>45051</v>
      </c>
      <c r="C760" t="s">
        <v>20</v>
      </c>
      <c r="D760" t="s">
        <v>13</v>
      </c>
      <c r="E760">
        <v>500</v>
      </c>
      <c r="F760" t="s">
        <v>21</v>
      </c>
      <c r="G760" t="s">
        <v>28</v>
      </c>
      <c r="H760" t="s">
        <v>16</v>
      </c>
      <c r="I760" t="s">
        <v>17</v>
      </c>
      <c r="J760" t="s">
        <v>29</v>
      </c>
      <c r="K760">
        <v>0</v>
      </c>
      <c r="L76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760">
        <f>GhanaStream[[#This Row],[Subscription Fee]]-(GhanaStream[[#This Row],[Discount]]*GhanaStream[[#This Row],[Subscription Fee]])</f>
        <v>500</v>
      </c>
      <c r="N760" t="str">
        <f>IF(GhanaStream[[#This Row],[Churn Flag]]="Yes","Churned","Retained")</f>
        <v>Churned</v>
      </c>
    </row>
    <row r="761" spans="1:14" x14ac:dyDescent="0.25">
      <c r="A761" t="s">
        <v>799</v>
      </c>
      <c r="B761" s="1">
        <v>45501</v>
      </c>
      <c r="C761" t="s">
        <v>20</v>
      </c>
      <c r="D761" t="s">
        <v>27</v>
      </c>
      <c r="E761">
        <v>5400</v>
      </c>
      <c r="F761" t="s">
        <v>14</v>
      </c>
      <c r="G761" t="s">
        <v>24</v>
      </c>
      <c r="H761" t="s">
        <v>33</v>
      </c>
      <c r="I761" t="s">
        <v>34</v>
      </c>
      <c r="J761" t="s">
        <v>22</v>
      </c>
      <c r="K761">
        <v>0.1</v>
      </c>
      <c r="L76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761">
        <f>GhanaStream[[#This Row],[Subscription Fee]]-(GhanaStream[[#This Row],[Discount]]*GhanaStream[[#This Row],[Subscription Fee]])</f>
        <v>4860</v>
      </c>
      <c r="N761" t="str">
        <f>IF(GhanaStream[[#This Row],[Churn Flag]]="Yes","Churned","Retained")</f>
        <v>Retained</v>
      </c>
    </row>
    <row r="762" spans="1:14" x14ac:dyDescent="0.25">
      <c r="A762" t="s">
        <v>800</v>
      </c>
      <c r="B762" s="1">
        <v>45636</v>
      </c>
      <c r="C762" t="s">
        <v>20</v>
      </c>
      <c r="D762" t="s">
        <v>27</v>
      </c>
      <c r="E762">
        <v>5400</v>
      </c>
      <c r="F762" t="s">
        <v>21</v>
      </c>
      <c r="G762" t="s">
        <v>24</v>
      </c>
      <c r="H762" t="s">
        <v>33</v>
      </c>
      <c r="I762" t="s">
        <v>34</v>
      </c>
      <c r="J762" t="s">
        <v>22</v>
      </c>
      <c r="K762">
        <v>0.1</v>
      </c>
      <c r="L76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762">
        <f>GhanaStream[[#This Row],[Subscription Fee]]-(GhanaStream[[#This Row],[Discount]]*GhanaStream[[#This Row],[Subscription Fee]])</f>
        <v>4860</v>
      </c>
      <c r="N762" t="str">
        <f>IF(GhanaStream[[#This Row],[Churn Flag]]="Yes","Churned","Retained")</f>
        <v>Retained</v>
      </c>
    </row>
    <row r="763" spans="1:14" x14ac:dyDescent="0.25">
      <c r="A763" t="s">
        <v>801</v>
      </c>
      <c r="B763" s="1">
        <v>45389</v>
      </c>
      <c r="C763" t="s">
        <v>31</v>
      </c>
      <c r="D763" t="s">
        <v>27</v>
      </c>
      <c r="E763">
        <v>10800</v>
      </c>
      <c r="F763" t="s">
        <v>14</v>
      </c>
      <c r="G763" t="s">
        <v>15</v>
      </c>
      <c r="H763" t="s">
        <v>16</v>
      </c>
      <c r="I763" t="s">
        <v>17</v>
      </c>
      <c r="J763" t="s">
        <v>18</v>
      </c>
      <c r="K763">
        <v>0.1</v>
      </c>
      <c r="L76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763">
        <f>GhanaStream[[#This Row],[Subscription Fee]]-(GhanaStream[[#This Row],[Discount]]*GhanaStream[[#This Row],[Subscription Fee]])</f>
        <v>9720</v>
      </c>
      <c r="N763" t="str">
        <f>IF(GhanaStream[[#This Row],[Churn Flag]]="Yes","Churned","Retained")</f>
        <v>Churned</v>
      </c>
    </row>
    <row r="764" spans="1:14" x14ac:dyDescent="0.25">
      <c r="A764" t="s">
        <v>802</v>
      </c>
      <c r="B764" s="1">
        <v>45638</v>
      </c>
      <c r="C764" t="s">
        <v>12</v>
      </c>
      <c r="D764" t="s">
        <v>27</v>
      </c>
      <c r="E764">
        <v>16200</v>
      </c>
      <c r="F764" t="s">
        <v>32</v>
      </c>
      <c r="G764" t="s">
        <v>15</v>
      </c>
      <c r="H764" t="s">
        <v>16</v>
      </c>
      <c r="I764" t="s">
        <v>17</v>
      </c>
      <c r="J764" t="s">
        <v>66</v>
      </c>
      <c r="K764">
        <v>0.1</v>
      </c>
      <c r="L76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764">
        <f>GhanaStream[[#This Row],[Subscription Fee]]-(GhanaStream[[#This Row],[Discount]]*GhanaStream[[#This Row],[Subscription Fee]])</f>
        <v>14580</v>
      </c>
      <c r="N764" t="str">
        <f>IF(GhanaStream[[#This Row],[Churn Flag]]="Yes","Churned","Retained")</f>
        <v>Churned</v>
      </c>
    </row>
    <row r="765" spans="1:14" x14ac:dyDescent="0.25">
      <c r="A765" t="s">
        <v>803</v>
      </c>
      <c r="B765" s="1">
        <v>45060</v>
      </c>
      <c r="C765" t="s">
        <v>31</v>
      </c>
      <c r="D765" t="s">
        <v>13</v>
      </c>
      <c r="E765">
        <v>1000</v>
      </c>
      <c r="F765" t="s">
        <v>14</v>
      </c>
      <c r="G765" t="s">
        <v>24</v>
      </c>
      <c r="H765" t="s">
        <v>33</v>
      </c>
      <c r="I765" t="s">
        <v>34</v>
      </c>
      <c r="J765" t="s">
        <v>41</v>
      </c>
      <c r="K765">
        <v>0</v>
      </c>
      <c r="L76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765">
        <f>GhanaStream[[#This Row],[Subscription Fee]]-(GhanaStream[[#This Row],[Discount]]*GhanaStream[[#This Row],[Subscription Fee]])</f>
        <v>1000</v>
      </c>
      <c r="N765" t="str">
        <f>IF(GhanaStream[[#This Row],[Churn Flag]]="Yes","Churned","Retained")</f>
        <v>Retained</v>
      </c>
    </row>
    <row r="766" spans="1:14" x14ac:dyDescent="0.25">
      <c r="A766" t="s">
        <v>804</v>
      </c>
      <c r="B766" s="1">
        <v>45640</v>
      </c>
      <c r="C766" t="s">
        <v>31</v>
      </c>
      <c r="D766" t="s">
        <v>27</v>
      </c>
      <c r="E766">
        <v>10800</v>
      </c>
      <c r="F766" t="s">
        <v>49</v>
      </c>
      <c r="G766" t="s">
        <v>28</v>
      </c>
      <c r="H766" t="s">
        <v>16</v>
      </c>
      <c r="I766" t="s">
        <v>17</v>
      </c>
      <c r="J766" t="s">
        <v>25</v>
      </c>
      <c r="K766">
        <v>0.1</v>
      </c>
      <c r="L76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766">
        <f>GhanaStream[[#This Row],[Subscription Fee]]-(GhanaStream[[#This Row],[Discount]]*GhanaStream[[#This Row],[Subscription Fee]])</f>
        <v>9720</v>
      </c>
      <c r="N766" t="str">
        <f>IF(GhanaStream[[#This Row],[Churn Flag]]="Yes","Churned","Retained")</f>
        <v>Churned</v>
      </c>
    </row>
    <row r="767" spans="1:14" x14ac:dyDescent="0.25">
      <c r="A767" t="s">
        <v>805</v>
      </c>
      <c r="B767" s="1">
        <v>45368</v>
      </c>
      <c r="C767" t="s">
        <v>31</v>
      </c>
      <c r="D767" t="s">
        <v>27</v>
      </c>
      <c r="E767">
        <v>10800</v>
      </c>
      <c r="F767" t="s">
        <v>14</v>
      </c>
      <c r="G767" t="s">
        <v>15</v>
      </c>
      <c r="H767" t="s">
        <v>16</v>
      </c>
      <c r="I767" t="s">
        <v>17</v>
      </c>
      <c r="J767" t="s">
        <v>41</v>
      </c>
      <c r="K767">
        <v>0.1</v>
      </c>
      <c r="L76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767">
        <f>GhanaStream[[#This Row],[Subscription Fee]]-(GhanaStream[[#This Row],[Discount]]*GhanaStream[[#This Row],[Subscription Fee]])</f>
        <v>9720</v>
      </c>
      <c r="N767" t="str">
        <f>IF(GhanaStream[[#This Row],[Churn Flag]]="Yes","Churned","Retained")</f>
        <v>Churned</v>
      </c>
    </row>
    <row r="768" spans="1:14" x14ac:dyDescent="0.25">
      <c r="A768" t="s">
        <v>806</v>
      </c>
      <c r="B768" s="1">
        <v>45327</v>
      </c>
      <c r="C768" t="s">
        <v>31</v>
      </c>
      <c r="D768" t="s">
        <v>27</v>
      </c>
      <c r="E768">
        <v>10800</v>
      </c>
      <c r="F768" t="s">
        <v>49</v>
      </c>
      <c r="G768" t="s">
        <v>24</v>
      </c>
      <c r="H768" t="s">
        <v>33</v>
      </c>
      <c r="I768" t="s">
        <v>34</v>
      </c>
      <c r="J768" t="s">
        <v>25</v>
      </c>
      <c r="K768">
        <v>0.1</v>
      </c>
      <c r="L76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768">
        <f>GhanaStream[[#This Row],[Subscription Fee]]-(GhanaStream[[#This Row],[Discount]]*GhanaStream[[#This Row],[Subscription Fee]])</f>
        <v>9720</v>
      </c>
      <c r="N768" t="str">
        <f>IF(GhanaStream[[#This Row],[Churn Flag]]="Yes","Churned","Retained")</f>
        <v>Retained</v>
      </c>
    </row>
    <row r="769" spans="1:14" x14ac:dyDescent="0.25">
      <c r="A769" t="s">
        <v>807</v>
      </c>
      <c r="B769" s="1">
        <v>45139</v>
      </c>
      <c r="C769" t="s">
        <v>20</v>
      </c>
      <c r="D769" t="s">
        <v>27</v>
      </c>
      <c r="E769">
        <v>5400</v>
      </c>
      <c r="F769" t="s">
        <v>14</v>
      </c>
      <c r="G769" t="s">
        <v>24</v>
      </c>
      <c r="H769" t="s">
        <v>33</v>
      </c>
      <c r="I769" t="s">
        <v>34</v>
      </c>
      <c r="J769" t="s">
        <v>41</v>
      </c>
      <c r="K769">
        <v>0.1</v>
      </c>
      <c r="L76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769">
        <f>GhanaStream[[#This Row],[Subscription Fee]]-(GhanaStream[[#This Row],[Discount]]*GhanaStream[[#This Row],[Subscription Fee]])</f>
        <v>4860</v>
      </c>
      <c r="N769" t="str">
        <f>IF(GhanaStream[[#This Row],[Churn Flag]]="Yes","Churned","Retained")</f>
        <v>Retained</v>
      </c>
    </row>
    <row r="770" spans="1:14" x14ac:dyDescent="0.25">
      <c r="A770" t="s">
        <v>808</v>
      </c>
      <c r="B770" s="1">
        <v>45101</v>
      </c>
      <c r="C770" t="s">
        <v>12</v>
      </c>
      <c r="D770" t="s">
        <v>27</v>
      </c>
      <c r="E770">
        <v>16200</v>
      </c>
      <c r="F770" t="s">
        <v>21</v>
      </c>
      <c r="G770" t="s">
        <v>28</v>
      </c>
      <c r="H770" t="s">
        <v>33</v>
      </c>
      <c r="I770" t="s">
        <v>34</v>
      </c>
      <c r="J770" t="s">
        <v>18</v>
      </c>
      <c r="K770">
        <v>0.1</v>
      </c>
      <c r="L77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770">
        <f>GhanaStream[[#This Row],[Subscription Fee]]-(GhanaStream[[#This Row],[Discount]]*GhanaStream[[#This Row],[Subscription Fee]])</f>
        <v>14580</v>
      </c>
      <c r="N770" t="str">
        <f>IF(GhanaStream[[#This Row],[Churn Flag]]="Yes","Churned","Retained")</f>
        <v>Retained</v>
      </c>
    </row>
    <row r="771" spans="1:14" x14ac:dyDescent="0.25">
      <c r="A771" t="s">
        <v>809</v>
      </c>
      <c r="B771" s="1">
        <v>45353</v>
      </c>
      <c r="C771" t="s">
        <v>20</v>
      </c>
      <c r="D771" t="s">
        <v>27</v>
      </c>
      <c r="E771">
        <v>5400</v>
      </c>
      <c r="F771" t="s">
        <v>49</v>
      </c>
      <c r="G771" t="s">
        <v>24</v>
      </c>
      <c r="H771" t="s">
        <v>16</v>
      </c>
      <c r="I771" t="s">
        <v>17</v>
      </c>
      <c r="J771" t="s">
        <v>58</v>
      </c>
      <c r="K771">
        <v>0.1</v>
      </c>
      <c r="L77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771">
        <f>GhanaStream[[#This Row],[Subscription Fee]]-(GhanaStream[[#This Row],[Discount]]*GhanaStream[[#This Row],[Subscription Fee]])</f>
        <v>4860</v>
      </c>
      <c r="N771" t="str">
        <f>IF(GhanaStream[[#This Row],[Churn Flag]]="Yes","Churned","Retained")</f>
        <v>Churned</v>
      </c>
    </row>
    <row r="772" spans="1:14" x14ac:dyDescent="0.25">
      <c r="A772" t="s">
        <v>810</v>
      </c>
      <c r="B772" s="1">
        <v>44976</v>
      </c>
      <c r="C772" t="s">
        <v>12</v>
      </c>
      <c r="D772" t="s">
        <v>13</v>
      </c>
      <c r="E772">
        <v>1500</v>
      </c>
      <c r="F772" t="s">
        <v>21</v>
      </c>
      <c r="G772" t="s">
        <v>24</v>
      </c>
      <c r="H772" t="s">
        <v>33</v>
      </c>
      <c r="I772" t="s">
        <v>34</v>
      </c>
      <c r="J772" t="s">
        <v>29</v>
      </c>
      <c r="K772">
        <v>0</v>
      </c>
      <c r="L77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772">
        <f>GhanaStream[[#This Row],[Subscription Fee]]-(GhanaStream[[#This Row],[Discount]]*GhanaStream[[#This Row],[Subscription Fee]])</f>
        <v>1500</v>
      </c>
      <c r="N772" t="str">
        <f>IF(GhanaStream[[#This Row],[Churn Flag]]="Yes","Churned","Retained")</f>
        <v>Retained</v>
      </c>
    </row>
    <row r="773" spans="1:14" x14ac:dyDescent="0.25">
      <c r="A773" t="s">
        <v>811</v>
      </c>
      <c r="B773" s="1">
        <v>45413</v>
      </c>
      <c r="C773" t="s">
        <v>12</v>
      </c>
      <c r="D773" t="s">
        <v>13</v>
      </c>
      <c r="E773">
        <v>1500</v>
      </c>
      <c r="F773" t="s">
        <v>21</v>
      </c>
      <c r="G773" t="s">
        <v>28</v>
      </c>
      <c r="H773" t="s">
        <v>33</v>
      </c>
      <c r="I773" t="s">
        <v>34</v>
      </c>
      <c r="J773" t="s">
        <v>18</v>
      </c>
      <c r="K773">
        <v>0</v>
      </c>
      <c r="L77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773">
        <f>GhanaStream[[#This Row],[Subscription Fee]]-(GhanaStream[[#This Row],[Discount]]*GhanaStream[[#This Row],[Subscription Fee]])</f>
        <v>1500</v>
      </c>
      <c r="N773" t="str">
        <f>IF(GhanaStream[[#This Row],[Churn Flag]]="Yes","Churned","Retained")</f>
        <v>Retained</v>
      </c>
    </row>
    <row r="774" spans="1:14" x14ac:dyDescent="0.25">
      <c r="A774" t="s">
        <v>812</v>
      </c>
      <c r="B774" s="1">
        <v>45420</v>
      </c>
      <c r="C774" t="s">
        <v>12</v>
      </c>
      <c r="D774" t="s">
        <v>27</v>
      </c>
      <c r="E774">
        <v>16200</v>
      </c>
      <c r="F774" t="s">
        <v>21</v>
      </c>
      <c r="G774" t="s">
        <v>15</v>
      </c>
      <c r="H774" t="s">
        <v>16</v>
      </c>
      <c r="I774" t="s">
        <v>17</v>
      </c>
      <c r="J774" t="s">
        <v>29</v>
      </c>
      <c r="K774">
        <v>0.1</v>
      </c>
      <c r="L77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774">
        <f>GhanaStream[[#This Row],[Subscription Fee]]-(GhanaStream[[#This Row],[Discount]]*GhanaStream[[#This Row],[Subscription Fee]])</f>
        <v>14580</v>
      </c>
      <c r="N774" t="str">
        <f>IF(GhanaStream[[#This Row],[Churn Flag]]="Yes","Churned","Retained")</f>
        <v>Churned</v>
      </c>
    </row>
    <row r="775" spans="1:14" x14ac:dyDescent="0.25">
      <c r="A775" t="s">
        <v>813</v>
      </c>
      <c r="B775" s="1">
        <v>45016</v>
      </c>
      <c r="C775" t="s">
        <v>12</v>
      </c>
      <c r="D775" t="s">
        <v>13</v>
      </c>
      <c r="E775">
        <v>1500</v>
      </c>
      <c r="F775" t="s">
        <v>21</v>
      </c>
      <c r="G775" t="s">
        <v>28</v>
      </c>
      <c r="H775" t="s">
        <v>16</v>
      </c>
      <c r="I775" t="s">
        <v>17</v>
      </c>
      <c r="J775" t="s">
        <v>29</v>
      </c>
      <c r="K775">
        <v>0</v>
      </c>
      <c r="L77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775">
        <f>GhanaStream[[#This Row],[Subscription Fee]]-(GhanaStream[[#This Row],[Discount]]*GhanaStream[[#This Row],[Subscription Fee]])</f>
        <v>1500</v>
      </c>
      <c r="N775" t="str">
        <f>IF(GhanaStream[[#This Row],[Churn Flag]]="Yes","Churned","Retained")</f>
        <v>Churned</v>
      </c>
    </row>
    <row r="776" spans="1:14" x14ac:dyDescent="0.25">
      <c r="A776" t="s">
        <v>814</v>
      </c>
      <c r="B776" s="1">
        <v>45643</v>
      </c>
      <c r="C776" t="s">
        <v>31</v>
      </c>
      <c r="D776" t="s">
        <v>13</v>
      </c>
      <c r="E776">
        <v>1000</v>
      </c>
      <c r="F776" t="s">
        <v>14</v>
      </c>
      <c r="G776" t="s">
        <v>24</v>
      </c>
      <c r="H776" t="s">
        <v>33</v>
      </c>
      <c r="I776" t="s">
        <v>34</v>
      </c>
      <c r="J776" t="s">
        <v>41</v>
      </c>
      <c r="K776">
        <v>0</v>
      </c>
      <c r="L77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776">
        <f>GhanaStream[[#This Row],[Subscription Fee]]-(GhanaStream[[#This Row],[Discount]]*GhanaStream[[#This Row],[Subscription Fee]])</f>
        <v>1000</v>
      </c>
      <c r="N776" t="str">
        <f>IF(GhanaStream[[#This Row],[Churn Flag]]="Yes","Churned","Retained")</f>
        <v>Retained</v>
      </c>
    </row>
    <row r="777" spans="1:14" x14ac:dyDescent="0.25">
      <c r="A777" t="s">
        <v>815</v>
      </c>
      <c r="B777" s="1">
        <v>45214</v>
      </c>
      <c r="C777" t="s">
        <v>20</v>
      </c>
      <c r="D777" t="s">
        <v>13</v>
      </c>
      <c r="E777">
        <v>500</v>
      </c>
      <c r="F777" t="s">
        <v>14</v>
      </c>
      <c r="G777" t="s">
        <v>15</v>
      </c>
      <c r="H777" t="s">
        <v>16</v>
      </c>
      <c r="I777" t="s">
        <v>17</v>
      </c>
      <c r="J777" t="s">
        <v>37</v>
      </c>
      <c r="K777">
        <v>0</v>
      </c>
      <c r="L77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777">
        <f>GhanaStream[[#This Row],[Subscription Fee]]-(GhanaStream[[#This Row],[Discount]]*GhanaStream[[#This Row],[Subscription Fee]])</f>
        <v>500</v>
      </c>
      <c r="N777" t="str">
        <f>IF(GhanaStream[[#This Row],[Churn Flag]]="Yes","Churned","Retained")</f>
        <v>Churned</v>
      </c>
    </row>
    <row r="778" spans="1:14" x14ac:dyDescent="0.25">
      <c r="A778" t="s">
        <v>816</v>
      </c>
      <c r="B778" s="1">
        <v>45046</v>
      </c>
      <c r="C778" t="s">
        <v>12</v>
      </c>
      <c r="D778" t="s">
        <v>27</v>
      </c>
      <c r="E778">
        <v>16200</v>
      </c>
      <c r="F778" t="s">
        <v>32</v>
      </c>
      <c r="G778" t="s">
        <v>15</v>
      </c>
      <c r="H778" t="s">
        <v>16</v>
      </c>
      <c r="I778" t="s">
        <v>17</v>
      </c>
      <c r="J778" t="s">
        <v>35</v>
      </c>
      <c r="K778">
        <v>0.1</v>
      </c>
      <c r="L77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778">
        <f>GhanaStream[[#This Row],[Subscription Fee]]-(GhanaStream[[#This Row],[Discount]]*GhanaStream[[#This Row],[Subscription Fee]])</f>
        <v>14580</v>
      </c>
      <c r="N778" t="str">
        <f>IF(GhanaStream[[#This Row],[Churn Flag]]="Yes","Churned","Retained")</f>
        <v>Churned</v>
      </c>
    </row>
    <row r="779" spans="1:14" x14ac:dyDescent="0.25">
      <c r="A779" t="s">
        <v>817</v>
      </c>
      <c r="B779" s="1">
        <v>45375</v>
      </c>
      <c r="C779" t="s">
        <v>31</v>
      </c>
      <c r="D779" t="s">
        <v>27</v>
      </c>
      <c r="E779">
        <v>10800</v>
      </c>
      <c r="F779" t="s">
        <v>14</v>
      </c>
      <c r="G779" t="s">
        <v>24</v>
      </c>
      <c r="H779" t="s">
        <v>33</v>
      </c>
      <c r="I779" t="s">
        <v>34</v>
      </c>
      <c r="J779" t="s">
        <v>55</v>
      </c>
      <c r="K779">
        <v>0.1</v>
      </c>
      <c r="L77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779">
        <f>GhanaStream[[#This Row],[Subscription Fee]]-(GhanaStream[[#This Row],[Discount]]*GhanaStream[[#This Row],[Subscription Fee]])</f>
        <v>9720</v>
      </c>
      <c r="N779" t="str">
        <f>IF(GhanaStream[[#This Row],[Churn Flag]]="Yes","Churned","Retained")</f>
        <v>Retained</v>
      </c>
    </row>
    <row r="780" spans="1:14" x14ac:dyDescent="0.25">
      <c r="A780" t="s">
        <v>818</v>
      </c>
      <c r="B780" s="1">
        <v>45122</v>
      </c>
      <c r="C780" t="s">
        <v>12</v>
      </c>
      <c r="D780" t="s">
        <v>13</v>
      </c>
      <c r="E780">
        <v>1500</v>
      </c>
      <c r="F780" t="s">
        <v>49</v>
      </c>
      <c r="G780" t="s">
        <v>28</v>
      </c>
      <c r="H780" t="s">
        <v>16</v>
      </c>
      <c r="I780" t="s">
        <v>17</v>
      </c>
      <c r="J780" t="s">
        <v>50</v>
      </c>
      <c r="K780">
        <v>0</v>
      </c>
      <c r="L78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780">
        <f>GhanaStream[[#This Row],[Subscription Fee]]-(GhanaStream[[#This Row],[Discount]]*GhanaStream[[#This Row],[Subscription Fee]])</f>
        <v>1500</v>
      </c>
      <c r="N780" t="str">
        <f>IF(GhanaStream[[#This Row],[Churn Flag]]="Yes","Churned","Retained")</f>
        <v>Churned</v>
      </c>
    </row>
    <row r="781" spans="1:14" x14ac:dyDescent="0.25">
      <c r="A781" t="s">
        <v>819</v>
      </c>
      <c r="B781" s="1">
        <v>45417</v>
      </c>
      <c r="C781" t="s">
        <v>12</v>
      </c>
      <c r="D781" t="s">
        <v>27</v>
      </c>
      <c r="E781">
        <v>16200</v>
      </c>
      <c r="F781" t="s">
        <v>32</v>
      </c>
      <c r="G781" t="s">
        <v>24</v>
      </c>
      <c r="H781" t="s">
        <v>33</v>
      </c>
      <c r="I781" t="s">
        <v>34</v>
      </c>
      <c r="J781" t="s">
        <v>39</v>
      </c>
      <c r="K781">
        <v>0.1</v>
      </c>
      <c r="L78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781">
        <f>GhanaStream[[#This Row],[Subscription Fee]]-(GhanaStream[[#This Row],[Discount]]*GhanaStream[[#This Row],[Subscription Fee]])</f>
        <v>14580</v>
      </c>
      <c r="N781" t="str">
        <f>IF(GhanaStream[[#This Row],[Churn Flag]]="Yes","Churned","Retained")</f>
        <v>Retained</v>
      </c>
    </row>
    <row r="782" spans="1:14" x14ac:dyDescent="0.25">
      <c r="A782" t="s">
        <v>820</v>
      </c>
      <c r="B782" s="1">
        <v>45319</v>
      </c>
      <c r="C782" t="s">
        <v>12</v>
      </c>
      <c r="D782" t="s">
        <v>27</v>
      </c>
      <c r="E782">
        <v>16200</v>
      </c>
      <c r="F782" t="s">
        <v>32</v>
      </c>
      <c r="G782" t="s">
        <v>28</v>
      </c>
      <c r="H782" t="s">
        <v>16</v>
      </c>
      <c r="I782" t="s">
        <v>17</v>
      </c>
      <c r="J782" t="s">
        <v>66</v>
      </c>
      <c r="K782">
        <v>0.1</v>
      </c>
      <c r="L78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782">
        <f>GhanaStream[[#This Row],[Subscription Fee]]-(GhanaStream[[#This Row],[Discount]]*GhanaStream[[#This Row],[Subscription Fee]])</f>
        <v>14580</v>
      </c>
      <c r="N782" t="str">
        <f>IF(GhanaStream[[#This Row],[Churn Flag]]="Yes","Churned","Retained")</f>
        <v>Churned</v>
      </c>
    </row>
    <row r="783" spans="1:14" x14ac:dyDescent="0.25">
      <c r="A783" t="s">
        <v>821</v>
      </c>
      <c r="B783" s="1">
        <v>45125</v>
      </c>
      <c r="C783" t="s">
        <v>12</v>
      </c>
      <c r="D783" t="s">
        <v>13</v>
      </c>
      <c r="E783">
        <v>1500</v>
      </c>
      <c r="F783" t="s">
        <v>32</v>
      </c>
      <c r="G783" t="s">
        <v>24</v>
      </c>
      <c r="H783" t="s">
        <v>33</v>
      </c>
      <c r="I783" t="s">
        <v>34</v>
      </c>
      <c r="J783" t="s">
        <v>25</v>
      </c>
      <c r="K783">
        <v>0</v>
      </c>
      <c r="L78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783">
        <f>GhanaStream[[#This Row],[Subscription Fee]]-(GhanaStream[[#This Row],[Discount]]*GhanaStream[[#This Row],[Subscription Fee]])</f>
        <v>1500</v>
      </c>
      <c r="N783" t="str">
        <f>IF(GhanaStream[[#This Row],[Churn Flag]]="Yes","Churned","Retained")</f>
        <v>Retained</v>
      </c>
    </row>
    <row r="784" spans="1:14" x14ac:dyDescent="0.25">
      <c r="A784" t="s">
        <v>822</v>
      </c>
      <c r="B784" s="1">
        <v>45237</v>
      </c>
      <c r="C784" t="s">
        <v>31</v>
      </c>
      <c r="D784" t="s">
        <v>13</v>
      </c>
      <c r="E784">
        <v>1000</v>
      </c>
      <c r="F784" t="s">
        <v>49</v>
      </c>
      <c r="G784" t="s">
        <v>15</v>
      </c>
      <c r="H784" t="s">
        <v>16</v>
      </c>
      <c r="I784" t="s">
        <v>17</v>
      </c>
      <c r="J784" t="s">
        <v>22</v>
      </c>
      <c r="K784">
        <v>0</v>
      </c>
      <c r="L78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784">
        <f>GhanaStream[[#This Row],[Subscription Fee]]-(GhanaStream[[#This Row],[Discount]]*GhanaStream[[#This Row],[Subscription Fee]])</f>
        <v>1000</v>
      </c>
      <c r="N784" t="str">
        <f>IF(GhanaStream[[#This Row],[Churn Flag]]="Yes","Churned","Retained")</f>
        <v>Churned</v>
      </c>
    </row>
    <row r="785" spans="1:14" x14ac:dyDescent="0.25">
      <c r="A785" t="s">
        <v>823</v>
      </c>
      <c r="B785" s="1">
        <v>45375</v>
      </c>
      <c r="C785" t="s">
        <v>20</v>
      </c>
      <c r="D785" t="s">
        <v>27</v>
      </c>
      <c r="E785">
        <v>5400</v>
      </c>
      <c r="F785" t="s">
        <v>21</v>
      </c>
      <c r="G785" t="s">
        <v>24</v>
      </c>
      <c r="H785" t="s">
        <v>33</v>
      </c>
      <c r="I785" t="s">
        <v>34</v>
      </c>
      <c r="J785" t="s">
        <v>18</v>
      </c>
      <c r="K785">
        <v>0.1</v>
      </c>
      <c r="L78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785">
        <f>GhanaStream[[#This Row],[Subscription Fee]]-(GhanaStream[[#This Row],[Discount]]*GhanaStream[[#This Row],[Subscription Fee]])</f>
        <v>4860</v>
      </c>
      <c r="N785" t="str">
        <f>IF(GhanaStream[[#This Row],[Churn Flag]]="Yes","Churned","Retained")</f>
        <v>Retained</v>
      </c>
    </row>
    <row r="786" spans="1:14" x14ac:dyDescent="0.25">
      <c r="A786" t="s">
        <v>824</v>
      </c>
      <c r="B786" s="1">
        <v>45158</v>
      </c>
      <c r="C786" t="s">
        <v>20</v>
      </c>
      <c r="D786" t="s">
        <v>13</v>
      </c>
      <c r="E786">
        <v>500</v>
      </c>
      <c r="F786" t="s">
        <v>14</v>
      </c>
      <c r="G786" t="s">
        <v>28</v>
      </c>
      <c r="H786" t="s">
        <v>33</v>
      </c>
      <c r="I786" t="s">
        <v>34</v>
      </c>
      <c r="J786" t="s">
        <v>18</v>
      </c>
      <c r="K786">
        <v>0</v>
      </c>
      <c r="L78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786">
        <f>GhanaStream[[#This Row],[Subscription Fee]]-(GhanaStream[[#This Row],[Discount]]*GhanaStream[[#This Row],[Subscription Fee]])</f>
        <v>500</v>
      </c>
      <c r="N786" t="str">
        <f>IF(GhanaStream[[#This Row],[Churn Flag]]="Yes","Churned","Retained")</f>
        <v>Retained</v>
      </c>
    </row>
    <row r="787" spans="1:14" x14ac:dyDescent="0.25">
      <c r="A787" t="s">
        <v>825</v>
      </c>
      <c r="B787" s="1">
        <v>45526</v>
      </c>
      <c r="C787" t="s">
        <v>20</v>
      </c>
      <c r="D787" t="s">
        <v>13</v>
      </c>
      <c r="E787">
        <v>500</v>
      </c>
      <c r="F787" t="s">
        <v>32</v>
      </c>
      <c r="G787" t="s">
        <v>28</v>
      </c>
      <c r="H787" t="s">
        <v>33</v>
      </c>
      <c r="I787" t="s">
        <v>34</v>
      </c>
      <c r="J787" t="s">
        <v>35</v>
      </c>
      <c r="K787">
        <v>0</v>
      </c>
      <c r="L78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787">
        <f>GhanaStream[[#This Row],[Subscription Fee]]-(GhanaStream[[#This Row],[Discount]]*GhanaStream[[#This Row],[Subscription Fee]])</f>
        <v>500</v>
      </c>
      <c r="N787" t="str">
        <f>IF(GhanaStream[[#This Row],[Churn Flag]]="Yes","Churned","Retained")</f>
        <v>Retained</v>
      </c>
    </row>
    <row r="788" spans="1:14" x14ac:dyDescent="0.25">
      <c r="A788" t="s">
        <v>826</v>
      </c>
      <c r="B788" s="1">
        <v>45463</v>
      </c>
      <c r="C788" t="s">
        <v>31</v>
      </c>
      <c r="D788" t="s">
        <v>27</v>
      </c>
      <c r="E788">
        <v>10800</v>
      </c>
      <c r="F788" t="s">
        <v>14</v>
      </c>
      <c r="G788" t="s">
        <v>28</v>
      </c>
      <c r="H788" t="s">
        <v>33</v>
      </c>
      <c r="I788" t="s">
        <v>34</v>
      </c>
      <c r="J788" t="s">
        <v>41</v>
      </c>
      <c r="K788">
        <v>0.1</v>
      </c>
      <c r="L78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788">
        <f>GhanaStream[[#This Row],[Subscription Fee]]-(GhanaStream[[#This Row],[Discount]]*GhanaStream[[#This Row],[Subscription Fee]])</f>
        <v>9720</v>
      </c>
      <c r="N788" t="str">
        <f>IF(GhanaStream[[#This Row],[Churn Flag]]="Yes","Churned","Retained")</f>
        <v>Retained</v>
      </c>
    </row>
    <row r="789" spans="1:14" x14ac:dyDescent="0.25">
      <c r="A789" t="s">
        <v>827</v>
      </c>
      <c r="B789" s="1">
        <v>45000</v>
      </c>
      <c r="C789" t="s">
        <v>12</v>
      </c>
      <c r="D789" t="s">
        <v>27</v>
      </c>
      <c r="E789">
        <v>16200</v>
      </c>
      <c r="F789" t="s">
        <v>21</v>
      </c>
      <c r="G789" t="s">
        <v>15</v>
      </c>
      <c r="H789" t="s">
        <v>33</v>
      </c>
      <c r="I789" t="s">
        <v>34</v>
      </c>
      <c r="J789" t="s">
        <v>29</v>
      </c>
      <c r="K789">
        <v>0.1</v>
      </c>
      <c r="L78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789">
        <f>GhanaStream[[#This Row],[Subscription Fee]]-(GhanaStream[[#This Row],[Discount]]*GhanaStream[[#This Row],[Subscription Fee]])</f>
        <v>14580</v>
      </c>
      <c r="N789" t="str">
        <f>IF(GhanaStream[[#This Row],[Churn Flag]]="Yes","Churned","Retained")</f>
        <v>Retained</v>
      </c>
    </row>
    <row r="790" spans="1:14" x14ac:dyDescent="0.25">
      <c r="A790" t="s">
        <v>828</v>
      </c>
      <c r="B790" s="1">
        <v>45393</v>
      </c>
      <c r="C790" t="s">
        <v>20</v>
      </c>
      <c r="D790" t="s">
        <v>27</v>
      </c>
      <c r="E790">
        <v>5400</v>
      </c>
      <c r="F790" t="s">
        <v>49</v>
      </c>
      <c r="G790" t="s">
        <v>24</v>
      </c>
      <c r="H790" t="s">
        <v>16</v>
      </c>
      <c r="I790" t="s">
        <v>17</v>
      </c>
      <c r="J790" t="s">
        <v>58</v>
      </c>
      <c r="K790">
        <v>0.1</v>
      </c>
      <c r="L79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790">
        <f>GhanaStream[[#This Row],[Subscription Fee]]-(GhanaStream[[#This Row],[Discount]]*GhanaStream[[#This Row],[Subscription Fee]])</f>
        <v>4860</v>
      </c>
      <c r="N790" t="str">
        <f>IF(GhanaStream[[#This Row],[Churn Flag]]="Yes","Churned","Retained")</f>
        <v>Churned</v>
      </c>
    </row>
    <row r="791" spans="1:14" x14ac:dyDescent="0.25">
      <c r="A791" t="s">
        <v>829</v>
      </c>
      <c r="B791" s="1">
        <v>45408</v>
      </c>
      <c r="C791" t="s">
        <v>20</v>
      </c>
      <c r="D791" t="s">
        <v>13</v>
      </c>
      <c r="E791">
        <v>500</v>
      </c>
      <c r="F791" t="s">
        <v>14</v>
      </c>
      <c r="G791" t="s">
        <v>28</v>
      </c>
      <c r="H791" t="s">
        <v>16</v>
      </c>
      <c r="I791" t="s">
        <v>17</v>
      </c>
      <c r="J791" t="s">
        <v>55</v>
      </c>
      <c r="K791">
        <v>0</v>
      </c>
      <c r="L79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791">
        <f>GhanaStream[[#This Row],[Subscription Fee]]-(GhanaStream[[#This Row],[Discount]]*GhanaStream[[#This Row],[Subscription Fee]])</f>
        <v>500</v>
      </c>
      <c r="N791" t="str">
        <f>IF(GhanaStream[[#This Row],[Churn Flag]]="Yes","Churned","Retained")</f>
        <v>Churned</v>
      </c>
    </row>
    <row r="792" spans="1:14" x14ac:dyDescent="0.25">
      <c r="A792" t="s">
        <v>830</v>
      </c>
      <c r="B792" s="1">
        <v>45506</v>
      </c>
      <c r="C792" t="s">
        <v>20</v>
      </c>
      <c r="D792" t="s">
        <v>27</v>
      </c>
      <c r="E792">
        <v>5400</v>
      </c>
      <c r="F792" t="s">
        <v>14</v>
      </c>
      <c r="G792" t="s">
        <v>28</v>
      </c>
      <c r="H792" t="s">
        <v>33</v>
      </c>
      <c r="I792" t="s">
        <v>34</v>
      </c>
      <c r="J792" t="s">
        <v>37</v>
      </c>
      <c r="K792">
        <v>0.1</v>
      </c>
      <c r="L79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792">
        <f>GhanaStream[[#This Row],[Subscription Fee]]-(GhanaStream[[#This Row],[Discount]]*GhanaStream[[#This Row],[Subscription Fee]])</f>
        <v>4860</v>
      </c>
      <c r="N792" t="str">
        <f>IF(GhanaStream[[#This Row],[Churn Flag]]="Yes","Churned","Retained")</f>
        <v>Retained</v>
      </c>
    </row>
    <row r="793" spans="1:14" x14ac:dyDescent="0.25">
      <c r="A793" t="s">
        <v>831</v>
      </c>
      <c r="B793" s="1">
        <v>44933</v>
      </c>
      <c r="C793" t="s">
        <v>12</v>
      </c>
      <c r="D793" t="s">
        <v>27</v>
      </c>
      <c r="E793">
        <v>16200</v>
      </c>
      <c r="F793" t="s">
        <v>49</v>
      </c>
      <c r="G793" t="s">
        <v>28</v>
      </c>
      <c r="H793" t="s">
        <v>16</v>
      </c>
      <c r="I793" t="s">
        <v>17</v>
      </c>
      <c r="J793" t="s">
        <v>35</v>
      </c>
      <c r="K793">
        <v>0.1</v>
      </c>
      <c r="L79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793">
        <f>GhanaStream[[#This Row],[Subscription Fee]]-(GhanaStream[[#This Row],[Discount]]*GhanaStream[[#This Row],[Subscription Fee]])</f>
        <v>14580</v>
      </c>
      <c r="N793" t="str">
        <f>IF(GhanaStream[[#This Row],[Churn Flag]]="Yes","Churned","Retained")</f>
        <v>Churned</v>
      </c>
    </row>
    <row r="794" spans="1:14" x14ac:dyDescent="0.25">
      <c r="A794" t="s">
        <v>832</v>
      </c>
      <c r="B794" s="1">
        <v>44995</v>
      </c>
      <c r="C794" t="s">
        <v>31</v>
      </c>
      <c r="D794" t="s">
        <v>13</v>
      </c>
      <c r="E794">
        <v>1000</v>
      </c>
      <c r="F794" t="s">
        <v>49</v>
      </c>
      <c r="G794" t="s">
        <v>28</v>
      </c>
      <c r="H794" t="s">
        <v>33</v>
      </c>
      <c r="I794" t="s">
        <v>34</v>
      </c>
      <c r="J794" t="s">
        <v>58</v>
      </c>
      <c r="K794">
        <v>0</v>
      </c>
      <c r="L79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794">
        <f>GhanaStream[[#This Row],[Subscription Fee]]-(GhanaStream[[#This Row],[Discount]]*GhanaStream[[#This Row],[Subscription Fee]])</f>
        <v>1000</v>
      </c>
      <c r="N794" t="str">
        <f>IF(GhanaStream[[#This Row],[Churn Flag]]="Yes","Churned","Retained")</f>
        <v>Retained</v>
      </c>
    </row>
    <row r="795" spans="1:14" x14ac:dyDescent="0.25">
      <c r="A795" t="s">
        <v>833</v>
      </c>
      <c r="B795" s="1">
        <v>45166</v>
      </c>
      <c r="C795" t="s">
        <v>20</v>
      </c>
      <c r="D795" t="s">
        <v>27</v>
      </c>
      <c r="E795">
        <v>5400</v>
      </c>
      <c r="F795" t="s">
        <v>32</v>
      </c>
      <c r="G795" t="s">
        <v>28</v>
      </c>
      <c r="H795" t="s">
        <v>33</v>
      </c>
      <c r="I795" t="s">
        <v>34</v>
      </c>
      <c r="J795" t="s">
        <v>44</v>
      </c>
      <c r="K795">
        <v>0.1</v>
      </c>
      <c r="L79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795">
        <f>GhanaStream[[#This Row],[Subscription Fee]]-(GhanaStream[[#This Row],[Discount]]*GhanaStream[[#This Row],[Subscription Fee]])</f>
        <v>4860</v>
      </c>
      <c r="N795" t="str">
        <f>IF(GhanaStream[[#This Row],[Churn Flag]]="Yes","Churned","Retained")</f>
        <v>Retained</v>
      </c>
    </row>
    <row r="796" spans="1:14" x14ac:dyDescent="0.25">
      <c r="A796" t="s">
        <v>834</v>
      </c>
      <c r="B796" s="1">
        <v>44964</v>
      </c>
      <c r="C796" t="s">
        <v>20</v>
      </c>
      <c r="D796" t="s">
        <v>13</v>
      </c>
      <c r="E796">
        <v>500</v>
      </c>
      <c r="F796" t="s">
        <v>49</v>
      </c>
      <c r="G796" t="s">
        <v>15</v>
      </c>
      <c r="H796" t="s">
        <v>33</v>
      </c>
      <c r="I796" t="s">
        <v>34</v>
      </c>
      <c r="J796" t="s">
        <v>22</v>
      </c>
      <c r="K796">
        <v>0</v>
      </c>
      <c r="L79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796">
        <f>GhanaStream[[#This Row],[Subscription Fee]]-(GhanaStream[[#This Row],[Discount]]*GhanaStream[[#This Row],[Subscription Fee]])</f>
        <v>500</v>
      </c>
      <c r="N796" t="str">
        <f>IF(GhanaStream[[#This Row],[Churn Flag]]="Yes","Churned","Retained")</f>
        <v>Retained</v>
      </c>
    </row>
    <row r="797" spans="1:14" x14ac:dyDescent="0.25">
      <c r="A797" t="s">
        <v>835</v>
      </c>
      <c r="B797" s="1">
        <v>45568</v>
      </c>
      <c r="C797" t="s">
        <v>31</v>
      </c>
      <c r="D797" t="s">
        <v>13</v>
      </c>
      <c r="E797">
        <v>1000</v>
      </c>
      <c r="F797" t="s">
        <v>21</v>
      </c>
      <c r="G797" t="s">
        <v>15</v>
      </c>
      <c r="H797" t="s">
        <v>16</v>
      </c>
      <c r="I797" t="s">
        <v>17</v>
      </c>
      <c r="J797" t="s">
        <v>29</v>
      </c>
      <c r="K797">
        <v>0</v>
      </c>
      <c r="L79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797">
        <f>GhanaStream[[#This Row],[Subscription Fee]]-(GhanaStream[[#This Row],[Discount]]*GhanaStream[[#This Row],[Subscription Fee]])</f>
        <v>1000</v>
      </c>
      <c r="N797" t="str">
        <f>IF(GhanaStream[[#This Row],[Churn Flag]]="Yes","Churned","Retained")</f>
        <v>Churned</v>
      </c>
    </row>
    <row r="798" spans="1:14" x14ac:dyDescent="0.25">
      <c r="A798" t="s">
        <v>836</v>
      </c>
      <c r="B798" s="1">
        <v>45291</v>
      </c>
      <c r="C798" t="s">
        <v>12</v>
      </c>
      <c r="D798" t="s">
        <v>27</v>
      </c>
      <c r="E798">
        <v>16200</v>
      </c>
      <c r="F798" t="s">
        <v>49</v>
      </c>
      <c r="G798" t="s">
        <v>28</v>
      </c>
      <c r="H798" t="s">
        <v>16</v>
      </c>
      <c r="I798" t="s">
        <v>17</v>
      </c>
      <c r="J798" t="s">
        <v>50</v>
      </c>
      <c r="K798">
        <v>0.1</v>
      </c>
      <c r="L79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798">
        <f>GhanaStream[[#This Row],[Subscription Fee]]-(GhanaStream[[#This Row],[Discount]]*GhanaStream[[#This Row],[Subscription Fee]])</f>
        <v>14580</v>
      </c>
      <c r="N798" t="str">
        <f>IF(GhanaStream[[#This Row],[Churn Flag]]="Yes","Churned","Retained")</f>
        <v>Churned</v>
      </c>
    </row>
    <row r="799" spans="1:14" x14ac:dyDescent="0.25">
      <c r="A799" t="s">
        <v>837</v>
      </c>
      <c r="B799" s="1">
        <v>44992</v>
      </c>
      <c r="C799" t="s">
        <v>12</v>
      </c>
      <c r="D799" t="s">
        <v>27</v>
      </c>
      <c r="E799">
        <v>16200</v>
      </c>
      <c r="F799" t="s">
        <v>32</v>
      </c>
      <c r="G799" t="s">
        <v>15</v>
      </c>
      <c r="H799" t="s">
        <v>16</v>
      </c>
      <c r="I799" t="s">
        <v>17</v>
      </c>
      <c r="J799" t="s">
        <v>25</v>
      </c>
      <c r="K799">
        <v>0.1</v>
      </c>
      <c r="L79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799">
        <f>GhanaStream[[#This Row],[Subscription Fee]]-(GhanaStream[[#This Row],[Discount]]*GhanaStream[[#This Row],[Subscription Fee]])</f>
        <v>14580</v>
      </c>
      <c r="N799" t="str">
        <f>IF(GhanaStream[[#This Row],[Churn Flag]]="Yes","Churned","Retained")</f>
        <v>Churned</v>
      </c>
    </row>
    <row r="800" spans="1:14" x14ac:dyDescent="0.25">
      <c r="A800" t="s">
        <v>838</v>
      </c>
      <c r="B800" s="1">
        <v>45412</v>
      </c>
      <c r="C800" t="s">
        <v>20</v>
      </c>
      <c r="D800" t="s">
        <v>13</v>
      </c>
      <c r="E800">
        <v>500</v>
      </c>
      <c r="F800" t="s">
        <v>49</v>
      </c>
      <c r="G800" t="s">
        <v>15</v>
      </c>
      <c r="H800" t="s">
        <v>33</v>
      </c>
      <c r="I800" t="s">
        <v>34</v>
      </c>
      <c r="J800" t="s">
        <v>50</v>
      </c>
      <c r="K800">
        <v>0</v>
      </c>
      <c r="L80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800">
        <f>GhanaStream[[#This Row],[Subscription Fee]]-(GhanaStream[[#This Row],[Discount]]*GhanaStream[[#This Row],[Subscription Fee]])</f>
        <v>500</v>
      </c>
      <c r="N800" t="str">
        <f>IF(GhanaStream[[#This Row],[Churn Flag]]="Yes","Churned","Retained")</f>
        <v>Retained</v>
      </c>
    </row>
    <row r="801" spans="1:14" x14ac:dyDescent="0.25">
      <c r="A801" t="s">
        <v>839</v>
      </c>
      <c r="B801" s="1">
        <v>45144</v>
      </c>
      <c r="C801" t="s">
        <v>12</v>
      </c>
      <c r="D801" t="s">
        <v>27</v>
      </c>
      <c r="E801">
        <v>16200</v>
      </c>
      <c r="F801" t="s">
        <v>32</v>
      </c>
      <c r="G801" t="s">
        <v>15</v>
      </c>
      <c r="H801" t="s">
        <v>16</v>
      </c>
      <c r="I801" t="s">
        <v>17</v>
      </c>
      <c r="J801" t="s">
        <v>66</v>
      </c>
      <c r="K801">
        <v>0.1</v>
      </c>
      <c r="L80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801">
        <f>GhanaStream[[#This Row],[Subscription Fee]]-(GhanaStream[[#This Row],[Discount]]*GhanaStream[[#This Row],[Subscription Fee]])</f>
        <v>14580</v>
      </c>
      <c r="N801" t="str">
        <f>IF(GhanaStream[[#This Row],[Churn Flag]]="Yes","Churned","Retained")</f>
        <v>Churned</v>
      </c>
    </row>
    <row r="802" spans="1:14" x14ac:dyDescent="0.25">
      <c r="A802" t="s">
        <v>840</v>
      </c>
      <c r="B802" s="1">
        <v>45435</v>
      </c>
      <c r="C802" t="s">
        <v>20</v>
      </c>
      <c r="D802" t="s">
        <v>27</v>
      </c>
      <c r="E802">
        <v>5400</v>
      </c>
      <c r="F802" t="s">
        <v>49</v>
      </c>
      <c r="G802" t="s">
        <v>28</v>
      </c>
      <c r="H802" t="s">
        <v>16</v>
      </c>
      <c r="I802" t="s">
        <v>17</v>
      </c>
      <c r="J802" t="s">
        <v>18</v>
      </c>
      <c r="K802">
        <v>0.1</v>
      </c>
      <c r="L80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802">
        <f>GhanaStream[[#This Row],[Subscription Fee]]-(GhanaStream[[#This Row],[Discount]]*GhanaStream[[#This Row],[Subscription Fee]])</f>
        <v>4860</v>
      </c>
      <c r="N802" t="str">
        <f>IF(GhanaStream[[#This Row],[Churn Flag]]="Yes","Churned","Retained")</f>
        <v>Churned</v>
      </c>
    </row>
    <row r="803" spans="1:14" x14ac:dyDescent="0.25">
      <c r="A803" t="s">
        <v>841</v>
      </c>
      <c r="B803" s="1">
        <v>45168</v>
      </c>
      <c r="C803" t="s">
        <v>12</v>
      </c>
      <c r="D803" t="s">
        <v>27</v>
      </c>
      <c r="E803">
        <v>16200</v>
      </c>
      <c r="F803" t="s">
        <v>32</v>
      </c>
      <c r="G803" t="s">
        <v>28</v>
      </c>
      <c r="H803" t="s">
        <v>33</v>
      </c>
      <c r="I803" t="s">
        <v>34</v>
      </c>
      <c r="J803" t="s">
        <v>66</v>
      </c>
      <c r="K803">
        <v>0.1</v>
      </c>
      <c r="L80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803">
        <f>GhanaStream[[#This Row],[Subscription Fee]]-(GhanaStream[[#This Row],[Discount]]*GhanaStream[[#This Row],[Subscription Fee]])</f>
        <v>14580</v>
      </c>
      <c r="N803" t="str">
        <f>IF(GhanaStream[[#This Row],[Churn Flag]]="Yes","Churned","Retained")</f>
        <v>Retained</v>
      </c>
    </row>
    <row r="804" spans="1:14" x14ac:dyDescent="0.25">
      <c r="A804" t="s">
        <v>842</v>
      </c>
      <c r="B804" s="1">
        <v>45019</v>
      </c>
      <c r="C804" t="s">
        <v>20</v>
      </c>
      <c r="D804" t="s">
        <v>13</v>
      </c>
      <c r="E804">
        <v>500</v>
      </c>
      <c r="F804" t="s">
        <v>49</v>
      </c>
      <c r="G804" t="s">
        <v>15</v>
      </c>
      <c r="H804" t="s">
        <v>33</v>
      </c>
      <c r="I804" t="s">
        <v>34</v>
      </c>
      <c r="J804" t="s">
        <v>58</v>
      </c>
      <c r="K804">
        <v>0</v>
      </c>
      <c r="L80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804">
        <f>GhanaStream[[#This Row],[Subscription Fee]]-(GhanaStream[[#This Row],[Discount]]*GhanaStream[[#This Row],[Subscription Fee]])</f>
        <v>500</v>
      </c>
      <c r="N804" t="str">
        <f>IF(GhanaStream[[#This Row],[Churn Flag]]="Yes","Churned","Retained")</f>
        <v>Retained</v>
      </c>
    </row>
    <row r="805" spans="1:14" x14ac:dyDescent="0.25">
      <c r="A805" t="s">
        <v>843</v>
      </c>
      <c r="B805" s="1">
        <v>45466</v>
      </c>
      <c r="C805" t="s">
        <v>31</v>
      </c>
      <c r="D805" t="s">
        <v>13</v>
      </c>
      <c r="E805">
        <v>1000</v>
      </c>
      <c r="F805" t="s">
        <v>49</v>
      </c>
      <c r="G805" t="s">
        <v>24</v>
      </c>
      <c r="H805" t="s">
        <v>33</v>
      </c>
      <c r="I805" t="s">
        <v>34</v>
      </c>
      <c r="J805" t="s">
        <v>58</v>
      </c>
      <c r="K805">
        <v>0</v>
      </c>
      <c r="L80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805">
        <f>GhanaStream[[#This Row],[Subscription Fee]]-(GhanaStream[[#This Row],[Discount]]*GhanaStream[[#This Row],[Subscription Fee]])</f>
        <v>1000</v>
      </c>
      <c r="N805" t="str">
        <f>IF(GhanaStream[[#This Row],[Churn Flag]]="Yes","Churned","Retained")</f>
        <v>Retained</v>
      </c>
    </row>
    <row r="806" spans="1:14" x14ac:dyDescent="0.25">
      <c r="A806" t="s">
        <v>844</v>
      </c>
      <c r="B806" s="1">
        <v>45352</v>
      </c>
      <c r="C806" t="s">
        <v>20</v>
      </c>
      <c r="D806" t="s">
        <v>27</v>
      </c>
      <c r="E806">
        <v>5400</v>
      </c>
      <c r="F806" t="s">
        <v>14</v>
      </c>
      <c r="G806" t="s">
        <v>24</v>
      </c>
      <c r="H806" t="s">
        <v>16</v>
      </c>
      <c r="I806" t="s">
        <v>17</v>
      </c>
      <c r="J806" t="s">
        <v>37</v>
      </c>
      <c r="K806">
        <v>0.1</v>
      </c>
      <c r="L80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806">
        <f>GhanaStream[[#This Row],[Subscription Fee]]-(GhanaStream[[#This Row],[Discount]]*GhanaStream[[#This Row],[Subscription Fee]])</f>
        <v>4860</v>
      </c>
      <c r="N806" t="str">
        <f>IF(GhanaStream[[#This Row],[Churn Flag]]="Yes","Churned","Retained")</f>
        <v>Churned</v>
      </c>
    </row>
    <row r="807" spans="1:14" x14ac:dyDescent="0.25">
      <c r="A807" t="s">
        <v>845</v>
      </c>
      <c r="B807" s="1">
        <v>45221</v>
      </c>
      <c r="C807" t="s">
        <v>20</v>
      </c>
      <c r="D807" t="s">
        <v>13</v>
      </c>
      <c r="E807">
        <v>500</v>
      </c>
      <c r="F807" t="s">
        <v>14</v>
      </c>
      <c r="G807" t="s">
        <v>28</v>
      </c>
      <c r="H807" t="s">
        <v>33</v>
      </c>
      <c r="I807" t="s">
        <v>34</v>
      </c>
      <c r="J807" t="s">
        <v>41</v>
      </c>
      <c r="K807">
        <v>0</v>
      </c>
      <c r="L80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807">
        <f>GhanaStream[[#This Row],[Subscription Fee]]-(GhanaStream[[#This Row],[Discount]]*GhanaStream[[#This Row],[Subscription Fee]])</f>
        <v>500</v>
      </c>
      <c r="N807" t="str">
        <f>IF(GhanaStream[[#This Row],[Churn Flag]]="Yes","Churned","Retained")</f>
        <v>Retained</v>
      </c>
    </row>
    <row r="808" spans="1:14" x14ac:dyDescent="0.25">
      <c r="A808" t="s">
        <v>846</v>
      </c>
      <c r="B808" s="1">
        <v>45541</v>
      </c>
      <c r="C808" t="s">
        <v>12</v>
      </c>
      <c r="D808" t="s">
        <v>13</v>
      </c>
      <c r="E808">
        <v>1500</v>
      </c>
      <c r="F808" t="s">
        <v>49</v>
      </c>
      <c r="G808" t="s">
        <v>28</v>
      </c>
      <c r="H808" t="s">
        <v>16</v>
      </c>
      <c r="I808" t="s">
        <v>17</v>
      </c>
      <c r="J808" t="s">
        <v>35</v>
      </c>
      <c r="K808">
        <v>0</v>
      </c>
      <c r="L80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808">
        <f>GhanaStream[[#This Row],[Subscription Fee]]-(GhanaStream[[#This Row],[Discount]]*GhanaStream[[#This Row],[Subscription Fee]])</f>
        <v>1500</v>
      </c>
      <c r="N808" t="str">
        <f>IF(GhanaStream[[#This Row],[Churn Flag]]="Yes","Churned","Retained")</f>
        <v>Churned</v>
      </c>
    </row>
    <row r="809" spans="1:14" x14ac:dyDescent="0.25">
      <c r="A809" t="s">
        <v>847</v>
      </c>
      <c r="B809" s="1">
        <v>45596</v>
      </c>
      <c r="C809" t="s">
        <v>12</v>
      </c>
      <c r="D809" t="s">
        <v>27</v>
      </c>
      <c r="E809">
        <v>16200</v>
      </c>
      <c r="F809" t="s">
        <v>14</v>
      </c>
      <c r="G809" t="s">
        <v>24</v>
      </c>
      <c r="H809" t="s">
        <v>16</v>
      </c>
      <c r="I809" t="s">
        <v>17</v>
      </c>
      <c r="J809" t="s">
        <v>37</v>
      </c>
      <c r="K809">
        <v>0.1</v>
      </c>
      <c r="L80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809">
        <f>GhanaStream[[#This Row],[Subscription Fee]]-(GhanaStream[[#This Row],[Discount]]*GhanaStream[[#This Row],[Subscription Fee]])</f>
        <v>14580</v>
      </c>
      <c r="N809" t="str">
        <f>IF(GhanaStream[[#This Row],[Churn Flag]]="Yes","Churned","Retained")</f>
        <v>Churned</v>
      </c>
    </row>
    <row r="810" spans="1:14" x14ac:dyDescent="0.25">
      <c r="A810" t="s">
        <v>848</v>
      </c>
      <c r="B810" s="1">
        <v>45211</v>
      </c>
      <c r="C810" t="s">
        <v>20</v>
      </c>
      <c r="D810" t="s">
        <v>13</v>
      </c>
      <c r="E810">
        <v>500</v>
      </c>
      <c r="F810" t="s">
        <v>14</v>
      </c>
      <c r="G810" t="s">
        <v>24</v>
      </c>
      <c r="H810" t="s">
        <v>16</v>
      </c>
      <c r="I810" t="s">
        <v>17</v>
      </c>
      <c r="J810" t="s">
        <v>37</v>
      </c>
      <c r="K810">
        <v>0</v>
      </c>
      <c r="L81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810">
        <f>GhanaStream[[#This Row],[Subscription Fee]]-(GhanaStream[[#This Row],[Discount]]*GhanaStream[[#This Row],[Subscription Fee]])</f>
        <v>500</v>
      </c>
      <c r="N810" t="str">
        <f>IF(GhanaStream[[#This Row],[Churn Flag]]="Yes","Churned","Retained")</f>
        <v>Churned</v>
      </c>
    </row>
    <row r="811" spans="1:14" x14ac:dyDescent="0.25">
      <c r="A811" t="s">
        <v>849</v>
      </c>
      <c r="B811" s="1">
        <v>45420</v>
      </c>
      <c r="C811" t="s">
        <v>12</v>
      </c>
      <c r="D811" t="s">
        <v>13</v>
      </c>
      <c r="E811">
        <v>1500</v>
      </c>
      <c r="F811" t="s">
        <v>21</v>
      </c>
      <c r="G811" t="s">
        <v>15</v>
      </c>
      <c r="H811" t="s">
        <v>16</v>
      </c>
      <c r="I811" t="s">
        <v>17</v>
      </c>
      <c r="J811" t="s">
        <v>18</v>
      </c>
      <c r="K811">
        <v>0</v>
      </c>
      <c r="L81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811">
        <f>GhanaStream[[#This Row],[Subscription Fee]]-(GhanaStream[[#This Row],[Discount]]*GhanaStream[[#This Row],[Subscription Fee]])</f>
        <v>1500</v>
      </c>
      <c r="N811" t="str">
        <f>IF(GhanaStream[[#This Row],[Churn Flag]]="Yes","Churned","Retained")</f>
        <v>Churned</v>
      </c>
    </row>
    <row r="812" spans="1:14" x14ac:dyDescent="0.25">
      <c r="A812" t="s">
        <v>850</v>
      </c>
      <c r="B812" s="1">
        <v>45358</v>
      </c>
      <c r="C812" t="s">
        <v>12</v>
      </c>
      <c r="D812" t="s">
        <v>27</v>
      </c>
      <c r="E812">
        <v>16200</v>
      </c>
      <c r="F812" t="s">
        <v>21</v>
      </c>
      <c r="G812" t="s">
        <v>28</v>
      </c>
      <c r="H812" t="s">
        <v>33</v>
      </c>
      <c r="I812" t="s">
        <v>34</v>
      </c>
      <c r="J812" t="s">
        <v>29</v>
      </c>
      <c r="K812">
        <v>0.1</v>
      </c>
      <c r="L81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812">
        <f>GhanaStream[[#This Row],[Subscription Fee]]-(GhanaStream[[#This Row],[Discount]]*GhanaStream[[#This Row],[Subscription Fee]])</f>
        <v>14580</v>
      </c>
      <c r="N812" t="str">
        <f>IF(GhanaStream[[#This Row],[Churn Flag]]="Yes","Churned","Retained")</f>
        <v>Retained</v>
      </c>
    </row>
    <row r="813" spans="1:14" x14ac:dyDescent="0.25">
      <c r="A813" t="s">
        <v>851</v>
      </c>
      <c r="B813" s="1">
        <v>45337</v>
      </c>
      <c r="C813" t="s">
        <v>12</v>
      </c>
      <c r="D813" t="s">
        <v>27</v>
      </c>
      <c r="E813">
        <v>16200</v>
      </c>
      <c r="F813" t="s">
        <v>49</v>
      </c>
      <c r="G813" t="s">
        <v>15</v>
      </c>
      <c r="H813" t="s">
        <v>33</v>
      </c>
      <c r="I813" t="s">
        <v>34</v>
      </c>
      <c r="J813" t="s">
        <v>25</v>
      </c>
      <c r="K813">
        <v>0.1</v>
      </c>
      <c r="L81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813">
        <f>GhanaStream[[#This Row],[Subscription Fee]]-(GhanaStream[[#This Row],[Discount]]*GhanaStream[[#This Row],[Subscription Fee]])</f>
        <v>14580</v>
      </c>
      <c r="N813" t="str">
        <f>IF(GhanaStream[[#This Row],[Churn Flag]]="Yes","Churned","Retained")</f>
        <v>Retained</v>
      </c>
    </row>
    <row r="814" spans="1:14" x14ac:dyDescent="0.25">
      <c r="A814" t="s">
        <v>852</v>
      </c>
      <c r="B814" s="1">
        <v>45455</v>
      </c>
      <c r="C814" t="s">
        <v>31</v>
      </c>
      <c r="D814" t="s">
        <v>27</v>
      </c>
      <c r="E814">
        <v>10800</v>
      </c>
      <c r="F814" t="s">
        <v>32</v>
      </c>
      <c r="G814" t="s">
        <v>28</v>
      </c>
      <c r="H814" t="s">
        <v>16</v>
      </c>
      <c r="I814" t="s">
        <v>17</v>
      </c>
      <c r="J814" t="s">
        <v>25</v>
      </c>
      <c r="K814">
        <v>0.1</v>
      </c>
      <c r="L81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814">
        <f>GhanaStream[[#This Row],[Subscription Fee]]-(GhanaStream[[#This Row],[Discount]]*GhanaStream[[#This Row],[Subscription Fee]])</f>
        <v>9720</v>
      </c>
      <c r="N814" t="str">
        <f>IF(GhanaStream[[#This Row],[Churn Flag]]="Yes","Churned","Retained")</f>
        <v>Churned</v>
      </c>
    </row>
    <row r="815" spans="1:14" x14ac:dyDescent="0.25">
      <c r="A815" t="s">
        <v>853</v>
      </c>
      <c r="B815" s="1">
        <v>45633</v>
      </c>
      <c r="C815" t="s">
        <v>12</v>
      </c>
      <c r="D815" t="s">
        <v>13</v>
      </c>
      <c r="E815">
        <v>1500</v>
      </c>
      <c r="F815" t="s">
        <v>21</v>
      </c>
      <c r="G815" t="s">
        <v>15</v>
      </c>
      <c r="H815" t="s">
        <v>16</v>
      </c>
      <c r="I815" t="s">
        <v>17</v>
      </c>
      <c r="J815" t="s">
        <v>18</v>
      </c>
      <c r="K815">
        <v>0</v>
      </c>
      <c r="L81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815">
        <f>GhanaStream[[#This Row],[Subscription Fee]]-(GhanaStream[[#This Row],[Discount]]*GhanaStream[[#This Row],[Subscription Fee]])</f>
        <v>1500</v>
      </c>
      <c r="N815" t="str">
        <f>IF(GhanaStream[[#This Row],[Churn Flag]]="Yes","Churned","Retained")</f>
        <v>Churned</v>
      </c>
    </row>
    <row r="816" spans="1:14" x14ac:dyDescent="0.25">
      <c r="A816" t="s">
        <v>854</v>
      </c>
      <c r="B816" s="1">
        <v>45157</v>
      </c>
      <c r="C816" t="s">
        <v>12</v>
      </c>
      <c r="D816" t="s">
        <v>27</v>
      </c>
      <c r="E816">
        <v>16200</v>
      </c>
      <c r="F816" t="s">
        <v>32</v>
      </c>
      <c r="G816" t="s">
        <v>15</v>
      </c>
      <c r="H816" t="s">
        <v>33</v>
      </c>
      <c r="I816" t="s">
        <v>34</v>
      </c>
      <c r="J816" t="s">
        <v>39</v>
      </c>
      <c r="K816">
        <v>0.1</v>
      </c>
      <c r="L81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816">
        <f>GhanaStream[[#This Row],[Subscription Fee]]-(GhanaStream[[#This Row],[Discount]]*GhanaStream[[#This Row],[Subscription Fee]])</f>
        <v>14580</v>
      </c>
      <c r="N816" t="str">
        <f>IF(GhanaStream[[#This Row],[Churn Flag]]="Yes","Churned","Retained")</f>
        <v>Retained</v>
      </c>
    </row>
    <row r="817" spans="1:14" x14ac:dyDescent="0.25">
      <c r="A817" t="s">
        <v>855</v>
      </c>
      <c r="B817" s="1">
        <v>45312</v>
      </c>
      <c r="C817" t="s">
        <v>20</v>
      </c>
      <c r="D817" t="s">
        <v>13</v>
      </c>
      <c r="E817">
        <v>500</v>
      </c>
      <c r="F817" t="s">
        <v>32</v>
      </c>
      <c r="G817" t="s">
        <v>28</v>
      </c>
      <c r="H817" t="s">
        <v>16</v>
      </c>
      <c r="I817" t="s">
        <v>17</v>
      </c>
      <c r="J817" t="s">
        <v>44</v>
      </c>
      <c r="K817">
        <v>0</v>
      </c>
      <c r="L81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817">
        <f>GhanaStream[[#This Row],[Subscription Fee]]-(GhanaStream[[#This Row],[Discount]]*GhanaStream[[#This Row],[Subscription Fee]])</f>
        <v>500</v>
      </c>
      <c r="N817" t="str">
        <f>IF(GhanaStream[[#This Row],[Churn Flag]]="Yes","Churned","Retained")</f>
        <v>Churned</v>
      </c>
    </row>
    <row r="818" spans="1:14" x14ac:dyDescent="0.25">
      <c r="A818" t="s">
        <v>856</v>
      </c>
      <c r="B818" s="1">
        <v>45513</v>
      </c>
      <c r="C818" t="s">
        <v>12</v>
      </c>
      <c r="D818" t="s">
        <v>27</v>
      </c>
      <c r="E818">
        <v>16200</v>
      </c>
      <c r="F818" t="s">
        <v>21</v>
      </c>
      <c r="G818" t="s">
        <v>28</v>
      </c>
      <c r="H818" t="s">
        <v>33</v>
      </c>
      <c r="I818" t="s">
        <v>34</v>
      </c>
      <c r="J818" t="s">
        <v>18</v>
      </c>
      <c r="K818">
        <v>0.1</v>
      </c>
      <c r="L81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818">
        <f>GhanaStream[[#This Row],[Subscription Fee]]-(GhanaStream[[#This Row],[Discount]]*GhanaStream[[#This Row],[Subscription Fee]])</f>
        <v>14580</v>
      </c>
      <c r="N818" t="str">
        <f>IF(GhanaStream[[#This Row],[Churn Flag]]="Yes","Churned","Retained")</f>
        <v>Retained</v>
      </c>
    </row>
    <row r="819" spans="1:14" x14ac:dyDescent="0.25">
      <c r="A819" t="s">
        <v>857</v>
      </c>
      <c r="B819" s="1">
        <v>45396</v>
      </c>
      <c r="C819" t="s">
        <v>12</v>
      </c>
      <c r="D819" t="s">
        <v>13</v>
      </c>
      <c r="E819">
        <v>1500</v>
      </c>
      <c r="F819" t="s">
        <v>49</v>
      </c>
      <c r="G819" t="s">
        <v>24</v>
      </c>
      <c r="H819" t="s">
        <v>16</v>
      </c>
      <c r="I819" t="s">
        <v>17</v>
      </c>
      <c r="J819" t="s">
        <v>18</v>
      </c>
      <c r="K819">
        <v>0</v>
      </c>
      <c r="L81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819">
        <f>GhanaStream[[#This Row],[Subscription Fee]]-(GhanaStream[[#This Row],[Discount]]*GhanaStream[[#This Row],[Subscription Fee]])</f>
        <v>1500</v>
      </c>
      <c r="N819" t="str">
        <f>IF(GhanaStream[[#This Row],[Churn Flag]]="Yes","Churned","Retained")</f>
        <v>Churned</v>
      </c>
    </row>
    <row r="820" spans="1:14" x14ac:dyDescent="0.25">
      <c r="A820" t="s">
        <v>858</v>
      </c>
      <c r="B820" s="1">
        <v>45100</v>
      </c>
      <c r="C820" t="s">
        <v>12</v>
      </c>
      <c r="D820" t="s">
        <v>27</v>
      </c>
      <c r="E820">
        <v>16200</v>
      </c>
      <c r="F820" t="s">
        <v>14</v>
      </c>
      <c r="G820" t="s">
        <v>28</v>
      </c>
      <c r="H820" t="s">
        <v>16</v>
      </c>
      <c r="I820" t="s">
        <v>17</v>
      </c>
      <c r="J820" t="s">
        <v>18</v>
      </c>
      <c r="K820">
        <v>0.1</v>
      </c>
      <c r="L82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820">
        <f>GhanaStream[[#This Row],[Subscription Fee]]-(GhanaStream[[#This Row],[Discount]]*GhanaStream[[#This Row],[Subscription Fee]])</f>
        <v>14580</v>
      </c>
      <c r="N820" t="str">
        <f>IF(GhanaStream[[#This Row],[Churn Flag]]="Yes","Churned","Retained")</f>
        <v>Churned</v>
      </c>
    </row>
    <row r="821" spans="1:14" x14ac:dyDescent="0.25">
      <c r="A821" t="s">
        <v>859</v>
      </c>
      <c r="B821" s="1">
        <v>45316</v>
      </c>
      <c r="C821" t="s">
        <v>12</v>
      </c>
      <c r="D821" t="s">
        <v>27</v>
      </c>
      <c r="E821">
        <v>16200</v>
      </c>
      <c r="F821" t="s">
        <v>49</v>
      </c>
      <c r="G821" t="s">
        <v>24</v>
      </c>
      <c r="H821" t="s">
        <v>16</v>
      </c>
      <c r="I821" t="s">
        <v>17</v>
      </c>
      <c r="J821" t="s">
        <v>35</v>
      </c>
      <c r="K821">
        <v>0.1</v>
      </c>
      <c r="L82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821">
        <f>GhanaStream[[#This Row],[Subscription Fee]]-(GhanaStream[[#This Row],[Discount]]*GhanaStream[[#This Row],[Subscription Fee]])</f>
        <v>14580</v>
      </c>
      <c r="N821" t="str">
        <f>IF(GhanaStream[[#This Row],[Churn Flag]]="Yes","Churned","Retained")</f>
        <v>Churned</v>
      </c>
    </row>
    <row r="822" spans="1:14" x14ac:dyDescent="0.25">
      <c r="A822" t="s">
        <v>860</v>
      </c>
      <c r="B822" s="1">
        <v>45405</v>
      </c>
      <c r="C822" t="s">
        <v>20</v>
      </c>
      <c r="D822" t="s">
        <v>13</v>
      </c>
      <c r="E822">
        <v>500</v>
      </c>
      <c r="F822" t="s">
        <v>49</v>
      </c>
      <c r="G822" t="s">
        <v>24</v>
      </c>
      <c r="H822" t="s">
        <v>33</v>
      </c>
      <c r="I822" t="s">
        <v>34</v>
      </c>
      <c r="J822" t="s">
        <v>50</v>
      </c>
      <c r="K822">
        <v>0</v>
      </c>
      <c r="L82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822">
        <f>GhanaStream[[#This Row],[Subscription Fee]]-(GhanaStream[[#This Row],[Discount]]*GhanaStream[[#This Row],[Subscription Fee]])</f>
        <v>500</v>
      </c>
      <c r="N822" t="str">
        <f>IF(GhanaStream[[#This Row],[Churn Flag]]="Yes","Churned","Retained")</f>
        <v>Retained</v>
      </c>
    </row>
    <row r="823" spans="1:14" x14ac:dyDescent="0.25">
      <c r="A823" t="s">
        <v>861</v>
      </c>
      <c r="B823" s="1">
        <v>45125</v>
      </c>
      <c r="C823" t="s">
        <v>20</v>
      </c>
      <c r="D823" t="s">
        <v>13</v>
      </c>
      <c r="E823">
        <v>500</v>
      </c>
      <c r="F823" t="s">
        <v>21</v>
      </c>
      <c r="G823" t="s">
        <v>15</v>
      </c>
      <c r="H823" t="s">
        <v>16</v>
      </c>
      <c r="I823" t="s">
        <v>17</v>
      </c>
      <c r="J823" t="s">
        <v>18</v>
      </c>
      <c r="K823">
        <v>0</v>
      </c>
      <c r="L82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823">
        <f>GhanaStream[[#This Row],[Subscription Fee]]-(GhanaStream[[#This Row],[Discount]]*GhanaStream[[#This Row],[Subscription Fee]])</f>
        <v>500</v>
      </c>
      <c r="N823" t="str">
        <f>IF(GhanaStream[[#This Row],[Churn Flag]]="Yes","Churned","Retained")</f>
        <v>Churned</v>
      </c>
    </row>
    <row r="824" spans="1:14" x14ac:dyDescent="0.25">
      <c r="A824" t="s">
        <v>862</v>
      </c>
      <c r="B824" s="1">
        <v>45147</v>
      </c>
      <c r="C824" t="s">
        <v>31</v>
      </c>
      <c r="D824" t="s">
        <v>27</v>
      </c>
      <c r="E824">
        <v>10800</v>
      </c>
      <c r="F824" t="s">
        <v>21</v>
      </c>
      <c r="G824" t="s">
        <v>28</v>
      </c>
      <c r="H824" t="s">
        <v>16</v>
      </c>
      <c r="I824" t="s">
        <v>17</v>
      </c>
      <c r="J824" t="s">
        <v>29</v>
      </c>
      <c r="K824">
        <v>0.1</v>
      </c>
      <c r="L82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824">
        <f>GhanaStream[[#This Row],[Subscription Fee]]-(GhanaStream[[#This Row],[Discount]]*GhanaStream[[#This Row],[Subscription Fee]])</f>
        <v>9720</v>
      </c>
      <c r="N824" t="str">
        <f>IF(GhanaStream[[#This Row],[Churn Flag]]="Yes","Churned","Retained")</f>
        <v>Churned</v>
      </c>
    </row>
    <row r="825" spans="1:14" x14ac:dyDescent="0.25">
      <c r="A825" t="s">
        <v>863</v>
      </c>
      <c r="B825" s="1">
        <v>45378</v>
      </c>
      <c r="C825" t="s">
        <v>20</v>
      </c>
      <c r="D825" t="s">
        <v>13</v>
      </c>
      <c r="E825">
        <v>500</v>
      </c>
      <c r="F825" t="s">
        <v>21</v>
      </c>
      <c r="G825" t="s">
        <v>24</v>
      </c>
      <c r="H825" t="s">
        <v>16</v>
      </c>
      <c r="I825" t="s">
        <v>17</v>
      </c>
      <c r="J825" t="s">
        <v>25</v>
      </c>
      <c r="K825">
        <v>0</v>
      </c>
      <c r="L82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825">
        <f>GhanaStream[[#This Row],[Subscription Fee]]-(GhanaStream[[#This Row],[Discount]]*GhanaStream[[#This Row],[Subscription Fee]])</f>
        <v>500</v>
      </c>
      <c r="N825" t="str">
        <f>IF(GhanaStream[[#This Row],[Churn Flag]]="Yes","Churned","Retained")</f>
        <v>Churned</v>
      </c>
    </row>
    <row r="826" spans="1:14" x14ac:dyDescent="0.25">
      <c r="A826" t="s">
        <v>864</v>
      </c>
      <c r="B826" s="1">
        <v>45110</v>
      </c>
      <c r="C826" t="s">
        <v>20</v>
      </c>
      <c r="D826" t="s">
        <v>27</v>
      </c>
      <c r="E826">
        <v>5400</v>
      </c>
      <c r="F826" t="s">
        <v>49</v>
      </c>
      <c r="G826" t="s">
        <v>24</v>
      </c>
      <c r="H826" t="s">
        <v>16</v>
      </c>
      <c r="I826" t="s">
        <v>17</v>
      </c>
      <c r="J826" t="s">
        <v>58</v>
      </c>
      <c r="K826">
        <v>0.1</v>
      </c>
      <c r="L82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826">
        <f>GhanaStream[[#This Row],[Subscription Fee]]-(GhanaStream[[#This Row],[Discount]]*GhanaStream[[#This Row],[Subscription Fee]])</f>
        <v>4860</v>
      </c>
      <c r="N826" t="str">
        <f>IF(GhanaStream[[#This Row],[Churn Flag]]="Yes","Churned","Retained")</f>
        <v>Churned</v>
      </c>
    </row>
    <row r="827" spans="1:14" x14ac:dyDescent="0.25">
      <c r="A827" t="s">
        <v>865</v>
      </c>
      <c r="B827" s="1">
        <v>45156</v>
      </c>
      <c r="C827" t="s">
        <v>20</v>
      </c>
      <c r="D827" t="s">
        <v>13</v>
      </c>
      <c r="E827">
        <v>500</v>
      </c>
      <c r="F827" t="s">
        <v>21</v>
      </c>
      <c r="G827" t="s">
        <v>28</v>
      </c>
      <c r="H827" t="s">
        <v>16</v>
      </c>
      <c r="I827" t="s">
        <v>17</v>
      </c>
      <c r="J827" t="s">
        <v>18</v>
      </c>
      <c r="K827">
        <v>0</v>
      </c>
      <c r="L82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827">
        <f>GhanaStream[[#This Row],[Subscription Fee]]-(GhanaStream[[#This Row],[Discount]]*GhanaStream[[#This Row],[Subscription Fee]])</f>
        <v>500</v>
      </c>
      <c r="N827" t="str">
        <f>IF(GhanaStream[[#This Row],[Churn Flag]]="Yes","Churned","Retained")</f>
        <v>Churned</v>
      </c>
    </row>
    <row r="828" spans="1:14" x14ac:dyDescent="0.25">
      <c r="A828" t="s">
        <v>866</v>
      </c>
      <c r="B828" s="1">
        <v>45298</v>
      </c>
      <c r="C828" t="s">
        <v>12</v>
      </c>
      <c r="D828" t="s">
        <v>27</v>
      </c>
      <c r="E828">
        <v>16200</v>
      </c>
      <c r="F828" t="s">
        <v>21</v>
      </c>
      <c r="G828" t="s">
        <v>15</v>
      </c>
      <c r="H828" t="s">
        <v>16</v>
      </c>
      <c r="I828" t="s">
        <v>17</v>
      </c>
      <c r="J828" t="s">
        <v>29</v>
      </c>
      <c r="K828">
        <v>0.1</v>
      </c>
      <c r="L82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828">
        <f>GhanaStream[[#This Row],[Subscription Fee]]-(GhanaStream[[#This Row],[Discount]]*GhanaStream[[#This Row],[Subscription Fee]])</f>
        <v>14580</v>
      </c>
      <c r="N828" t="str">
        <f>IF(GhanaStream[[#This Row],[Churn Flag]]="Yes","Churned","Retained")</f>
        <v>Churned</v>
      </c>
    </row>
    <row r="829" spans="1:14" x14ac:dyDescent="0.25">
      <c r="A829" t="s">
        <v>867</v>
      </c>
      <c r="B829" s="1">
        <v>45172</v>
      </c>
      <c r="C829" t="s">
        <v>12</v>
      </c>
      <c r="D829" t="s">
        <v>13</v>
      </c>
      <c r="E829">
        <v>1500</v>
      </c>
      <c r="F829" t="s">
        <v>14</v>
      </c>
      <c r="G829" t="s">
        <v>28</v>
      </c>
      <c r="H829" t="s">
        <v>16</v>
      </c>
      <c r="I829" t="s">
        <v>17</v>
      </c>
      <c r="J829" t="s">
        <v>22</v>
      </c>
      <c r="K829">
        <v>0</v>
      </c>
      <c r="L82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829">
        <f>GhanaStream[[#This Row],[Subscription Fee]]-(GhanaStream[[#This Row],[Discount]]*GhanaStream[[#This Row],[Subscription Fee]])</f>
        <v>1500</v>
      </c>
      <c r="N829" t="str">
        <f>IF(GhanaStream[[#This Row],[Churn Flag]]="Yes","Churned","Retained")</f>
        <v>Churned</v>
      </c>
    </row>
    <row r="830" spans="1:14" x14ac:dyDescent="0.25">
      <c r="A830" t="s">
        <v>868</v>
      </c>
      <c r="B830" s="1">
        <v>45435</v>
      </c>
      <c r="C830" t="s">
        <v>12</v>
      </c>
      <c r="D830" t="s">
        <v>13</v>
      </c>
      <c r="E830">
        <v>1500</v>
      </c>
      <c r="F830" t="s">
        <v>32</v>
      </c>
      <c r="G830" t="s">
        <v>28</v>
      </c>
      <c r="H830" t="s">
        <v>33</v>
      </c>
      <c r="I830" t="s">
        <v>34</v>
      </c>
      <c r="J830" t="s">
        <v>44</v>
      </c>
      <c r="K830">
        <v>0</v>
      </c>
      <c r="L83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830">
        <f>GhanaStream[[#This Row],[Subscription Fee]]-(GhanaStream[[#This Row],[Discount]]*GhanaStream[[#This Row],[Subscription Fee]])</f>
        <v>1500</v>
      </c>
      <c r="N830" t="str">
        <f>IF(GhanaStream[[#This Row],[Churn Flag]]="Yes","Churned","Retained")</f>
        <v>Retained</v>
      </c>
    </row>
    <row r="831" spans="1:14" x14ac:dyDescent="0.25">
      <c r="A831" t="s">
        <v>869</v>
      </c>
      <c r="B831" s="1">
        <v>45124</v>
      </c>
      <c r="C831" t="s">
        <v>31</v>
      </c>
      <c r="D831" t="s">
        <v>27</v>
      </c>
      <c r="E831">
        <v>10800</v>
      </c>
      <c r="F831" t="s">
        <v>14</v>
      </c>
      <c r="G831" t="s">
        <v>24</v>
      </c>
      <c r="H831" t="s">
        <v>33</v>
      </c>
      <c r="I831" t="s">
        <v>34</v>
      </c>
      <c r="J831" t="s">
        <v>22</v>
      </c>
      <c r="K831">
        <v>0.1</v>
      </c>
      <c r="L83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831">
        <f>GhanaStream[[#This Row],[Subscription Fee]]-(GhanaStream[[#This Row],[Discount]]*GhanaStream[[#This Row],[Subscription Fee]])</f>
        <v>9720</v>
      </c>
      <c r="N831" t="str">
        <f>IF(GhanaStream[[#This Row],[Churn Flag]]="Yes","Churned","Retained")</f>
        <v>Retained</v>
      </c>
    </row>
    <row r="832" spans="1:14" x14ac:dyDescent="0.25">
      <c r="A832" t="s">
        <v>870</v>
      </c>
      <c r="B832" s="1">
        <v>45003</v>
      </c>
      <c r="C832" t="s">
        <v>12</v>
      </c>
      <c r="D832" t="s">
        <v>13</v>
      </c>
      <c r="E832">
        <v>1500</v>
      </c>
      <c r="F832" t="s">
        <v>14</v>
      </c>
      <c r="G832" t="s">
        <v>24</v>
      </c>
      <c r="H832" t="s">
        <v>33</v>
      </c>
      <c r="I832" t="s">
        <v>34</v>
      </c>
      <c r="J832" t="s">
        <v>55</v>
      </c>
      <c r="K832">
        <v>0</v>
      </c>
      <c r="L83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832">
        <f>GhanaStream[[#This Row],[Subscription Fee]]-(GhanaStream[[#This Row],[Discount]]*GhanaStream[[#This Row],[Subscription Fee]])</f>
        <v>1500</v>
      </c>
      <c r="N832" t="str">
        <f>IF(GhanaStream[[#This Row],[Churn Flag]]="Yes","Churned","Retained")</f>
        <v>Retained</v>
      </c>
    </row>
    <row r="833" spans="1:14" x14ac:dyDescent="0.25">
      <c r="A833" t="s">
        <v>871</v>
      </c>
      <c r="B833" s="1">
        <v>44960</v>
      </c>
      <c r="C833" t="s">
        <v>20</v>
      </c>
      <c r="D833" t="s">
        <v>27</v>
      </c>
      <c r="E833">
        <v>5400</v>
      </c>
      <c r="F833" t="s">
        <v>21</v>
      </c>
      <c r="G833" t="s">
        <v>24</v>
      </c>
      <c r="H833" t="s">
        <v>33</v>
      </c>
      <c r="I833" t="s">
        <v>34</v>
      </c>
      <c r="J833" t="s">
        <v>18</v>
      </c>
      <c r="K833">
        <v>0.1</v>
      </c>
      <c r="L83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833">
        <f>GhanaStream[[#This Row],[Subscription Fee]]-(GhanaStream[[#This Row],[Discount]]*GhanaStream[[#This Row],[Subscription Fee]])</f>
        <v>4860</v>
      </c>
      <c r="N833" t="str">
        <f>IF(GhanaStream[[#This Row],[Churn Flag]]="Yes","Churned","Retained")</f>
        <v>Retained</v>
      </c>
    </row>
    <row r="834" spans="1:14" x14ac:dyDescent="0.25">
      <c r="A834" t="s">
        <v>872</v>
      </c>
      <c r="B834" s="1">
        <v>45411</v>
      </c>
      <c r="C834" t="s">
        <v>20</v>
      </c>
      <c r="D834" t="s">
        <v>27</v>
      </c>
      <c r="E834">
        <v>5400</v>
      </c>
      <c r="F834" t="s">
        <v>32</v>
      </c>
      <c r="G834" t="s">
        <v>24</v>
      </c>
      <c r="H834" t="s">
        <v>33</v>
      </c>
      <c r="I834" t="s">
        <v>34</v>
      </c>
      <c r="J834" t="s">
        <v>66</v>
      </c>
      <c r="K834">
        <v>0.1</v>
      </c>
      <c r="L83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834">
        <f>GhanaStream[[#This Row],[Subscription Fee]]-(GhanaStream[[#This Row],[Discount]]*GhanaStream[[#This Row],[Subscription Fee]])</f>
        <v>4860</v>
      </c>
      <c r="N834" t="str">
        <f>IF(GhanaStream[[#This Row],[Churn Flag]]="Yes","Churned","Retained")</f>
        <v>Retained</v>
      </c>
    </row>
    <row r="835" spans="1:14" x14ac:dyDescent="0.25">
      <c r="A835" t="s">
        <v>873</v>
      </c>
      <c r="B835" s="1">
        <v>44957</v>
      </c>
      <c r="C835" t="s">
        <v>12</v>
      </c>
      <c r="D835" t="s">
        <v>13</v>
      </c>
      <c r="E835">
        <v>1500</v>
      </c>
      <c r="F835" t="s">
        <v>14</v>
      </c>
      <c r="G835" t="s">
        <v>28</v>
      </c>
      <c r="H835" t="s">
        <v>33</v>
      </c>
      <c r="I835" t="s">
        <v>34</v>
      </c>
      <c r="J835" t="s">
        <v>18</v>
      </c>
      <c r="K835">
        <v>0</v>
      </c>
      <c r="L83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835">
        <f>GhanaStream[[#This Row],[Subscription Fee]]-(GhanaStream[[#This Row],[Discount]]*GhanaStream[[#This Row],[Subscription Fee]])</f>
        <v>1500</v>
      </c>
      <c r="N835" t="str">
        <f>IF(GhanaStream[[#This Row],[Churn Flag]]="Yes","Churned","Retained")</f>
        <v>Retained</v>
      </c>
    </row>
    <row r="836" spans="1:14" x14ac:dyDescent="0.25">
      <c r="A836" t="s">
        <v>874</v>
      </c>
      <c r="B836" s="1">
        <v>45247</v>
      </c>
      <c r="C836" t="s">
        <v>20</v>
      </c>
      <c r="D836" t="s">
        <v>13</v>
      </c>
      <c r="E836">
        <v>500</v>
      </c>
      <c r="F836" t="s">
        <v>14</v>
      </c>
      <c r="G836" t="s">
        <v>15</v>
      </c>
      <c r="H836" t="s">
        <v>33</v>
      </c>
      <c r="I836" t="s">
        <v>34</v>
      </c>
      <c r="J836" t="s">
        <v>41</v>
      </c>
      <c r="K836">
        <v>0</v>
      </c>
      <c r="L83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836">
        <f>GhanaStream[[#This Row],[Subscription Fee]]-(GhanaStream[[#This Row],[Discount]]*GhanaStream[[#This Row],[Subscription Fee]])</f>
        <v>500</v>
      </c>
      <c r="N836" t="str">
        <f>IF(GhanaStream[[#This Row],[Churn Flag]]="Yes","Churned","Retained")</f>
        <v>Retained</v>
      </c>
    </row>
    <row r="837" spans="1:14" x14ac:dyDescent="0.25">
      <c r="A837" t="s">
        <v>875</v>
      </c>
      <c r="B837" s="1">
        <v>45466</v>
      </c>
      <c r="C837" t="s">
        <v>31</v>
      </c>
      <c r="D837" t="s">
        <v>13</v>
      </c>
      <c r="E837">
        <v>1000</v>
      </c>
      <c r="F837" t="s">
        <v>21</v>
      </c>
      <c r="G837" t="s">
        <v>24</v>
      </c>
      <c r="H837" t="s">
        <v>16</v>
      </c>
      <c r="I837" t="s">
        <v>17</v>
      </c>
      <c r="J837" t="s">
        <v>29</v>
      </c>
      <c r="K837">
        <v>0</v>
      </c>
      <c r="L83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837">
        <f>GhanaStream[[#This Row],[Subscription Fee]]-(GhanaStream[[#This Row],[Discount]]*GhanaStream[[#This Row],[Subscription Fee]])</f>
        <v>1000</v>
      </c>
      <c r="N837" t="str">
        <f>IF(GhanaStream[[#This Row],[Churn Flag]]="Yes","Churned","Retained")</f>
        <v>Churned</v>
      </c>
    </row>
    <row r="838" spans="1:14" x14ac:dyDescent="0.25">
      <c r="A838" t="s">
        <v>876</v>
      </c>
      <c r="B838" s="1">
        <v>45360</v>
      </c>
      <c r="C838" t="s">
        <v>20</v>
      </c>
      <c r="D838" t="s">
        <v>27</v>
      </c>
      <c r="E838">
        <v>5400</v>
      </c>
      <c r="F838" t="s">
        <v>21</v>
      </c>
      <c r="G838" t="s">
        <v>15</v>
      </c>
      <c r="H838" t="s">
        <v>16</v>
      </c>
      <c r="I838" t="s">
        <v>17</v>
      </c>
      <c r="J838" t="s">
        <v>18</v>
      </c>
      <c r="K838">
        <v>0.1</v>
      </c>
      <c r="L83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838">
        <f>GhanaStream[[#This Row],[Subscription Fee]]-(GhanaStream[[#This Row],[Discount]]*GhanaStream[[#This Row],[Subscription Fee]])</f>
        <v>4860</v>
      </c>
      <c r="N838" t="str">
        <f>IF(GhanaStream[[#This Row],[Churn Flag]]="Yes","Churned","Retained")</f>
        <v>Churned</v>
      </c>
    </row>
    <row r="839" spans="1:14" x14ac:dyDescent="0.25">
      <c r="A839" t="s">
        <v>877</v>
      </c>
      <c r="B839" s="1">
        <v>44947</v>
      </c>
      <c r="C839" t="s">
        <v>12</v>
      </c>
      <c r="D839" t="s">
        <v>13</v>
      </c>
      <c r="E839">
        <v>1500</v>
      </c>
      <c r="F839" t="s">
        <v>14</v>
      </c>
      <c r="G839" t="s">
        <v>28</v>
      </c>
      <c r="H839" t="s">
        <v>33</v>
      </c>
      <c r="I839" t="s">
        <v>34</v>
      </c>
      <c r="J839" t="s">
        <v>37</v>
      </c>
      <c r="K839">
        <v>0</v>
      </c>
      <c r="L83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839">
        <f>GhanaStream[[#This Row],[Subscription Fee]]-(GhanaStream[[#This Row],[Discount]]*GhanaStream[[#This Row],[Subscription Fee]])</f>
        <v>1500</v>
      </c>
      <c r="N839" t="str">
        <f>IF(GhanaStream[[#This Row],[Churn Flag]]="Yes","Churned","Retained")</f>
        <v>Retained</v>
      </c>
    </row>
    <row r="840" spans="1:14" x14ac:dyDescent="0.25">
      <c r="A840" t="s">
        <v>878</v>
      </c>
      <c r="B840" s="1">
        <v>44961</v>
      </c>
      <c r="C840" t="s">
        <v>31</v>
      </c>
      <c r="D840" t="s">
        <v>13</v>
      </c>
      <c r="E840">
        <v>1000</v>
      </c>
      <c r="F840" t="s">
        <v>49</v>
      </c>
      <c r="G840" t="s">
        <v>24</v>
      </c>
      <c r="H840" t="s">
        <v>16</v>
      </c>
      <c r="I840" t="s">
        <v>17</v>
      </c>
      <c r="J840" t="s">
        <v>25</v>
      </c>
      <c r="K840">
        <v>0</v>
      </c>
      <c r="L84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840">
        <f>GhanaStream[[#This Row],[Subscription Fee]]-(GhanaStream[[#This Row],[Discount]]*GhanaStream[[#This Row],[Subscription Fee]])</f>
        <v>1000</v>
      </c>
      <c r="N840" t="str">
        <f>IF(GhanaStream[[#This Row],[Churn Flag]]="Yes","Churned","Retained")</f>
        <v>Churned</v>
      </c>
    </row>
    <row r="841" spans="1:14" x14ac:dyDescent="0.25">
      <c r="A841" t="s">
        <v>879</v>
      </c>
      <c r="B841" s="1">
        <v>45370</v>
      </c>
      <c r="C841" t="s">
        <v>12</v>
      </c>
      <c r="D841" t="s">
        <v>13</v>
      </c>
      <c r="E841">
        <v>1500</v>
      </c>
      <c r="F841" t="s">
        <v>14</v>
      </c>
      <c r="G841" t="s">
        <v>28</v>
      </c>
      <c r="H841" t="s">
        <v>33</v>
      </c>
      <c r="I841" t="s">
        <v>34</v>
      </c>
      <c r="J841" t="s">
        <v>55</v>
      </c>
      <c r="K841">
        <v>0</v>
      </c>
      <c r="L84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841">
        <f>GhanaStream[[#This Row],[Subscription Fee]]-(GhanaStream[[#This Row],[Discount]]*GhanaStream[[#This Row],[Subscription Fee]])</f>
        <v>1500</v>
      </c>
      <c r="N841" t="str">
        <f>IF(GhanaStream[[#This Row],[Churn Flag]]="Yes","Churned","Retained")</f>
        <v>Retained</v>
      </c>
    </row>
    <row r="842" spans="1:14" x14ac:dyDescent="0.25">
      <c r="A842" t="s">
        <v>880</v>
      </c>
      <c r="B842" s="1">
        <v>45296</v>
      </c>
      <c r="C842" t="s">
        <v>20</v>
      </c>
      <c r="D842" t="s">
        <v>13</v>
      </c>
      <c r="E842">
        <v>500</v>
      </c>
      <c r="F842" t="s">
        <v>49</v>
      </c>
      <c r="G842" t="s">
        <v>24</v>
      </c>
      <c r="H842" t="s">
        <v>16</v>
      </c>
      <c r="I842" t="s">
        <v>17</v>
      </c>
      <c r="J842" t="s">
        <v>58</v>
      </c>
      <c r="K842">
        <v>0</v>
      </c>
      <c r="L84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842">
        <f>GhanaStream[[#This Row],[Subscription Fee]]-(GhanaStream[[#This Row],[Discount]]*GhanaStream[[#This Row],[Subscription Fee]])</f>
        <v>500</v>
      </c>
      <c r="N842" t="str">
        <f>IF(GhanaStream[[#This Row],[Churn Flag]]="Yes","Churned","Retained")</f>
        <v>Churned</v>
      </c>
    </row>
    <row r="843" spans="1:14" x14ac:dyDescent="0.25">
      <c r="A843" t="s">
        <v>881</v>
      </c>
      <c r="B843" s="1">
        <v>45086</v>
      </c>
      <c r="C843" t="s">
        <v>20</v>
      </c>
      <c r="D843" t="s">
        <v>27</v>
      </c>
      <c r="E843">
        <v>5400</v>
      </c>
      <c r="F843" t="s">
        <v>32</v>
      </c>
      <c r="G843" t="s">
        <v>28</v>
      </c>
      <c r="H843" t="s">
        <v>33</v>
      </c>
      <c r="I843" t="s">
        <v>34</v>
      </c>
      <c r="J843" t="s">
        <v>39</v>
      </c>
      <c r="K843">
        <v>0.1</v>
      </c>
      <c r="L84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843">
        <f>GhanaStream[[#This Row],[Subscription Fee]]-(GhanaStream[[#This Row],[Discount]]*GhanaStream[[#This Row],[Subscription Fee]])</f>
        <v>4860</v>
      </c>
      <c r="N843" t="str">
        <f>IF(GhanaStream[[#This Row],[Churn Flag]]="Yes","Churned","Retained")</f>
        <v>Retained</v>
      </c>
    </row>
    <row r="844" spans="1:14" x14ac:dyDescent="0.25">
      <c r="A844" t="s">
        <v>882</v>
      </c>
      <c r="B844" s="1">
        <v>44929</v>
      </c>
      <c r="C844" t="s">
        <v>12</v>
      </c>
      <c r="D844" t="s">
        <v>13</v>
      </c>
      <c r="E844">
        <v>1500</v>
      </c>
      <c r="F844" t="s">
        <v>49</v>
      </c>
      <c r="G844" t="s">
        <v>24</v>
      </c>
      <c r="H844" t="s">
        <v>33</v>
      </c>
      <c r="I844" t="s">
        <v>34</v>
      </c>
      <c r="J844" t="s">
        <v>22</v>
      </c>
      <c r="K844">
        <v>0</v>
      </c>
      <c r="L84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844">
        <f>GhanaStream[[#This Row],[Subscription Fee]]-(GhanaStream[[#This Row],[Discount]]*GhanaStream[[#This Row],[Subscription Fee]])</f>
        <v>1500</v>
      </c>
      <c r="N844" t="str">
        <f>IF(GhanaStream[[#This Row],[Churn Flag]]="Yes","Churned","Retained")</f>
        <v>Retained</v>
      </c>
    </row>
    <row r="845" spans="1:14" x14ac:dyDescent="0.25">
      <c r="A845" t="s">
        <v>883</v>
      </c>
      <c r="B845" s="1">
        <v>45361</v>
      </c>
      <c r="C845" t="s">
        <v>20</v>
      </c>
      <c r="D845" t="s">
        <v>13</v>
      </c>
      <c r="E845">
        <v>500</v>
      </c>
      <c r="F845" t="s">
        <v>49</v>
      </c>
      <c r="G845" t="s">
        <v>28</v>
      </c>
      <c r="H845" t="s">
        <v>16</v>
      </c>
      <c r="I845" t="s">
        <v>17</v>
      </c>
      <c r="J845" t="s">
        <v>58</v>
      </c>
      <c r="K845">
        <v>0</v>
      </c>
      <c r="L84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845">
        <f>GhanaStream[[#This Row],[Subscription Fee]]-(GhanaStream[[#This Row],[Discount]]*GhanaStream[[#This Row],[Subscription Fee]])</f>
        <v>500</v>
      </c>
      <c r="N845" t="str">
        <f>IF(GhanaStream[[#This Row],[Churn Flag]]="Yes","Churned","Retained")</f>
        <v>Churned</v>
      </c>
    </row>
    <row r="846" spans="1:14" x14ac:dyDescent="0.25">
      <c r="A846" t="s">
        <v>884</v>
      </c>
      <c r="B846" s="1">
        <v>45209</v>
      </c>
      <c r="C846" t="s">
        <v>20</v>
      </c>
      <c r="D846" t="s">
        <v>27</v>
      </c>
      <c r="E846">
        <v>5400</v>
      </c>
      <c r="F846" t="s">
        <v>14</v>
      </c>
      <c r="G846" t="s">
        <v>15</v>
      </c>
      <c r="H846" t="s">
        <v>33</v>
      </c>
      <c r="I846" t="s">
        <v>34</v>
      </c>
      <c r="J846" t="s">
        <v>18</v>
      </c>
      <c r="K846">
        <v>0.1</v>
      </c>
      <c r="L84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846">
        <f>GhanaStream[[#This Row],[Subscription Fee]]-(GhanaStream[[#This Row],[Discount]]*GhanaStream[[#This Row],[Subscription Fee]])</f>
        <v>4860</v>
      </c>
      <c r="N846" t="str">
        <f>IF(GhanaStream[[#This Row],[Churn Flag]]="Yes","Churned","Retained")</f>
        <v>Retained</v>
      </c>
    </row>
    <row r="847" spans="1:14" x14ac:dyDescent="0.25">
      <c r="A847" t="s">
        <v>885</v>
      </c>
      <c r="B847" s="1">
        <v>45265</v>
      </c>
      <c r="C847" t="s">
        <v>20</v>
      </c>
      <c r="D847" t="s">
        <v>13</v>
      </c>
      <c r="E847">
        <v>500</v>
      </c>
      <c r="F847" t="s">
        <v>49</v>
      </c>
      <c r="G847" t="s">
        <v>24</v>
      </c>
      <c r="H847" t="s">
        <v>33</v>
      </c>
      <c r="I847" t="s">
        <v>34</v>
      </c>
      <c r="J847" t="s">
        <v>35</v>
      </c>
      <c r="K847">
        <v>0</v>
      </c>
      <c r="L84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847">
        <f>GhanaStream[[#This Row],[Subscription Fee]]-(GhanaStream[[#This Row],[Discount]]*GhanaStream[[#This Row],[Subscription Fee]])</f>
        <v>500</v>
      </c>
      <c r="N847" t="str">
        <f>IF(GhanaStream[[#This Row],[Churn Flag]]="Yes","Churned","Retained")</f>
        <v>Retained</v>
      </c>
    </row>
    <row r="848" spans="1:14" x14ac:dyDescent="0.25">
      <c r="A848" t="s">
        <v>886</v>
      </c>
      <c r="B848" s="1">
        <v>45365</v>
      </c>
      <c r="C848" t="s">
        <v>12</v>
      </c>
      <c r="D848" t="s">
        <v>13</v>
      </c>
      <c r="E848">
        <v>1500</v>
      </c>
      <c r="F848" t="s">
        <v>21</v>
      </c>
      <c r="G848" t="s">
        <v>15</v>
      </c>
      <c r="H848" t="s">
        <v>16</v>
      </c>
      <c r="I848" t="s">
        <v>17</v>
      </c>
      <c r="J848" t="s">
        <v>18</v>
      </c>
      <c r="K848">
        <v>0</v>
      </c>
      <c r="L84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848">
        <f>GhanaStream[[#This Row],[Subscription Fee]]-(GhanaStream[[#This Row],[Discount]]*GhanaStream[[#This Row],[Subscription Fee]])</f>
        <v>1500</v>
      </c>
      <c r="N848" t="str">
        <f>IF(GhanaStream[[#This Row],[Churn Flag]]="Yes","Churned","Retained")</f>
        <v>Churned</v>
      </c>
    </row>
    <row r="849" spans="1:14" x14ac:dyDescent="0.25">
      <c r="A849" t="s">
        <v>887</v>
      </c>
      <c r="B849" s="1">
        <v>45355</v>
      </c>
      <c r="C849" t="s">
        <v>12</v>
      </c>
      <c r="D849" t="s">
        <v>13</v>
      </c>
      <c r="E849">
        <v>1500</v>
      </c>
      <c r="F849" t="s">
        <v>49</v>
      </c>
      <c r="G849" t="s">
        <v>28</v>
      </c>
      <c r="H849" t="s">
        <v>16</v>
      </c>
      <c r="I849" t="s">
        <v>17</v>
      </c>
      <c r="J849" t="s">
        <v>22</v>
      </c>
      <c r="K849">
        <v>0</v>
      </c>
      <c r="L84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849">
        <f>GhanaStream[[#This Row],[Subscription Fee]]-(GhanaStream[[#This Row],[Discount]]*GhanaStream[[#This Row],[Subscription Fee]])</f>
        <v>1500</v>
      </c>
      <c r="N849" t="str">
        <f>IF(GhanaStream[[#This Row],[Churn Flag]]="Yes","Churned","Retained")</f>
        <v>Churned</v>
      </c>
    </row>
    <row r="850" spans="1:14" x14ac:dyDescent="0.25">
      <c r="A850" t="s">
        <v>888</v>
      </c>
      <c r="B850" s="1">
        <v>45639</v>
      </c>
      <c r="C850" t="s">
        <v>12</v>
      </c>
      <c r="D850" t="s">
        <v>27</v>
      </c>
      <c r="E850">
        <v>16200</v>
      </c>
      <c r="F850" t="s">
        <v>21</v>
      </c>
      <c r="G850" t="s">
        <v>15</v>
      </c>
      <c r="H850" t="s">
        <v>33</v>
      </c>
      <c r="I850" t="s">
        <v>34</v>
      </c>
      <c r="J850" t="s">
        <v>29</v>
      </c>
      <c r="K850">
        <v>0.1</v>
      </c>
      <c r="L85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850">
        <f>GhanaStream[[#This Row],[Subscription Fee]]-(GhanaStream[[#This Row],[Discount]]*GhanaStream[[#This Row],[Subscription Fee]])</f>
        <v>14580</v>
      </c>
      <c r="N850" t="str">
        <f>IF(GhanaStream[[#This Row],[Churn Flag]]="Yes","Churned","Retained")</f>
        <v>Retained</v>
      </c>
    </row>
    <row r="851" spans="1:14" x14ac:dyDescent="0.25">
      <c r="A851" t="s">
        <v>889</v>
      </c>
      <c r="B851" s="1">
        <v>44950</v>
      </c>
      <c r="C851" t="s">
        <v>20</v>
      </c>
      <c r="D851" t="s">
        <v>27</v>
      </c>
      <c r="E851">
        <v>5400</v>
      </c>
      <c r="F851" t="s">
        <v>32</v>
      </c>
      <c r="G851" t="s">
        <v>15</v>
      </c>
      <c r="H851" t="s">
        <v>33</v>
      </c>
      <c r="I851" t="s">
        <v>34</v>
      </c>
      <c r="J851" t="s">
        <v>44</v>
      </c>
      <c r="K851">
        <v>0.1</v>
      </c>
      <c r="L85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851">
        <f>GhanaStream[[#This Row],[Subscription Fee]]-(GhanaStream[[#This Row],[Discount]]*GhanaStream[[#This Row],[Subscription Fee]])</f>
        <v>4860</v>
      </c>
      <c r="N851" t="str">
        <f>IF(GhanaStream[[#This Row],[Churn Flag]]="Yes","Churned","Retained")</f>
        <v>Retained</v>
      </c>
    </row>
    <row r="852" spans="1:14" x14ac:dyDescent="0.25">
      <c r="A852" t="s">
        <v>890</v>
      </c>
      <c r="B852" s="1">
        <v>45144</v>
      </c>
      <c r="C852" t="s">
        <v>31</v>
      </c>
      <c r="D852" t="s">
        <v>27</v>
      </c>
      <c r="E852">
        <v>10800</v>
      </c>
      <c r="F852" t="s">
        <v>32</v>
      </c>
      <c r="G852" t="s">
        <v>24</v>
      </c>
      <c r="H852" t="s">
        <v>16</v>
      </c>
      <c r="I852" t="s">
        <v>17</v>
      </c>
      <c r="J852" t="s">
        <v>39</v>
      </c>
      <c r="K852">
        <v>0.1</v>
      </c>
      <c r="L85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852">
        <f>GhanaStream[[#This Row],[Subscription Fee]]-(GhanaStream[[#This Row],[Discount]]*GhanaStream[[#This Row],[Subscription Fee]])</f>
        <v>9720</v>
      </c>
      <c r="N852" t="str">
        <f>IF(GhanaStream[[#This Row],[Churn Flag]]="Yes","Churned","Retained")</f>
        <v>Churned</v>
      </c>
    </row>
    <row r="853" spans="1:14" x14ac:dyDescent="0.25">
      <c r="A853" t="s">
        <v>891</v>
      </c>
      <c r="B853" s="1">
        <v>44932</v>
      </c>
      <c r="C853" t="s">
        <v>31</v>
      </c>
      <c r="D853" t="s">
        <v>27</v>
      </c>
      <c r="E853">
        <v>10800</v>
      </c>
      <c r="F853" t="s">
        <v>14</v>
      </c>
      <c r="G853" t="s">
        <v>28</v>
      </c>
      <c r="H853" t="s">
        <v>16</v>
      </c>
      <c r="I853" t="s">
        <v>17</v>
      </c>
      <c r="J853" t="s">
        <v>41</v>
      </c>
      <c r="K853">
        <v>0.1</v>
      </c>
      <c r="L85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853">
        <f>GhanaStream[[#This Row],[Subscription Fee]]-(GhanaStream[[#This Row],[Discount]]*GhanaStream[[#This Row],[Subscription Fee]])</f>
        <v>9720</v>
      </c>
      <c r="N853" t="str">
        <f>IF(GhanaStream[[#This Row],[Churn Flag]]="Yes","Churned","Retained")</f>
        <v>Churned</v>
      </c>
    </row>
    <row r="854" spans="1:14" x14ac:dyDescent="0.25">
      <c r="A854" t="s">
        <v>892</v>
      </c>
      <c r="B854" s="1">
        <v>45339</v>
      </c>
      <c r="C854" t="s">
        <v>12</v>
      </c>
      <c r="D854" t="s">
        <v>13</v>
      </c>
      <c r="E854">
        <v>1500</v>
      </c>
      <c r="F854" t="s">
        <v>32</v>
      </c>
      <c r="G854" t="s">
        <v>15</v>
      </c>
      <c r="H854" t="s">
        <v>16</v>
      </c>
      <c r="I854" t="s">
        <v>17</v>
      </c>
      <c r="J854" t="s">
        <v>44</v>
      </c>
      <c r="K854">
        <v>0</v>
      </c>
      <c r="L85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854">
        <f>GhanaStream[[#This Row],[Subscription Fee]]-(GhanaStream[[#This Row],[Discount]]*GhanaStream[[#This Row],[Subscription Fee]])</f>
        <v>1500</v>
      </c>
      <c r="N854" t="str">
        <f>IF(GhanaStream[[#This Row],[Churn Flag]]="Yes","Churned","Retained")</f>
        <v>Churned</v>
      </c>
    </row>
    <row r="855" spans="1:14" x14ac:dyDescent="0.25">
      <c r="A855" t="s">
        <v>893</v>
      </c>
      <c r="B855" s="1">
        <v>45513</v>
      </c>
      <c r="C855" t="s">
        <v>12</v>
      </c>
      <c r="D855" t="s">
        <v>27</v>
      </c>
      <c r="E855">
        <v>16200</v>
      </c>
      <c r="F855" t="s">
        <v>32</v>
      </c>
      <c r="G855" t="s">
        <v>28</v>
      </c>
      <c r="H855" t="s">
        <v>16</v>
      </c>
      <c r="I855" t="s">
        <v>17</v>
      </c>
      <c r="J855" t="s">
        <v>25</v>
      </c>
      <c r="K855">
        <v>0.1</v>
      </c>
      <c r="L85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855">
        <f>GhanaStream[[#This Row],[Subscription Fee]]-(GhanaStream[[#This Row],[Discount]]*GhanaStream[[#This Row],[Subscription Fee]])</f>
        <v>14580</v>
      </c>
      <c r="N855" t="str">
        <f>IF(GhanaStream[[#This Row],[Churn Flag]]="Yes","Churned","Retained")</f>
        <v>Churned</v>
      </c>
    </row>
    <row r="856" spans="1:14" x14ac:dyDescent="0.25">
      <c r="A856" t="s">
        <v>894</v>
      </c>
      <c r="B856" s="1">
        <v>45393</v>
      </c>
      <c r="C856" t="s">
        <v>31</v>
      </c>
      <c r="D856" t="s">
        <v>13</v>
      </c>
      <c r="E856">
        <v>1000</v>
      </c>
      <c r="F856" t="s">
        <v>32</v>
      </c>
      <c r="G856" t="s">
        <v>28</v>
      </c>
      <c r="H856" t="s">
        <v>16</v>
      </c>
      <c r="I856" t="s">
        <v>17</v>
      </c>
      <c r="J856" t="s">
        <v>25</v>
      </c>
      <c r="K856">
        <v>0</v>
      </c>
      <c r="L85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856">
        <f>GhanaStream[[#This Row],[Subscription Fee]]-(GhanaStream[[#This Row],[Discount]]*GhanaStream[[#This Row],[Subscription Fee]])</f>
        <v>1000</v>
      </c>
      <c r="N856" t="str">
        <f>IF(GhanaStream[[#This Row],[Churn Flag]]="Yes","Churned","Retained")</f>
        <v>Churned</v>
      </c>
    </row>
    <row r="857" spans="1:14" x14ac:dyDescent="0.25">
      <c r="A857" t="s">
        <v>895</v>
      </c>
      <c r="B857" s="1">
        <v>44958</v>
      </c>
      <c r="C857" t="s">
        <v>31</v>
      </c>
      <c r="D857" t="s">
        <v>27</v>
      </c>
      <c r="E857">
        <v>10800</v>
      </c>
      <c r="F857" t="s">
        <v>49</v>
      </c>
      <c r="G857" t="s">
        <v>28</v>
      </c>
      <c r="H857" t="s">
        <v>33</v>
      </c>
      <c r="I857" t="s">
        <v>34</v>
      </c>
      <c r="J857" t="s">
        <v>50</v>
      </c>
      <c r="K857">
        <v>0.1</v>
      </c>
      <c r="L85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857">
        <f>GhanaStream[[#This Row],[Subscription Fee]]-(GhanaStream[[#This Row],[Discount]]*GhanaStream[[#This Row],[Subscription Fee]])</f>
        <v>9720</v>
      </c>
      <c r="N857" t="str">
        <f>IF(GhanaStream[[#This Row],[Churn Flag]]="Yes","Churned","Retained")</f>
        <v>Retained</v>
      </c>
    </row>
    <row r="858" spans="1:14" x14ac:dyDescent="0.25">
      <c r="A858" t="s">
        <v>896</v>
      </c>
      <c r="B858" s="1">
        <v>44945</v>
      </c>
      <c r="C858" t="s">
        <v>31</v>
      </c>
      <c r="D858" t="s">
        <v>13</v>
      </c>
      <c r="E858">
        <v>1000</v>
      </c>
      <c r="F858" t="s">
        <v>32</v>
      </c>
      <c r="G858" t="s">
        <v>28</v>
      </c>
      <c r="H858" t="s">
        <v>16</v>
      </c>
      <c r="I858" t="s">
        <v>17</v>
      </c>
      <c r="J858" t="s">
        <v>35</v>
      </c>
      <c r="K858">
        <v>0</v>
      </c>
      <c r="L85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858">
        <f>GhanaStream[[#This Row],[Subscription Fee]]-(GhanaStream[[#This Row],[Discount]]*GhanaStream[[#This Row],[Subscription Fee]])</f>
        <v>1000</v>
      </c>
      <c r="N858" t="str">
        <f>IF(GhanaStream[[#This Row],[Churn Flag]]="Yes","Churned","Retained")</f>
        <v>Churned</v>
      </c>
    </row>
    <row r="859" spans="1:14" x14ac:dyDescent="0.25">
      <c r="A859" t="s">
        <v>897</v>
      </c>
      <c r="B859" s="1">
        <v>45109</v>
      </c>
      <c r="C859" t="s">
        <v>12</v>
      </c>
      <c r="D859" t="s">
        <v>27</v>
      </c>
      <c r="E859">
        <v>16200</v>
      </c>
      <c r="F859" t="s">
        <v>14</v>
      </c>
      <c r="G859" t="s">
        <v>24</v>
      </c>
      <c r="H859" t="s">
        <v>16</v>
      </c>
      <c r="I859" t="s">
        <v>17</v>
      </c>
      <c r="J859" t="s">
        <v>37</v>
      </c>
      <c r="K859">
        <v>0.1</v>
      </c>
      <c r="L85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859">
        <f>GhanaStream[[#This Row],[Subscription Fee]]-(GhanaStream[[#This Row],[Discount]]*GhanaStream[[#This Row],[Subscription Fee]])</f>
        <v>14580</v>
      </c>
      <c r="N859" t="str">
        <f>IF(GhanaStream[[#This Row],[Churn Flag]]="Yes","Churned","Retained")</f>
        <v>Churned</v>
      </c>
    </row>
    <row r="860" spans="1:14" x14ac:dyDescent="0.25">
      <c r="A860" t="s">
        <v>898</v>
      </c>
      <c r="B860" s="1">
        <v>44982</v>
      </c>
      <c r="C860" t="s">
        <v>12</v>
      </c>
      <c r="D860" t="s">
        <v>13</v>
      </c>
      <c r="E860">
        <v>1500</v>
      </c>
      <c r="F860" t="s">
        <v>32</v>
      </c>
      <c r="G860" t="s">
        <v>24</v>
      </c>
      <c r="H860" t="s">
        <v>16</v>
      </c>
      <c r="I860" t="s">
        <v>17</v>
      </c>
      <c r="J860" t="s">
        <v>39</v>
      </c>
      <c r="K860">
        <v>0</v>
      </c>
      <c r="L86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860">
        <f>GhanaStream[[#This Row],[Subscription Fee]]-(GhanaStream[[#This Row],[Discount]]*GhanaStream[[#This Row],[Subscription Fee]])</f>
        <v>1500</v>
      </c>
      <c r="N860" t="str">
        <f>IF(GhanaStream[[#This Row],[Churn Flag]]="Yes","Churned","Retained")</f>
        <v>Churned</v>
      </c>
    </row>
    <row r="861" spans="1:14" x14ac:dyDescent="0.25">
      <c r="A861" t="s">
        <v>899</v>
      </c>
      <c r="B861" s="1">
        <v>45444</v>
      </c>
      <c r="C861" t="s">
        <v>31</v>
      </c>
      <c r="D861" t="s">
        <v>13</v>
      </c>
      <c r="E861">
        <v>1000</v>
      </c>
      <c r="F861" t="s">
        <v>14</v>
      </c>
      <c r="G861" t="s">
        <v>15</v>
      </c>
      <c r="H861" t="s">
        <v>33</v>
      </c>
      <c r="I861" t="s">
        <v>34</v>
      </c>
      <c r="J861" t="s">
        <v>37</v>
      </c>
      <c r="K861">
        <v>0</v>
      </c>
      <c r="L86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861">
        <f>GhanaStream[[#This Row],[Subscription Fee]]-(GhanaStream[[#This Row],[Discount]]*GhanaStream[[#This Row],[Subscription Fee]])</f>
        <v>1000</v>
      </c>
      <c r="N861" t="str">
        <f>IF(GhanaStream[[#This Row],[Churn Flag]]="Yes","Churned","Retained")</f>
        <v>Retained</v>
      </c>
    </row>
    <row r="862" spans="1:14" x14ac:dyDescent="0.25">
      <c r="A862" t="s">
        <v>900</v>
      </c>
      <c r="B862" s="1">
        <v>45521</v>
      </c>
      <c r="C862" t="s">
        <v>12</v>
      </c>
      <c r="D862" t="s">
        <v>27</v>
      </c>
      <c r="E862">
        <v>16200</v>
      </c>
      <c r="F862" t="s">
        <v>49</v>
      </c>
      <c r="G862" t="s">
        <v>28</v>
      </c>
      <c r="H862" t="s">
        <v>16</v>
      </c>
      <c r="I862" t="s">
        <v>17</v>
      </c>
      <c r="J862" t="s">
        <v>58</v>
      </c>
      <c r="K862">
        <v>0.1</v>
      </c>
      <c r="L86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862">
        <f>GhanaStream[[#This Row],[Subscription Fee]]-(GhanaStream[[#This Row],[Discount]]*GhanaStream[[#This Row],[Subscription Fee]])</f>
        <v>14580</v>
      </c>
      <c r="N862" t="str">
        <f>IF(GhanaStream[[#This Row],[Churn Flag]]="Yes","Churned","Retained")</f>
        <v>Churned</v>
      </c>
    </row>
    <row r="863" spans="1:14" x14ac:dyDescent="0.25">
      <c r="A863" t="s">
        <v>901</v>
      </c>
      <c r="B863" s="1">
        <v>45143</v>
      </c>
      <c r="C863" t="s">
        <v>31</v>
      </c>
      <c r="D863" t="s">
        <v>27</v>
      </c>
      <c r="E863">
        <v>10800</v>
      </c>
      <c r="F863" t="s">
        <v>21</v>
      </c>
      <c r="G863" t="s">
        <v>24</v>
      </c>
      <c r="H863" t="s">
        <v>16</v>
      </c>
      <c r="I863" t="s">
        <v>17</v>
      </c>
      <c r="J863" t="s">
        <v>22</v>
      </c>
      <c r="K863">
        <v>0.1</v>
      </c>
      <c r="L86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863">
        <f>GhanaStream[[#This Row],[Subscription Fee]]-(GhanaStream[[#This Row],[Discount]]*GhanaStream[[#This Row],[Subscription Fee]])</f>
        <v>9720</v>
      </c>
      <c r="N863" t="str">
        <f>IF(GhanaStream[[#This Row],[Churn Flag]]="Yes","Churned","Retained")</f>
        <v>Churned</v>
      </c>
    </row>
    <row r="864" spans="1:14" x14ac:dyDescent="0.25">
      <c r="A864" t="s">
        <v>902</v>
      </c>
      <c r="B864" s="1">
        <v>45570</v>
      </c>
      <c r="C864" t="s">
        <v>12</v>
      </c>
      <c r="D864" t="s">
        <v>13</v>
      </c>
      <c r="E864">
        <v>1500</v>
      </c>
      <c r="F864" t="s">
        <v>32</v>
      </c>
      <c r="G864" t="s">
        <v>28</v>
      </c>
      <c r="H864" t="s">
        <v>33</v>
      </c>
      <c r="I864" t="s">
        <v>34</v>
      </c>
      <c r="J864" t="s">
        <v>44</v>
      </c>
      <c r="K864">
        <v>0</v>
      </c>
      <c r="L86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864">
        <f>GhanaStream[[#This Row],[Subscription Fee]]-(GhanaStream[[#This Row],[Discount]]*GhanaStream[[#This Row],[Subscription Fee]])</f>
        <v>1500</v>
      </c>
      <c r="N864" t="str">
        <f>IF(GhanaStream[[#This Row],[Churn Flag]]="Yes","Churned","Retained")</f>
        <v>Retained</v>
      </c>
    </row>
    <row r="865" spans="1:14" x14ac:dyDescent="0.25">
      <c r="A865" t="s">
        <v>903</v>
      </c>
      <c r="B865" s="1">
        <v>45439</v>
      </c>
      <c r="C865" t="s">
        <v>31</v>
      </c>
      <c r="D865" t="s">
        <v>13</v>
      </c>
      <c r="E865">
        <v>1000</v>
      </c>
      <c r="F865" t="s">
        <v>14</v>
      </c>
      <c r="G865" t="s">
        <v>15</v>
      </c>
      <c r="H865" t="s">
        <v>16</v>
      </c>
      <c r="I865" t="s">
        <v>17</v>
      </c>
      <c r="J865" t="s">
        <v>18</v>
      </c>
      <c r="K865">
        <v>0</v>
      </c>
      <c r="L86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865">
        <f>GhanaStream[[#This Row],[Subscription Fee]]-(GhanaStream[[#This Row],[Discount]]*GhanaStream[[#This Row],[Subscription Fee]])</f>
        <v>1000</v>
      </c>
      <c r="N865" t="str">
        <f>IF(GhanaStream[[#This Row],[Churn Flag]]="Yes","Churned","Retained")</f>
        <v>Churned</v>
      </c>
    </row>
    <row r="866" spans="1:14" x14ac:dyDescent="0.25">
      <c r="A866" t="s">
        <v>904</v>
      </c>
      <c r="B866" s="1">
        <v>45647</v>
      </c>
      <c r="C866" t="s">
        <v>20</v>
      </c>
      <c r="D866" t="s">
        <v>13</v>
      </c>
      <c r="E866">
        <v>500</v>
      </c>
      <c r="F866" t="s">
        <v>21</v>
      </c>
      <c r="G866" t="s">
        <v>24</v>
      </c>
      <c r="H866" t="s">
        <v>16</v>
      </c>
      <c r="I866" t="s">
        <v>17</v>
      </c>
      <c r="J866" t="s">
        <v>29</v>
      </c>
      <c r="K866">
        <v>0</v>
      </c>
      <c r="L86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866">
        <f>GhanaStream[[#This Row],[Subscription Fee]]-(GhanaStream[[#This Row],[Discount]]*GhanaStream[[#This Row],[Subscription Fee]])</f>
        <v>500</v>
      </c>
      <c r="N866" t="str">
        <f>IF(GhanaStream[[#This Row],[Churn Flag]]="Yes","Churned","Retained")</f>
        <v>Churned</v>
      </c>
    </row>
    <row r="867" spans="1:14" x14ac:dyDescent="0.25">
      <c r="A867" t="s">
        <v>905</v>
      </c>
      <c r="B867" s="1">
        <v>45083</v>
      </c>
      <c r="C867" t="s">
        <v>20</v>
      </c>
      <c r="D867" t="s">
        <v>27</v>
      </c>
      <c r="E867">
        <v>5400</v>
      </c>
      <c r="F867" t="s">
        <v>21</v>
      </c>
      <c r="G867" t="s">
        <v>24</v>
      </c>
      <c r="H867" t="s">
        <v>16</v>
      </c>
      <c r="I867" t="s">
        <v>17</v>
      </c>
      <c r="J867" t="s">
        <v>29</v>
      </c>
      <c r="K867">
        <v>0.1</v>
      </c>
      <c r="L86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867">
        <f>GhanaStream[[#This Row],[Subscription Fee]]-(GhanaStream[[#This Row],[Discount]]*GhanaStream[[#This Row],[Subscription Fee]])</f>
        <v>4860</v>
      </c>
      <c r="N867" t="str">
        <f>IF(GhanaStream[[#This Row],[Churn Flag]]="Yes","Churned","Retained")</f>
        <v>Churned</v>
      </c>
    </row>
    <row r="868" spans="1:14" x14ac:dyDescent="0.25">
      <c r="A868" t="s">
        <v>906</v>
      </c>
      <c r="B868" s="1">
        <v>44938</v>
      </c>
      <c r="C868" t="s">
        <v>31</v>
      </c>
      <c r="D868" t="s">
        <v>13</v>
      </c>
      <c r="E868">
        <v>1000</v>
      </c>
      <c r="F868" t="s">
        <v>49</v>
      </c>
      <c r="G868" t="s">
        <v>28</v>
      </c>
      <c r="H868" t="s">
        <v>33</v>
      </c>
      <c r="I868" t="s">
        <v>34</v>
      </c>
      <c r="J868" t="s">
        <v>35</v>
      </c>
      <c r="K868">
        <v>0</v>
      </c>
      <c r="L86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868">
        <f>GhanaStream[[#This Row],[Subscription Fee]]-(GhanaStream[[#This Row],[Discount]]*GhanaStream[[#This Row],[Subscription Fee]])</f>
        <v>1000</v>
      </c>
      <c r="N868" t="str">
        <f>IF(GhanaStream[[#This Row],[Churn Flag]]="Yes","Churned","Retained")</f>
        <v>Retained</v>
      </c>
    </row>
    <row r="869" spans="1:14" x14ac:dyDescent="0.25">
      <c r="A869" t="s">
        <v>907</v>
      </c>
      <c r="B869" s="1">
        <v>45066</v>
      </c>
      <c r="C869" t="s">
        <v>31</v>
      </c>
      <c r="D869" t="s">
        <v>27</v>
      </c>
      <c r="E869">
        <v>10800</v>
      </c>
      <c r="F869" t="s">
        <v>32</v>
      </c>
      <c r="G869" t="s">
        <v>24</v>
      </c>
      <c r="H869" t="s">
        <v>16</v>
      </c>
      <c r="I869" t="s">
        <v>17</v>
      </c>
      <c r="J869" t="s">
        <v>25</v>
      </c>
      <c r="K869">
        <v>0.1</v>
      </c>
      <c r="L86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869">
        <f>GhanaStream[[#This Row],[Subscription Fee]]-(GhanaStream[[#This Row],[Discount]]*GhanaStream[[#This Row],[Subscription Fee]])</f>
        <v>9720</v>
      </c>
      <c r="N869" t="str">
        <f>IF(GhanaStream[[#This Row],[Churn Flag]]="Yes","Churned","Retained")</f>
        <v>Churned</v>
      </c>
    </row>
    <row r="870" spans="1:14" x14ac:dyDescent="0.25">
      <c r="A870" t="s">
        <v>908</v>
      </c>
      <c r="B870" s="1">
        <v>45437</v>
      </c>
      <c r="C870" t="s">
        <v>12</v>
      </c>
      <c r="D870" t="s">
        <v>13</v>
      </c>
      <c r="E870">
        <v>1500</v>
      </c>
      <c r="F870" t="s">
        <v>32</v>
      </c>
      <c r="G870" t="s">
        <v>28</v>
      </c>
      <c r="H870" t="s">
        <v>16</v>
      </c>
      <c r="I870" t="s">
        <v>17</v>
      </c>
      <c r="J870" t="s">
        <v>44</v>
      </c>
      <c r="K870">
        <v>0</v>
      </c>
      <c r="L87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870">
        <f>GhanaStream[[#This Row],[Subscription Fee]]-(GhanaStream[[#This Row],[Discount]]*GhanaStream[[#This Row],[Subscription Fee]])</f>
        <v>1500</v>
      </c>
      <c r="N870" t="str">
        <f>IF(GhanaStream[[#This Row],[Churn Flag]]="Yes","Churned","Retained")</f>
        <v>Churned</v>
      </c>
    </row>
    <row r="871" spans="1:14" x14ac:dyDescent="0.25">
      <c r="A871" t="s">
        <v>909</v>
      </c>
      <c r="B871" s="1">
        <v>45160</v>
      </c>
      <c r="C871" t="s">
        <v>12</v>
      </c>
      <c r="D871" t="s">
        <v>27</v>
      </c>
      <c r="E871">
        <v>16200</v>
      </c>
      <c r="F871" t="s">
        <v>14</v>
      </c>
      <c r="G871" t="s">
        <v>28</v>
      </c>
      <c r="H871" t="s">
        <v>16</v>
      </c>
      <c r="I871" t="s">
        <v>17</v>
      </c>
      <c r="J871" t="s">
        <v>37</v>
      </c>
      <c r="K871">
        <v>0.1</v>
      </c>
      <c r="L87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871">
        <f>GhanaStream[[#This Row],[Subscription Fee]]-(GhanaStream[[#This Row],[Discount]]*GhanaStream[[#This Row],[Subscription Fee]])</f>
        <v>14580</v>
      </c>
      <c r="N871" t="str">
        <f>IF(GhanaStream[[#This Row],[Churn Flag]]="Yes","Churned","Retained")</f>
        <v>Churned</v>
      </c>
    </row>
    <row r="872" spans="1:14" x14ac:dyDescent="0.25">
      <c r="A872" t="s">
        <v>910</v>
      </c>
      <c r="B872" s="1">
        <v>45278</v>
      </c>
      <c r="C872" t="s">
        <v>12</v>
      </c>
      <c r="D872" t="s">
        <v>13</v>
      </c>
      <c r="E872">
        <v>1500</v>
      </c>
      <c r="F872" t="s">
        <v>32</v>
      </c>
      <c r="G872" t="s">
        <v>15</v>
      </c>
      <c r="H872" t="s">
        <v>33</v>
      </c>
      <c r="I872" t="s">
        <v>34</v>
      </c>
      <c r="J872" t="s">
        <v>25</v>
      </c>
      <c r="K872">
        <v>0</v>
      </c>
      <c r="L87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872">
        <f>GhanaStream[[#This Row],[Subscription Fee]]-(GhanaStream[[#This Row],[Discount]]*GhanaStream[[#This Row],[Subscription Fee]])</f>
        <v>1500</v>
      </c>
      <c r="N872" t="str">
        <f>IF(GhanaStream[[#This Row],[Churn Flag]]="Yes","Churned","Retained")</f>
        <v>Retained</v>
      </c>
    </row>
    <row r="873" spans="1:14" x14ac:dyDescent="0.25">
      <c r="A873" t="s">
        <v>911</v>
      </c>
      <c r="B873" s="1">
        <v>45172</v>
      </c>
      <c r="C873" t="s">
        <v>31</v>
      </c>
      <c r="D873" t="s">
        <v>27</v>
      </c>
      <c r="E873">
        <v>10800</v>
      </c>
      <c r="F873" t="s">
        <v>14</v>
      </c>
      <c r="G873" t="s">
        <v>24</v>
      </c>
      <c r="H873" t="s">
        <v>33</v>
      </c>
      <c r="I873" t="s">
        <v>34</v>
      </c>
      <c r="J873" t="s">
        <v>37</v>
      </c>
      <c r="K873">
        <v>0.1</v>
      </c>
      <c r="L87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873">
        <f>GhanaStream[[#This Row],[Subscription Fee]]-(GhanaStream[[#This Row],[Discount]]*GhanaStream[[#This Row],[Subscription Fee]])</f>
        <v>9720</v>
      </c>
      <c r="N873" t="str">
        <f>IF(GhanaStream[[#This Row],[Churn Flag]]="Yes","Churned","Retained")</f>
        <v>Retained</v>
      </c>
    </row>
    <row r="874" spans="1:14" x14ac:dyDescent="0.25">
      <c r="A874" t="s">
        <v>912</v>
      </c>
      <c r="B874" s="1">
        <v>45410</v>
      </c>
      <c r="C874" t="s">
        <v>12</v>
      </c>
      <c r="D874" t="s">
        <v>13</v>
      </c>
      <c r="E874">
        <v>1500</v>
      </c>
      <c r="F874" t="s">
        <v>32</v>
      </c>
      <c r="G874" t="s">
        <v>24</v>
      </c>
      <c r="H874" t="s">
        <v>33</v>
      </c>
      <c r="I874" t="s">
        <v>34</v>
      </c>
      <c r="J874" t="s">
        <v>25</v>
      </c>
      <c r="K874">
        <v>0</v>
      </c>
      <c r="L87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874">
        <f>GhanaStream[[#This Row],[Subscription Fee]]-(GhanaStream[[#This Row],[Discount]]*GhanaStream[[#This Row],[Subscription Fee]])</f>
        <v>1500</v>
      </c>
      <c r="N874" t="str">
        <f>IF(GhanaStream[[#This Row],[Churn Flag]]="Yes","Churned","Retained")</f>
        <v>Retained</v>
      </c>
    </row>
    <row r="875" spans="1:14" x14ac:dyDescent="0.25">
      <c r="A875" t="s">
        <v>913</v>
      </c>
      <c r="B875" s="1">
        <v>45166</v>
      </c>
      <c r="C875" t="s">
        <v>20</v>
      </c>
      <c r="D875" t="s">
        <v>13</v>
      </c>
      <c r="E875">
        <v>500</v>
      </c>
      <c r="F875" t="s">
        <v>49</v>
      </c>
      <c r="G875" t="s">
        <v>15</v>
      </c>
      <c r="H875" t="s">
        <v>33</v>
      </c>
      <c r="I875" t="s">
        <v>34</v>
      </c>
      <c r="J875" t="s">
        <v>50</v>
      </c>
      <c r="K875">
        <v>0</v>
      </c>
      <c r="L87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875">
        <f>GhanaStream[[#This Row],[Subscription Fee]]-(GhanaStream[[#This Row],[Discount]]*GhanaStream[[#This Row],[Subscription Fee]])</f>
        <v>500</v>
      </c>
      <c r="N875" t="str">
        <f>IF(GhanaStream[[#This Row],[Churn Flag]]="Yes","Churned","Retained")</f>
        <v>Retained</v>
      </c>
    </row>
    <row r="876" spans="1:14" x14ac:dyDescent="0.25">
      <c r="A876" t="s">
        <v>914</v>
      </c>
      <c r="B876" s="1">
        <v>45251</v>
      </c>
      <c r="C876" t="s">
        <v>20</v>
      </c>
      <c r="D876" t="s">
        <v>13</v>
      </c>
      <c r="E876">
        <v>500</v>
      </c>
      <c r="F876" t="s">
        <v>32</v>
      </c>
      <c r="G876" t="s">
        <v>28</v>
      </c>
      <c r="H876" t="s">
        <v>33</v>
      </c>
      <c r="I876" t="s">
        <v>34</v>
      </c>
      <c r="J876" t="s">
        <v>25</v>
      </c>
      <c r="K876">
        <v>0</v>
      </c>
      <c r="L87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876">
        <f>GhanaStream[[#This Row],[Subscription Fee]]-(GhanaStream[[#This Row],[Discount]]*GhanaStream[[#This Row],[Subscription Fee]])</f>
        <v>500</v>
      </c>
      <c r="N876" t="str">
        <f>IF(GhanaStream[[#This Row],[Churn Flag]]="Yes","Churned","Retained")</f>
        <v>Retained</v>
      </c>
    </row>
    <row r="877" spans="1:14" x14ac:dyDescent="0.25">
      <c r="A877" t="s">
        <v>915</v>
      </c>
      <c r="B877" s="1">
        <v>44986</v>
      </c>
      <c r="C877" t="s">
        <v>12</v>
      </c>
      <c r="D877" t="s">
        <v>27</v>
      </c>
      <c r="E877">
        <v>16200</v>
      </c>
      <c r="F877" t="s">
        <v>49</v>
      </c>
      <c r="G877" t="s">
        <v>15</v>
      </c>
      <c r="H877" t="s">
        <v>16</v>
      </c>
      <c r="I877" t="s">
        <v>17</v>
      </c>
      <c r="J877" t="s">
        <v>58</v>
      </c>
      <c r="K877">
        <v>0.1</v>
      </c>
      <c r="L87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877">
        <f>GhanaStream[[#This Row],[Subscription Fee]]-(GhanaStream[[#This Row],[Discount]]*GhanaStream[[#This Row],[Subscription Fee]])</f>
        <v>14580</v>
      </c>
      <c r="N877" t="str">
        <f>IF(GhanaStream[[#This Row],[Churn Flag]]="Yes","Churned","Retained")</f>
        <v>Churned</v>
      </c>
    </row>
    <row r="878" spans="1:14" x14ac:dyDescent="0.25">
      <c r="A878" t="s">
        <v>916</v>
      </c>
      <c r="B878" s="1">
        <v>45135</v>
      </c>
      <c r="C878" t="s">
        <v>12</v>
      </c>
      <c r="D878" t="s">
        <v>27</v>
      </c>
      <c r="E878">
        <v>16200</v>
      </c>
      <c r="F878" t="s">
        <v>32</v>
      </c>
      <c r="G878" t="s">
        <v>28</v>
      </c>
      <c r="H878" t="s">
        <v>33</v>
      </c>
      <c r="I878" t="s">
        <v>34</v>
      </c>
      <c r="J878" t="s">
        <v>35</v>
      </c>
      <c r="K878">
        <v>0.1</v>
      </c>
      <c r="L87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878">
        <f>GhanaStream[[#This Row],[Subscription Fee]]-(GhanaStream[[#This Row],[Discount]]*GhanaStream[[#This Row],[Subscription Fee]])</f>
        <v>14580</v>
      </c>
      <c r="N878" t="str">
        <f>IF(GhanaStream[[#This Row],[Churn Flag]]="Yes","Churned","Retained")</f>
        <v>Retained</v>
      </c>
    </row>
    <row r="879" spans="1:14" x14ac:dyDescent="0.25">
      <c r="A879" t="s">
        <v>917</v>
      </c>
      <c r="B879" s="1">
        <v>45451</v>
      </c>
      <c r="C879" t="s">
        <v>31</v>
      </c>
      <c r="D879" t="s">
        <v>27</v>
      </c>
      <c r="E879">
        <v>10800</v>
      </c>
      <c r="F879" t="s">
        <v>14</v>
      </c>
      <c r="G879" t="s">
        <v>15</v>
      </c>
      <c r="H879" t="s">
        <v>33</v>
      </c>
      <c r="I879" t="s">
        <v>34</v>
      </c>
      <c r="J879" t="s">
        <v>41</v>
      </c>
      <c r="K879">
        <v>0.1</v>
      </c>
      <c r="L87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879">
        <f>GhanaStream[[#This Row],[Subscription Fee]]-(GhanaStream[[#This Row],[Discount]]*GhanaStream[[#This Row],[Subscription Fee]])</f>
        <v>9720</v>
      </c>
      <c r="N879" t="str">
        <f>IF(GhanaStream[[#This Row],[Churn Flag]]="Yes","Churned","Retained")</f>
        <v>Retained</v>
      </c>
    </row>
    <row r="880" spans="1:14" x14ac:dyDescent="0.25">
      <c r="A880" t="s">
        <v>918</v>
      </c>
      <c r="B880" s="1">
        <v>45392</v>
      </c>
      <c r="C880" t="s">
        <v>12</v>
      </c>
      <c r="D880" t="s">
        <v>13</v>
      </c>
      <c r="E880">
        <v>1500</v>
      </c>
      <c r="F880" t="s">
        <v>32</v>
      </c>
      <c r="G880" t="s">
        <v>15</v>
      </c>
      <c r="H880" t="s">
        <v>33</v>
      </c>
      <c r="I880" t="s">
        <v>34</v>
      </c>
      <c r="J880" t="s">
        <v>35</v>
      </c>
      <c r="K880">
        <v>0</v>
      </c>
      <c r="L88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880">
        <f>GhanaStream[[#This Row],[Subscription Fee]]-(GhanaStream[[#This Row],[Discount]]*GhanaStream[[#This Row],[Subscription Fee]])</f>
        <v>1500</v>
      </c>
      <c r="N880" t="str">
        <f>IF(GhanaStream[[#This Row],[Churn Flag]]="Yes","Churned","Retained")</f>
        <v>Retained</v>
      </c>
    </row>
    <row r="881" spans="1:14" x14ac:dyDescent="0.25">
      <c r="A881" t="s">
        <v>919</v>
      </c>
      <c r="B881" s="1">
        <v>45313</v>
      </c>
      <c r="C881" t="s">
        <v>31</v>
      </c>
      <c r="D881" t="s">
        <v>13</v>
      </c>
      <c r="E881">
        <v>1000</v>
      </c>
      <c r="F881" t="s">
        <v>32</v>
      </c>
      <c r="G881" t="s">
        <v>15</v>
      </c>
      <c r="H881" t="s">
        <v>16</v>
      </c>
      <c r="I881" t="s">
        <v>17</v>
      </c>
      <c r="J881" t="s">
        <v>25</v>
      </c>
      <c r="K881">
        <v>0</v>
      </c>
      <c r="L88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881">
        <f>GhanaStream[[#This Row],[Subscription Fee]]-(GhanaStream[[#This Row],[Discount]]*GhanaStream[[#This Row],[Subscription Fee]])</f>
        <v>1000</v>
      </c>
      <c r="N881" t="str">
        <f>IF(GhanaStream[[#This Row],[Churn Flag]]="Yes","Churned","Retained")</f>
        <v>Churned</v>
      </c>
    </row>
    <row r="882" spans="1:14" x14ac:dyDescent="0.25">
      <c r="A882" t="s">
        <v>920</v>
      </c>
      <c r="B882" s="1">
        <v>45556</v>
      </c>
      <c r="C882" t="s">
        <v>31</v>
      </c>
      <c r="D882" t="s">
        <v>13</v>
      </c>
      <c r="E882">
        <v>1000</v>
      </c>
      <c r="F882" t="s">
        <v>14</v>
      </c>
      <c r="G882" t="s">
        <v>15</v>
      </c>
      <c r="H882" t="s">
        <v>16</v>
      </c>
      <c r="I882" t="s">
        <v>17</v>
      </c>
      <c r="J882" t="s">
        <v>37</v>
      </c>
      <c r="K882">
        <v>0</v>
      </c>
      <c r="L88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882">
        <f>GhanaStream[[#This Row],[Subscription Fee]]-(GhanaStream[[#This Row],[Discount]]*GhanaStream[[#This Row],[Subscription Fee]])</f>
        <v>1000</v>
      </c>
      <c r="N882" t="str">
        <f>IF(GhanaStream[[#This Row],[Churn Flag]]="Yes","Churned","Retained")</f>
        <v>Churned</v>
      </c>
    </row>
    <row r="883" spans="1:14" x14ac:dyDescent="0.25">
      <c r="A883" t="s">
        <v>921</v>
      </c>
      <c r="B883" s="1">
        <v>45434</v>
      </c>
      <c r="C883" t="s">
        <v>20</v>
      </c>
      <c r="D883" t="s">
        <v>27</v>
      </c>
      <c r="E883">
        <v>5400</v>
      </c>
      <c r="F883" t="s">
        <v>32</v>
      </c>
      <c r="G883" t="s">
        <v>15</v>
      </c>
      <c r="H883" t="s">
        <v>33</v>
      </c>
      <c r="I883" t="s">
        <v>34</v>
      </c>
      <c r="J883" t="s">
        <v>66</v>
      </c>
      <c r="K883">
        <v>0.1</v>
      </c>
      <c r="L88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883">
        <f>GhanaStream[[#This Row],[Subscription Fee]]-(GhanaStream[[#This Row],[Discount]]*GhanaStream[[#This Row],[Subscription Fee]])</f>
        <v>4860</v>
      </c>
      <c r="N883" t="str">
        <f>IF(GhanaStream[[#This Row],[Churn Flag]]="Yes","Churned","Retained")</f>
        <v>Retained</v>
      </c>
    </row>
    <row r="884" spans="1:14" x14ac:dyDescent="0.25">
      <c r="A884" t="s">
        <v>922</v>
      </c>
      <c r="B884" s="1">
        <v>45534</v>
      </c>
      <c r="C884" t="s">
        <v>20</v>
      </c>
      <c r="D884" t="s">
        <v>13</v>
      </c>
      <c r="E884">
        <v>500</v>
      </c>
      <c r="F884" t="s">
        <v>14</v>
      </c>
      <c r="G884" t="s">
        <v>15</v>
      </c>
      <c r="H884" t="s">
        <v>33</v>
      </c>
      <c r="I884" t="s">
        <v>34</v>
      </c>
      <c r="J884" t="s">
        <v>41</v>
      </c>
      <c r="K884">
        <v>0</v>
      </c>
      <c r="L88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884">
        <f>GhanaStream[[#This Row],[Subscription Fee]]-(GhanaStream[[#This Row],[Discount]]*GhanaStream[[#This Row],[Subscription Fee]])</f>
        <v>500</v>
      </c>
      <c r="N884" t="str">
        <f>IF(GhanaStream[[#This Row],[Churn Flag]]="Yes","Churned","Retained")</f>
        <v>Retained</v>
      </c>
    </row>
    <row r="885" spans="1:14" x14ac:dyDescent="0.25">
      <c r="A885" t="s">
        <v>923</v>
      </c>
      <c r="B885" s="1">
        <v>45423</v>
      </c>
      <c r="C885" t="s">
        <v>20</v>
      </c>
      <c r="D885" t="s">
        <v>27</v>
      </c>
      <c r="E885">
        <v>5400</v>
      </c>
      <c r="F885" t="s">
        <v>21</v>
      </c>
      <c r="G885" t="s">
        <v>28</v>
      </c>
      <c r="H885" t="s">
        <v>16</v>
      </c>
      <c r="I885" t="s">
        <v>17</v>
      </c>
      <c r="J885" t="s">
        <v>18</v>
      </c>
      <c r="K885">
        <v>0.1</v>
      </c>
      <c r="L88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885">
        <f>GhanaStream[[#This Row],[Subscription Fee]]-(GhanaStream[[#This Row],[Discount]]*GhanaStream[[#This Row],[Subscription Fee]])</f>
        <v>4860</v>
      </c>
      <c r="N885" t="str">
        <f>IF(GhanaStream[[#This Row],[Churn Flag]]="Yes","Churned","Retained")</f>
        <v>Churned</v>
      </c>
    </row>
    <row r="886" spans="1:14" x14ac:dyDescent="0.25">
      <c r="A886" t="s">
        <v>924</v>
      </c>
      <c r="B886" s="1">
        <v>45131</v>
      </c>
      <c r="C886" t="s">
        <v>12</v>
      </c>
      <c r="D886" t="s">
        <v>27</v>
      </c>
      <c r="E886">
        <v>16200</v>
      </c>
      <c r="F886" t="s">
        <v>14</v>
      </c>
      <c r="G886" t="s">
        <v>24</v>
      </c>
      <c r="H886" t="s">
        <v>16</v>
      </c>
      <c r="I886" t="s">
        <v>17</v>
      </c>
      <c r="J886" t="s">
        <v>18</v>
      </c>
      <c r="K886">
        <v>0.1</v>
      </c>
      <c r="L88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886">
        <f>GhanaStream[[#This Row],[Subscription Fee]]-(GhanaStream[[#This Row],[Discount]]*GhanaStream[[#This Row],[Subscription Fee]])</f>
        <v>14580</v>
      </c>
      <c r="N886" t="str">
        <f>IF(GhanaStream[[#This Row],[Churn Flag]]="Yes","Churned","Retained")</f>
        <v>Churned</v>
      </c>
    </row>
    <row r="887" spans="1:14" x14ac:dyDescent="0.25">
      <c r="A887" t="s">
        <v>925</v>
      </c>
      <c r="B887" s="1">
        <v>45636</v>
      </c>
      <c r="C887" t="s">
        <v>31</v>
      </c>
      <c r="D887" t="s">
        <v>27</v>
      </c>
      <c r="E887">
        <v>10800</v>
      </c>
      <c r="F887" t="s">
        <v>21</v>
      </c>
      <c r="G887" t="s">
        <v>24</v>
      </c>
      <c r="H887" t="s">
        <v>16</v>
      </c>
      <c r="I887" t="s">
        <v>17</v>
      </c>
      <c r="J887" t="s">
        <v>18</v>
      </c>
      <c r="K887">
        <v>0.1</v>
      </c>
      <c r="L88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887">
        <f>GhanaStream[[#This Row],[Subscription Fee]]-(GhanaStream[[#This Row],[Discount]]*GhanaStream[[#This Row],[Subscription Fee]])</f>
        <v>9720</v>
      </c>
      <c r="N887" t="str">
        <f>IF(GhanaStream[[#This Row],[Churn Flag]]="Yes","Churned","Retained")</f>
        <v>Churned</v>
      </c>
    </row>
    <row r="888" spans="1:14" x14ac:dyDescent="0.25">
      <c r="A888" t="s">
        <v>926</v>
      </c>
      <c r="B888" s="1">
        <v>45567</v>
      </c>
      <c r="C888" t="s">
        <v>31</v>
      </c>
      <c r="D888" t="s">
        <v>27</v>
      </c>
      <c r="E888">
        <v>10800</v>
      </c>
      <c r="F888" t="s">
        <v>32</v>
      </c>
      <c r="G888" t="s">
        <v>24</v>
      </c>
      <c r="H888" t="s">
        <v>16</v>
      </c>
      <c r="I888" t="s">
        <v>17</v>
      </c>
      <c r="J888" t="s">
        <v>66</v>
      </c>
      <c r="K888">
        <v>0.1</v>
      </c>
      <c r="L88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888">
        <f>GhanaStream[[#This Row],[Subscription Fee]]-(GhanaStream[[#This Row],[Discount]]*GhanaStream[[#This Row],[Subscription Fee]])</f>
        <v>9720</v>
      </c>
      <c r="N888" t="str">
        <f>IF(GhanaStream[[#This Row],[Churn Flag]]="Yes","Churned","Retained")</f>
        <v>Churned</v>
      </c>
    </row>
    <row r="889" spans="1:14" x14ac:dyDescent="0.25">
      <c r="A889" t="s">
        <v>927</v>
      </c>
      <c r="B889" s="1">
        <v>45217</v>
      </c>
      <c r="C889" t="s">
        <v>20</v>
      </c>
      <c r="D889" t="s">
        <v>27</v>
      </c>
      <c r="E889">
        <v>5400</v>
      </c>
      <c r="F889" t="s">
        <v>32</v>
      </c>
      <c r="G889" t="s">
        <v>15</v>
      </c>
      <c r="H889" t="s">
        <v>16</v>
      </c>
      <c r="I889" t="s">
        <v>17</v>
      </c>
      <c r="J889" t="s">
        <v>39</v>
      </c>
      <c r="K889">
        <v>0.1</v>
      </c>
      <c r="L88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889">
        <f>GhanaStream[[#This Row],[Subscription Fee]]-(GhanaStream[[#This Row],[Discount]]*GhanaStream[[#This Row],[Subscription Fee]])</f>
        <v>4860</v>
      </c>
      <c r="N889" t="str">
        <f>IF(GhanaStream[[#This Row],[Churn Flag]]="Yes","Churned","Retained")</f>
        <v>Churned</v>
      </c>
    </row>
    <row r="890" spans="1:14" x14ac:dyDescent="0.25">
      <c r="A890" t="s">
        <v>928</v>
      </c>
      <c r="B890" s="1">
        <v>45470</v>
      </c>
      <c r="C890" t="s">
        <v>31</v>
      </c>
      <c r="D890" t="s">
        <v>27</v>
      </c>
      <c r="E890">
        <v>10800</v>
      </c>
      <c r="F890" t="s">
        <v>49</v>
      </c>
      <c r="G890" t="s">
        <v>24</v>
      </c>
      <c r="H890" t="s">
        <v>33</v>
      </c>
      <c r="I890" t="s">
        <v>34</v>
      </c>
      <c r="J890" t="s">
        <v>50</v>
      </c>
      <c r="K890">
        <v>0.1</v>
      </c>
      <c r="L89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890">
        <f>GhanaStream[[#This Row],[Subscription Fee]]-(GhanaStream[[#This Row],[Discount]]*GhanaStream[[#This Row],[Subscription Fee]])</f>
        <v>9720</v>
      </c>
      <c r="N890" t="str">
        <f>IF(GhanaStream[[#This Row],[Churn Flag]]="Yes","Churned","Retained")</f>
        <v>Retained</v>
      </c>
    </row>
    <row r="891" spans="1:14" x14ac:dyDescent="0.25">
      <c r="A891" t="s">
        <v>929</v>
      </c>
      <c r="B891" s="1">
        <v>45079</v>
      </c>
      <c r="C891" t="s">
        <v>12</v>
      </c>
      <c r="D891" t="s">
        <v>27</v>
      </c>
      <c r="E891">
        <v>16200</v>
      </c>
      <c r="F891" t="s">
        <v>21</v>
      </c>
      <c r="G891" t="s">
        <v>28</v>
      </c>
      <c r="H891" t="s">
        <v>16</v>
      </c>
      <c r="I891" t="s">
        <v>17</v>
      </c>
      <c r="J891" t="s">
        <v>29</v>
      </c>
      <c r="K891">
        <v>0.1</v>
      </c>
      <c r="L89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891">
        <f>GhanaStream[[#This Row],[Subscription Fee]]-(GhanaStream[[#This Row],[Discount]]*GhanaStream[[#This Row],[Subscription Fee]])</f>
        <v>14580</v>
      </c>
      <c r="N891" t="str">
        <f>IF(GhanaStream[[#This Row],[Churn Flag]]="Yes","Churned","Retained")</f>
        <v>Churned</v>
      </c>
    </row>
    <row r="892" spans="1:14" x14ac:dyDescent="0.25">
      <c r="A892" t="s">
        <v>930</v>
      </c>
      <c r="B892" s="1">
        <v>45128</v>
      </c>
      <c r="C892" t="s">
        <v>20</v>
      </c>
      <c r="D892" t="s">
        <v>13</v>
      </c>
      <c r="E892">
        <v>500</v>
      </c>
      <c r="F892" t="s">
        <v>21</v>
      </c>
      <c r="G892" t="s">
        <v>15</v>
      </c>
      <c r="H892" t="s">
        <v>16</v>
      </c>
      <c r="I892" t="s">
        <v>17</v>
      </c>
      <c r="J892" t="s">
        <v>25</v>
      </c>
      <c r="K892">
        <v>0</v>
      </c>
      <c r="L89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892">
        <f>GhanaStream[[#This Row],[Subscription Fee]]-(GhanaStream[[#This Row],[Discount]]*GhanaStream[[#This Row],[Subscription Fee]])</f>
        <v>500</v>
      </c>
      <c r="N892" t="str">
        <f>IF(GhanaStream[[#This Row],[Churn Flag]]="Yes","Churned","Retained")</f>
        <v>Churned</v>
      </c>
    </row>
    <row r="893" spans="1:14" x14ac:dyDescent="0.25">
      <c r="A893" t="s">
        <v>931</v>
      </c>
      <c r="B893" s="1">
        <v>45204</v>
      </c>
      <c r="C893" t="s">
        <v>31</v>
      </c>
      <c r="D893" t="s">
        <v>27</v>
      </c>
      <c r="E893">
        <v>10800</v>
      </c>
      <c r="F893" t="s">
        <v>21</v>
      </c>
      <c r="G893" t="s">
        <v>24</v>
      </c>
      <c r="H893" t="s">
        <v>16</v>
      </c>
      <c r="I893" t="s">
        <v>17</v>
      </c>
      <c r="J893" t="s">
        <v>22</v>
      </c>
      <c r="K893">
        <v>0.1</v>
      </c>
      <c r="L89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893">
        <f>GhanaStream[[#This Row],[Subscription Fee]]-(GhanaStream[[#This Row],[Discount]]*GhanaStream[[#This Row],[Subscription Fee]])</f>
        <v>9720</v>
      </c>
      <c r="N893" t="str">
        <f>IF(GhanaStream[[#This Row],[Churn Flag]]="Yes","Churned","Retained")</f>
        <v>Churned</v>
      </c>
    </row>
    <row r="894" spans="1:14" x14ac:dyDescent="0.25">
      <c r="A894" t="s">
        <v>932</v>
      </c>
      <c r="B894" s="1">
        <v>44931</v>
      </c>
      <c r="C894" t="s">
        <v>20</v>
      </c>
      <c r="D894" t="s">
        <v>27</v>
      </c>
      <c r="E894">
        <v>5400</v>
      </c>
      <c r="F894" t="s">
        <v>32</v>
      </c>
      <c r="G894" t="s">
        <v>24</v>
      </c>
      <c r="H894" t="s">
        <v>33</v>
      </c>
      <c r="I894" t="s">
        <v>34</v>
      </c>
      <c r="J894" t="s">
        <v>39</v>
      </c>
      <c r="K894">
        <v>0.1</v>
      </c>
      <c r="L89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894">
        <f>GhanaStream[[#This Row],[Subscription Fee]]-(GhanaStream[[#This Row],[Discount]]*GhanaStream[[#This Row],[Subscription Fee]])</f>
        <v>4860</v>
      </c>
      <c r="N894" t="str">
        <f>IF(GhanaStream[[#This Row],[Churn Flag]]="Yes","Churned","Retained")</f>
        <v>Retained</v>
      </c>
    </row>
    <row r="895" spans="1:14" x14ac:dyDescent="0.25">
      <c r="A895" t="s">
        <v>933</v>
      </c>
      <c r="B895" s="1">
        <v>45143</v>
      </c>
      <c r="C895" t="s">
        <v>12</v>
      </c>
      <c r="D895" t="s">
        <v>13</v>
      </c>
      <c r="E895">
        <v>1500</v>
      </c>
      <c r="F895" t="s">
        <v>21</v>
      </c>
      <c r="G895" t="s">
        <v>15</v>
      </c>
      <c r="H895" t="s">
        <v>16</v>
      </c>
      <c r="I895" t="s">
        <v>17</v>
      </c>
      <c r="J895" t="s">
        <v>18</v>
      </c>
      <c r="K895">
        <v>0</v>
      </c>
      <c r="L89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895">
        <f>GhanaStream[[#This Row],[Subscription Fee]]-(GhanaStream[[#This Row],[Discount]]*GhanaStream[[#This Row],[Subscription Fee]])</f>
        <v>1500</v>
      </c>
      <c r="N895" t="str">
        <f>IF(GhanaStream[[#This Row],[Churn Flag]]="Yes","Churned","Retained")</f>
        <v>Churned</v>
      </c>
    </row>
    <row r="896" spans="1:14" x14ac:dyDescent="0.25">
      <c r="A896" t="s">
        <v>934</v>
      </c>
      <c r="B896" s="1">
        <v>45342</v>
      </c>
      <c r="C896" t="s">
        <v>12</v>
      </c>
      <c r="D896" t="s">
        <v>13</v>
      </c>
      <c r="E896">
        <v>1500</v>
      </c>
      <c r="F896" t="s">
        <v>49</v>
      </c>
      <c r="G896" t="s">
        <v>24</v>
      </c>
      <c r="H896" t="s">
        <v>33</v>
      </c>
      <c r="I896" t="s">
        <v>34</v>
      </c>
      <c r="J896" t="s">
        <v>25</v>
      </c>
      <c r="K896">
        <v>0</v>
      </c>
      <c r="L89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896">
        <f>GhanaStream[[#This Row],[Subscription Fee]]-(GhanaStream[[#This Row],[Discount]]*GhanaStream[[#This Row],[Subscription Fee]])</f>
        <v>1500</v>
      </c>
      <c r="N896" t="str">
        <f>IF(GhanaStream[[#This Row],[Churn Flag]]="Yes","Churned","Retained")</f>
        <v>Retained</v>
      </c>
    </row>
    <row r="897" spans="1:14" x14ac:dyDescent="0.25">
      <c r="A897" t="s">
        <v>935</v>
      </c>
      <c r="B897" s="1">
        <v>45623</v>
      </c>
      <c r="C897" t="s">
        <v>31</v>
      </c>
      <c r="D897" t="s">
        <v>27</v>
      </c>
      <c r="E897">
        <v>10800</v>
      </c>
      <c r="F897" t="s">
        <v>32</v>
      </c>
      <c r="G897" t="s">
        <v>15</v>
      </c>
      <c r="H897" t="s">
        <v>33</v>
      </c>
      <c r="I897" t="s">
        <v>34</v>
      </c>
      <c r="J897" t="s">
        <v>25</v>
      </c>
      <c r="K897">
        <v>0.1</v>
      </c>
      <c r="L89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897">
        <f>GhanaStream[[#This Row],[Subscription Fee]]-(GhanaStream[[#This Row],[Discount]]*GhanaStream[[#This Row],[Subscription Fee]])</f>
        <v>9720</v>
      </c>
      <c r="N897" t="str">
        <f>IF(GhanaStream[[#This Row],[Churn Flag]]="Yes","Churned","Retained")</f>
        <v>Retained</v>
      </c>
    </row>
    <row r="898" spans="1:14" x14ac:dyDescent="0.25">
      <c r="A898" t="s">
        <v>936</v>
      </c>
      <c r="B898" s="1">
        <v>45395</v>
      </c>
      <c r="C898" t="s">
        <v>31</v>
      </c>
      <c r="D898" t="s">
        <v>27</v>
      </c>
      <c r="E898">
        <v>10800</v>
      </c>
      <c r="F898" t="s">
        <v>21</v>
      </c>
      <c r="G898" t="s">
        <v>28</v>
      </c>
      <c r="H898" t="s">
        <v>33</v>
      </c>
      <c r="I898" t="s">
        <v>34</v>
      </c>
      <c r="J898" t="s">
        <v>18</v>
      </c>
      <c r="K898">
        <v>0.1</v>
      </c>
      <c r="L89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898">
        <f>GhanaStream[[#This Row],[Subscription Fee]]-(GhanaStream[[#This Row],[Discount]]*GhanaStream[[#This Row],[Subscription Fee]])</f>
        <v>9720</v>
      </c>
      <c r="N898" t="str">
        <f>IF(GhanaStream[[#This Row],[Churn Flag]]="Yes","Churned","Retained")</f>
        <v>Retained</v>
      </c>
    </row>
    <row r="899" spans="1:14" x14ac:dyDescent="0.25">
      <c r="A899" t="s">
        <v>937</v>
      </c>
      <c r="B899" s="1">
        <v>45274</v>
      </c>
      <c r="C899" t="s">
        <v>20</v>
      </c>
      <c r="D899" t="s">
        <v>13</v>
      </c>
      <c r="E899">
        <v>500</v>
      </c>
      <c r="F899" t="s">
        <v>32</v>
      </c>
      <c r="G899" t="s">
        <v>24</v>
      </c>
      <c r="H899" t="s">
        <v>33</v>
      </c>
      <c r="I899" t="s">
        <v>34</v>
      </c>
      <c r="J899" t="s">
        <v>25</v>
      </c>
      <c r="K899">
        <v>0</v>
      </c>
      <c r="L89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899">
        <f>GhanaStream[[#This Row],[Subscription Fee]]-(GhanaStream[[#This Row],[Discount]]*GhanaStream[[#This Row],[Subscription Fee]])</f>
        <v>500</v>
      </c>
      <c r="N899" t="str">
        <f>IF(GhanaStream[[#This Row],[Churn Flag]]="Yes","Churned","Retained")</f>
        <v>Retained</v>
      </c>
    </row>
    <row r="900" spans="1:14" x14ac:dyDescent="0.25">
      <c r="A900" t="s">
        <v>938</v>
      </c>
      <c r="B900" s="1">
        <v>45432</v>
      </c>
      <c r="C900" t="s">
        <v>20</v>
      </c>
      <c r="D900" t="s">
        <v>13</v>
      </c>
      <c r="E900">
        <v>500</v>
      </c>
      <c r="F900" t="s">
        <v>21</v>
      </c>
      <c r="G900" t="s">
        <v>28</v>
      </c>
      <c r="H900" t="s">
        <v>33</v>
      </c>
      <c r="I900" t="s">
        <v>34</v>
      </c>
      <c r="J900" t="s">
        <v>18</v>
      </c>
      <c r="K900">
        <v>0</v>
      </c>
      <c r="L90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900">
        <f>GhanaStream[[#This Row],[Subscription Fee]]-(GhanaStream[[#This Row],[Discount]]*GhanaStream[[#This Row],[Subscription Fee]])</f>
        <v>500</v>
      </c>
      <c r="N900" t="str">
        <f>IF(GhanaStream[[#This Row],[Churn Flag]]="Yes","Churned","Retained")</f>
        <v>Retained</v>
      </c>
    </row>
    <row r="901" spans="1:14" x14ac:dyDescent="0.25">
      <c r="A901" t="s">
        <v>939</v>
      </c>
      <c r="B901" s="1">
        <v>45391</v>
      </c>
      <c r="C901" t="s">
        <v>20</v>
      </c>
      <c r="D901" t="s">
        <v>27</v>
      </c>
      <c r="E901">
        <v>5400</v>
      </c>
      <c r="F901" t="s">
        <v>14</v>
      </c>
      <c r="G901" t="s">
        <v>28</v>
      </c>
      <c r="H901" t="s">
        <v>33</v>
      </c>
      <c r="I901" t="s">
        <v>34</v>
      </c>
      <c r="J901" t="s">
        <v>55</v>
      </c>
      <c r="K901">
        <v>0.1</v>
      </c>
      <c r="L90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901">
        <f>GhanaStream[[#This Row],[Subscription Fee]]-(GhanaStream[[#This Row],[Discount]]*GhanaStream[[#This Row],[Subscription Fee]])</f>
        <v>4860</v>
      </c>
      <c r="N901" t="str">
        <f>IF(GhanaStream[[#This Row],[Churn Flag]]="Yes","Churned","Retained")</f>
        <v>Retained</v>
      </c>
    </row>
    <row r="902" spans="1:14" x14ac:dyDescent="0.25">
      <c r="A902" t="s">
        <v>940</v>
      </c>
      <c r="B902" s="1">
        <v>45476</v>
      </c>
      <c r="C902" t="s">
        <v>31</v>
      </c>
      <c r="D902" t="s">
        <v>27</v>
      </c>
      <c r="E902">
        <v>10800</v>
      </c>
      <c r="F902" t="s">
        <v>14</v>
      </c>
      <c r="G902" t="s">
        <v>15</v>
      </c>
      <c r="H902" t="s">
        <v>33</v>
      </c>
      <c r="I902" t="s">
        <v>34</v>
      </c>
      <c r="J902" t="s">
        <v>18</v>
      </c>
      <c r="K902">
        <v>0.1</v>
      </c>
      <c r="L90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902">
        <f>GhanaStream[[#This Row],[Subscription Fee]]-(GhanaStream[[#This Row],[Discount]]*GhanaStream[[#This Row],[Subscription Fee]])</f>
        <v>9720</v>
      </c>
      <c r="N902" t="str">
        <f>IF(GhanaStream[[#This Row],[Churn Flag]]="Yes","Churned","Retained")</f>
        <v>Retained</v>
      </c>
    </row>
    <row r="903" spans="1:14" x14ac:dyDescent="0.25">
      <c r="A903" t="s">
        <v>941</v>
      </c>
      <c r="B903" s="1">
        <v>45120</v>
      </c>
      <c r="C903" t="s">
        <v>20</v>
      </c>
      <c r="D903" t="s">
        <v>27</v>
      </c>
      <c r="E903">
        <v>5400</v>
      </c>
      <c r="F903" t="s">
        <v>49</v>
      </c>
      <c r="G903" t="s">
        <v>15</v>
      </c>
      <c r="H903" t="s">
        <v>33</v>
      </c>
      <c r="I903" t="s">
        <v>34</v>
      </c>
      <c r="J903" t="s">
        <v>22</v>
      </c>
      <c r="K903">
        <v>0.1</v>
      </c>
      <c r="L90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903">
        <f>GhanaStream[[#This Row],[Subscription Fee]]-(GhanaStream[[#This Row],[Discount]]*GhanaStream[[#This Row],[Subscription Fee]])</f>
        <v>4860</v>
      </c>
      <c r="N903" t="str">
        <f>IF(GhanaStream[[#This Row],[Churn Flag]]="Yes","Churned","Retained")</f>
        <v>Retained</v>
      </c>
    </row>
    <row r="904" spans="1:14" x14ac:dyDescent="0.25">
      <c r="A904" t="s">
        <v>942</v>
      </c>
      <c r="B904" s="1">
        <v>45637</v>
      </c>
      <c r="C904" t="s">
        <v>31</v>
      </c>
      <c r="D904" t="s">
        <v>27</v>
      </c>
      <c r="E904">
        <v>10800</v>
      </c>
      <c r="F904" t="s">
        <v>49</v>
      </c>
      <c r="G904" t="s">
        <v>28</v>
      </c>
      <c r="H904" t="s">
        <v>33</v>
      </c>
      <c r="I904" t="s">
        <v>34</v>
      </c>
      <c r="J904" t="s">
        <v>50</v>
      </c>
      <c r="K904">
        <v>0.1</v>
      </c>
      <c r="L90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904">
        <f>GhanaStream[[#This Row],[Subscription Fee]]-(GhanaStream[[#This Row],[Discount]]*GhanaStream[[#This Row],[Subscription Fee]])</f>
        <v>9720</v>
      </c>
      <c r="N904" t="str">
        <f>IF(GhanaStream[[#This Row],[Churn Flag]]="Yes","Churned","Retained")</f>
        <v>Retained</v>
      </c>
    </row>
    <row r="905" spans="1:14" x14ac:dyDescent="0.25">
      <c r="A905" t="s">
        <v>943</v>
      </c>
      <c r="B905" s="1">
        <v>44942</v>
      </c>
      <c r="C905" t="s">
        <v>31</v>
      </c>
      <c r="D905" t="s">
        <v>27</v>
      </c>
      <c r="E905">
        <v>10800</v>
      </c>
      <c r="F905" t="s">
        <v>49</v>
      </c>
      <c r="G905" t="s">
        <v>28</v>
      </c>
      <c r="H905" t="s">
        <v>33</v>
      </c>
      <c r="I905" t="s">
        <v>34</v>
      </c>
      <c r="J905" t="s">
        <v>58</v>
      </c>
      <c r="K905">
        <v>0.1</v>
      </c>
      <c r="L90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905">
        <f>GhanaStream[[#This Row],[Subscription Fee]]-(GhanaStream[[#This Row],[Discount]]*GhanaStream[[#This Row],[Subscription Fee]])</f>
        <v>9720</v>
      </c>
      <c r="N905" t="str">
        <f>IF(GhanaStream[[#This Row],[Churn Flag]]="Yes","Churned","Retained")</f>
        <v>Retained</v>
      </c>
    </row>
    <row r="906" spans="1:14" x14ac:dyDescent="0.25">
      <c r="A906" t="s">
        <v>944</v>
      </c>
      <c r="B906" s="1">
        <v>45594</v>
      </c>
      <c r="C906" t="s">
        <v>20</v>
      </c>
      <c r="D906" t="s">
        <v>27</v>
      </c>
      <c r="E906">
        <v>5400</v>
      </c>
      <c r="F906" t="s">
        <v>32</v>
      </c>
      <c r="G906" t="s">
        <v>28</v>
      </c>
      <c r="H906" t="s">
        <v>33</v>
      </c>
      <c r="I906" t="s">
        <v>34</v>
      </c>
      <c r="J906" t="s">
        <v>39</v>
      </c>
      <c r="K906">
        <v>0.1</v>
      </c>
      <c r="L90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906">
        <f>GhanaStream[[#This Row],[Subscription Fee]]-(GhanaStream[[#This Row],[Discount]]*GhanaStream[[#This Row],[Subscription Fee]])</f>
        <v>4860</v>
      </c>
      <c r="N906" t="str">
        <f>IF(GhanaStream[[#This Row],[Churn Flag]]="Yes","Churned","Retained")</f>
        <v>Retained</v>
      </c>
    </row>
    <row r="907" spans="1:14" x14ac:dyDescent="0.25">
      <c r="A907" t="s">
        <v>945</v>
      </c>
      <c r="B907" s="1">
        <v>45019</v>
      </c>
      <c r="C907" t="s">
        <v>12</v>
      </c>
      <c r="D907" t="s">
        <v>13</v>
      </c>
      <c r="E907">
        <v>1500</v>
      </c>
      <c r="F907" t="s">
        <v>32</v>
      </c>
      <c r="G907" t="s">
        <v>28</v>
      </c>
      <c r="H907" t="s">
        <v>16</v>
      </c>
      <c r="I907" t="s">
        <v>17</v>
      </c>
      <c r="J907" t="s">
        <v>25</v>
      </c>
      <c r="K907">
        <v>0</v>
      </c>
      <c r="L90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907">
        <f>GhanaStream[[#This Row],[Subscription Fee]]-(GhanaStream[[#This Row],[Discount]]*GhanaStream[[#This Row],[Subscription Fee]])</f>
        <v>1500</v>
      </c>
      <c r="N907" t="str">
        <f>IF(GhanaStream[[#This Row],[Churn Flag]]="Yes","Churned","Retained")</f>
        <v>Churned</v>
      </c>
    </row>
    <row r="908" spans="1:14" x14ac:dyDescent="0.25">
      <c r="A908" t="s">
        <v>946</v>
      </c>
      <c r="B908" s="1">
        <v>45313</v>
      </c>
      <c r="C908" t="s">
        <v>31</v>
      </c>
      <c r="D908" t="s">
        <v>13</v>
      </c>
      <c r="E908">
        <v>1000</v>
      </c>
      <c r="F908" t="s">
        <v>49</v>
      </c>
      <c r="G908" t="s">
        <v>24</v>
      </c>
      <c r="H908" t="s">
        <v>33</v>
      </c>
      <c r="I908" t="s">
        <v>34</v>
      </c>
      <c r="J908" t="s">
        <v>35</v>
      </c>
      <c r="K908">
        <v>0</v>
      </c>
      <c r="L90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908">
        <f>GhanaStream[[#This Row],[Subscription Fee]]-(GhanaStream[[#This Row],[Discount]]*GhanaStream[[#This Row],[Subscription Fee]])</f>
        <v>1000</v>
      </c>
      <c r="N908" t="str">
        <f>IF(GhanaStream[[#This Row],[Churn Flag]]="Yes","Churned","Retained")</f>
        <v>Retained</v>
      </c>
    </row>
    <row r="909" spans="1:14" x14ac:dyDescent="0.25">
      <c r="A909" t="s">
        <v>947</v>
      </c>
      <c r="B909" s="1">
        <v>45657</v>
      </c>
      <c r="C909" t="s">
        <v>31</v>
      </c>
      <c r="D909" t="s">
        <v>13</v>
      </c>
      <c r="E909">
        <v>1000</v>
      </c>
      <c r="F909" t="s">
        <v>32</v>
      </c>
      <c r="G909" t="s">
        <v>24</v>
      </c>
      <c r="H909" t="s">
        <v>33</v>
      </c>
      <c r="I909" t="s">
        <v>34</v>
      </c>
      <c r="J909" t="s">
        <v>66</v>
      </c>
      <c r="K909">
        <v>0</v>
      </c>
      <c r="L90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909">
        <f>GhanaStream[[#This Row],[Subscription Fee]]-(GhanaStream[[#This Row],[Discount]]*GhanaStream[[#This Row],[Subscription Fee]])</f>
        <v>1000</v>
      </c>
      <c r="N909" t="str">
        <f>IF(GhanaStream[[#This Row],[Churn Flag]]="Yes","Churned","Retained")</f>
        <v>Retained</v>
      </c>
    </row>
    <row r="910" spans="1:14" x14ac:dyDescent="0.25">
      <c r="A910" t="s">
        <v>948</v>
      </c>
      <c r="B910" s="1">
        <v>45128</v>
      </c>
      <c r="C910" t="s">
        <v>12</v>
      </c>
      <c r="D910" t="s">
        <v>13</v>
      </c>
      <c r="E910">
        <v>1500</v>
      </c>
      <c r="F910" t="s">
        <v>21</v>
      </c>
      <c r="G910" t="s">
        <v>24</v>
      </c>
      <c r="H910" t="s">
        <v>33</v>
      </c>
      <c r="I910" t="s">
        <v>34</v>
      </c>
      <c r="J910" t="s">
        <v>18</v>
      </c>
      <c r="K910">
        <v>0</v>
      </c>
      <c r="L91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910">
        <f>GhanaStream[[#This Row],[Subscription Fee]]-(GhanaStream[[#This Row],[Discount]]*GhanaStream[[#This Row],[Subscription Fee]])</f>
        <v>1500</v>
      </c>
      <c r="N910" t="str">
        <f>IF(GhanaStream[[#This Row],[Churn Flag]]="Yes","Churned","Retained")</f>
        <v>Retained</v>
      </c>
    </row>
    <row r="911" spans="1:14" x14ac:dyDescent="0.25">
      <c r="A911" t="s">
        <v>949</v>
      </c>
      <c r="B911" s="1">
        <v>45111</v>
      </c>
      <c r="C911" t="s">
        <v>12</v>
      </c>
      <c r="D911" t="s">
        <v>27</v>
      </c>
      <c r="E911">
        <v>16200</v>
      </c>
      <c r="F911" t="s">
        <v>32</v>
      </c>
      <c r="G911" t="s">
        <v>28</v>
      </c>
      <c r="H911" t="s">
        <v>16</v>
      </c>
      <c r="I911" t="s">
        <v>17</v>
      </c>
      <c r="J911" t="s">
        <v>39</v>
      </c>
      <c r="K911">
        <v>0.1</v>
      </c>
      <c r="L91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911">
        <f>GhanaStream[[#This Row],[Subscription Fee]]-(GhanaStream[[#This Row],[Discount]]*GhanaStream[[#This Row],[Subscription Fee]])</f>
        <v>14580</v>
      </c>
      <c r="N911" t="str">
        <f>IF(GhanaStream[[#This Row],[Churn Flag]]="Yes","Churned","Retained")</f>
        <v>Churned</v>
      </c>
    </row>
    <row r="912" spans="1:14" x14ac:dyDescent="0.25">
      <c r="A912" t="s">
        <v>950</v>
      </c>
      <c r="B912" s="1">
        <v>45205</v>
      </c>
      <c r="C912" t="s">
        <v>20</v>
      </c>
      <c r="D912" t="s">
        <v>27</v>
      </c>
      <c r="E912">
        <v>5400</v>
      </c>
      <c r="F912" t="s">
        <v>14</v>
      </c>
      <c r="G912" t="s">
        <v>15</v>
      </c>
      <c r="H912" t="s">
        <v>16</v>
      </c>
      <c r="I912" t="s">
        <v>17</v>
      </c>
      <c r="J912" t="s">
        <v>37</v>
      </c>
      <c r="K912">
        <v>0.1</v>
      </c>
      <c r="L91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912">
        <f>GhanaStream[[#This Row],[Subscription Fee]]-(GhanaStream[[#This Row],[Discount]]*GhanaStream[[#This Row],[Subscription Fee]])</f>
        <v>4860</v>
      </c>
      <c r="N912" t="str">
        <f>IF(GhanaStream[[#This Row],[Churn Flag]]="Yes","Churned","Retained")</f>
        <v>Churned</v>
      </c>
    </row>
    <row r="913" spans="1:14" x14ac:dyDescent="0.25">
      <c r="A913" t="s">
        <v>951</v>
      </c>
      <c r="B913" s="1">
        <v>45272</v>
      </c>
      <c r="C913" t="s">
        <v>20</v>
      </c>
      <c r="D913" t="s">
        <v>13</v>
      </c>
      <c r="E913">
        <v>500</v>
      </c>
      <c r="F913" t="s">
        <v>14</v>
      </c>
      <c r="G913" t="s">
        <v>28</v>
      </c>
      <c r="H913" t="s">
        <v>33</v>
      </c>
      <c r="I913" t="s">
        <v>34</v>
      </c>
      <c r="J913" t="s">
        <v>41</v>
      </c>
      <c r="K913">
        <v>0</v>
      </c>
      <c r="L91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913">
        <f>GhanaStream[[#This Row],[Subscription Fee]]-(GhanaStream[[#This Row],[Discount]]*GhanaStream[[#This Row],[Subscription Fee]])</f>
        <v>500</v>
      </c>
      <c r="N913" t="str">
        <f>IF(GhanaStream[[#This Row],[Churn Flag]]="Yes","Churned","Retained")</f>
        <v>Retained</v>
      </c>
    </row>
    <row r="914" spans="1:14" x14ac:dyDescent="0.25">
      <c r="A914" t="s">
        <v>952</v>
      </c>
      <c r="B914" s="1">
        <v>45068</v>
      </c>
      <c r="C914" t="s">
        <v>12</v>
      </c>
      <c r="D914" t="s">
        <v>13</v>
      </c>
      <c r="E914">
        <v>1500</v>
      </c>
      <c r="F914" t="s">
        <v>21</v>
      </c>
      <c r="G914" t="s">
        <v>28</v>
      </c>
      <c r="H914" t="s">
        <v>16</v>
      </c>
      <c r="I914" t="s">
        <v>17</v>
      </c>
      <c r="J914" t="s">
        <v>25</v>
      </c>
      <c r="K914">
        <v>0</v>
      </c>
      <c r="L91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914">
        <f>GhanaStream[[#This Row],[Subscription Fee]]-(GhanaStream[[#This Row],[Discount]]*GhanaStream[[#This Row],[Subscription Fee]])</f>
        <v>1500</v>
      </c>
      <c r="N914" t="str">
        <f>IF(GhanaStream[[#This Row],[Churn Flag]]="Yes","Churned","Retained")</f>
        <v>Churned</v>
      </c>
    </row>
    <row r="915" spans="1:14" x14ac:dyDescent="0.25">
      <c r="A915" t="s">
        <v>953</v>
      </c>
      <c r="B915" s="1">
        <v>45402</v>
      </c>
      <c r="C915" t="s">
        <v>12</v>
      </c>
      <c r="D915" t="s">
        <v>13</v>
      </c>
      <c r="E915">
        <v>1500</v>
      </c>
      <c r="F915" t="s">
        <v>14</v>
      </c>
      <c r="G915" t="s">
        <v>15</v>
      </c>
      <c r="H915" t="s">
        <v>33</v>
      </c>
      <c r="I915" t="s">
        <v>34</v>
      </c>
      <c r="J915" t="s">
        <v>41</v>
      </c>
      <c r="K915">
        <v>0</v>
      </c>
      <c r="L91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915">
        <f>GhanaStream[[#This Row],[Subscription Fee]]-(GhanaStream[[#This Row],[Discount]]*GhanaStream[[#This Row],[Subscription Fee]])</f>
        <v>1500</v>
      </c>
      <c r="N915" t="str">
        <f>IF(GhanaStream[[#This Row],[Churn Flag]]="Yes","Churned","Retained")</f>
        <v>Retained</v>
      </c>
    </row>
    <row r="916" spans="1:14" x14ac:dyDescent="0.25">
      <c r="A916" t="s">
        <v>954</v>
      </c>
      <c r="B916" s="1">
        <v>44945</v>
      </c>
      <c r="C916" t="s">
        <v>12</v>
      </c>
      <c r="D916" t="s">
        <v>13</v>
      </c>
      <c r="E916">
        <v>1500</v>
      </c>
      <c r="F916" t="s">
        <v>49</v>
      </c>
      <c r="G916" t="s">
        <v>15</v>
      </c>
      <c r="H916" t="s">
        <v>16</v>
      </c>
      <c r="I916" t="s">
        <v>17</v>
      </c>
      <c r="J916" t="s">
        <v>22</v>
      </c>
      <c r="K916">
        <v>0</v>
      </c>
      <c r="L91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916">
        <f>GhanaStream[[#This Row],[Subscription Fee]]-(GhanaStream[[#This Row],[Discount]]*GhanaStream[[#This Row],[Subscription Fee]])</f>
        <v>1500</v>
      </c>
      <c r="N916" t="str">
        <f>IF(GhanaStream[[#This Row],[Churn Flag]]="Yes","Churned","Retained")</f>
        <v>Churned</v>
      </c>
    </row>
    <row r="917" spans="1:14" x14ac:dyDescent="0.25">
      <c r="A917" t="s">
        <v>955</v>
      </c>
      <c r="B917" s="1">
        <v>45456</v>
      </c>
      <c r="C917" t="s">
        <v>12</v>
      </c>
      <c r="D917" t="s">
        <v>13</v>
      </c>
      <c r="E917">
        <v>1500</v>
      </c>
      <c r="F917" t="s">
        <v>49</v>
      </c>
      <c r="G917" t="s">
        <v>28</v>
      </c>
      <c r="H917" t="s">
        <v>16</v>
      </c>
      <c r="I917" t="s">
        <v>17</v>
      </c>
      <c r="J917" t="s">
        <v>58</v>
      </c>
      <c r="K917">
        <v>0</v>
      </c>
      <c r="L91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917">
        <f>GhanaStream[[#This Row],[Subscription Fee]]-(GhanaStream[[#This Row],[Discount]]*GhanaStream[[#This Row],[Subscription Fee]])</f>
        <v>1500</v>
      </c>
      <c r="N917" t="str">
        <f>IF(GhanaStream[[#This Row],[Churn Flag]]="Yes","Churned","Retained")</f>
        <v>Churned</v>
      </c>
    </row>
    <row r="918" spans="1:14" x14ac:dyDescent="0.25">
      <c r="A918" t="s">
        <v>956</v>
      </c>
      <c r="B918" s="1">
        <v>45084</v>
      </c>
      <c r="C918" t="s">
        <v>31</v>
      </c>
      <c r="D918" t="s">
        <v>27</v>
      </c>
      <c r="E918">
        <v>10800</v>
      </c>
      <c r="F918" t="s">
        <v>14</v>
      </c>
      <c r="G918" t="s">
        <v>28</v>
      </c>
      <c r="H918" t="s">
        <v>16</v>
      </c>
      <c r="I918" t="s">
        <v>17</v>
      </c>
      <c r="J918" t="s">
        <v>22</v>
      </c>
      <c r="K918">
        <v>0.1</v>
      </c>
      <c r="L91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918">
        <f>GhanaStream[[#This Row],[Subscription Fee]]-(GhanaStream[[#This Row],[Discount]]*GhanaStream[[#This Row],[Subscription Fee]])</f>
        <v>9720</v>
      </c>
      <c r="N918" t="str">
        <f>IF(GhanaStream[[#This Row],[Churn Flag]]="Yes","Churned","Retained")</f>
        <v>Churned</v>
      </c>
    </row>
    <row r="919" spans="1:14" x14ac:dyDescent="0.25">
      <c r="A919" t="s">
        <v>957</v>
      </c>
      <c r="B919" s="1">
        <v>45014</v>
      </c>
      <c r="C919" t="s">
        <v>31</v>
      </c>
      <c r="D919" t="s">
        <v>27</v>
      </c>
      <c r="E919">
        <v>10800</v>
      </c>
      <c r="F919" t="s">
        <v>21</v>
      </c>
      <c r="G919" t="s">
        <v>28</v>
      </c>
      <c r="H919" t="s">
        <v>33</v>
      </c>
      <c r="I919" t="s">
        <v>34</v>
      </c>
      <c r="J919" t="s">
        <v>18</v>
      </c>
      <c r="K919">
        <v>0.1</v>
      </c>
      <c r="L91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919">
        <f>GhanaStream[[#This Row],[Subscription Fee]]-(GhanaStream[[#This Row],[Discount]]*GhanaStream[[#This Row],[Subscription Fee]])</f>
        <v>9720</v>
      </c>
      <c r="N919" t="str">
        <f>IF(GhanaStream[[#This Row],[Churn Flag]]="Yes","Churned","Retained")</f>
        <v>Retained</v>
      </c>
    </row>
    <row r="920" spans="1:14" x14ac:dyDescent="0.25">
      <c r="A920" t="s">
        <v>958</v>
      </c>
      <c r="B920" s="1">
        <v>45053</v>
      </c>
      <c r="C920" t="s">
        <v>31</v>
      </c>
      <c r="D920" t="s">
        <v>13</v>
      </c>
      <c r="E920">
        <v>1000</v>
      </c>
      <c r="F920" t="s">
        <v>49</v>
      </c>
      <c r="G920" t="s">
        <v>24</v>
      </c>
      <c r="H920" t="s">
        <v>33</v>
      </c>
      <c r="I920" t="s">
        <v>34</v>
      </c>
      <c r="J920" t="s">
        <v>50</v>
      </c>
      <c r="K920">
        <v>0</v>
      </c>
      <c r="L92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920">
        <f>GhanaStream[[#This Row],[Subscription Fee]]-(GhanaStream[[#This Row],[Discount]]*GhanaStream[[#This Row],[Subscription Fee]])</f>
        <v>1000</v>
      </c>
      <c r="N920" t="str">
        <f>IF(GhanaStream[[#This Row],[Churn Flag]]="Yes","Churned","Retained")</f>
        <v>Retained</v>
      </c>
    </row>
    <row r="921" spans="1:14" x14ac:dyDescent="0.25">
      <c r="A921" t="s">
        <v>959</v>
      </c>
      <c r="B921" s="1">
        <v>45016</v>
      </c>
      <c r="C921" t="s">
        <v>20</v>
      </c>
      <c r="D921" t="s">
        <v>27</v>
      </c>
      <c r="E921">
        <v>5400</v>
      </c>
      <c r="F921" t="s">
        <v>21</v>
      </c>
      <c r="G921" t="s">
        <v>28</v>
      </c>
      <c r="H921" t="s">
        <v>16</v>
      </c>
      <c r="I921" t="s">
        <v>17</v>
      </c>
      <c r="J921" t="s">
        <v>25</v>
      </c>
      <c r="K921">
        <v>0.1</v>
      </c>
      <c r="L92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921">
        <f>GhanaStream[[#This Row],[Subscription Fee]]-(GhanaStream[[#This Row],[Discount]]*GhanaStream[[#This Row],[Subscription Fee]])</f>
        <v>4860</v>
      </c>
      <c r="N921" t="str">
        <f>IF(GhanaStream[[#This Row],[Churn Flag]]="Yes","Churned","Retained")</f>
        <v>Churned</v>
      </c>
    </row>
    <row r="922" spans="1:14" x14ac:dyDescent="0.25">
      <c r="A922" t="s">
        <v>960</v>
      </c>
      <c r="B922" s="1">
        <v>45549</v>
      </c>
      <c r="C922" t="s">
        <v>20</v>
      </c>
      <c r="D922" t="s">
        <v>13</v>
      </c>
      <c r="E922">
        <v>500</v>
      </c>
      <c r="F922" t="s">
        <v>21</v>
      </c>
      <c r="G922" t="s">
        <v>24</v>
      </c>
      <c r="H922" t="s">
        <v>33</v>
      </c>
      <c r="I922" t="s">
        <v>34</v>
      </c>
      <c r="J922" t="s">
        <v>18</v>
      </c>
      <c r="K922">
        <v>0</v>
      </c>
      <c r="L92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922">
        <f>GhanaStream[[#This Row],[Subscription Fee]]-(GhanaStream[[#This Row],[Discount]]*GhanaStream[[#This Row],[Subscription Fee]])</f>
        <v>500</v>
      </c>
      <c r="N922" t="str">
        <f>IF(GhanaStream[[#This Row],[Churn Flag]]="Yes","Churned","Retained")</f>
        <v>Retained</v>
      </c>
    </row>
    <row r="923" spans="1:14" x14ac:dyDescent="0.25">
      <c r="A923" t="s">
        <v>961</v>
      </c>
      <c r="B923" s="1">
        <v>44932</v>
      </c>
      <c r="C923" t="s">
        <v>31</v>
      </c>
      <c r="D923" t="s">
        <v>13</v>
      </c>
      <c r="E923">
        <v>1000</v>
      </c>
      <c r="F923" t="s">
        <v>14</v>
      </c>
      <c r="G923" t="s">
        <v>28</v>
      </c>
      <c r="H923" t="s">
        <v>16</v>
      </c>
      <c r="I923" t="s">
        <v>17</v>
      </c>
      <c r="J923" t="s">
        <v>55</v>
      </c>
      <c r="K923">
        <v>0</v>
      </c>
      <c r="L92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923">
        <f>GhanaStream[[#This Row],[Subscription Fee]]-(GhanaStream[[#This Row],[Discount]]*GhanaStream[[#This Row],[Subscription Fee]])</f>
        <v>1000</v>
      </c>
      <c r="N923" t="str">
        <f>IF(GhanaStream[[#This Row],[Churn Flag]]="Yes","Churned","Retained")</f>
        <v>Churned</v>
      </c>
    </row>
    <row r="924" spans="1:14" x14ac:dyDescent="0.25">
      <c r="A924" t="s">
        <v>962</v>
      </c>
      <c r="B924" s="1">
        <v>45190</v>
      </c>
      <c r="C924" t="s">
        <v>20</v>
      </c>
      <c r="D924" t="s">
        <v>13</v>
      </c>
      <c r="E924">
        <v>500</v>
      </c>
      <c r="F924" t="s">
        <v>49</v>
      </c>
      <c r="G924" t="s">
        <v>24</v>
      </c>
      <c r="H924" t="s">
        <v>33</v>
      </c>
      <c r="I924" t="s">
        <v>34</v>
      </c>
      <c r="J924" t="s">
        <v>35</v>
      </c>
      <c r="K924">
        <v>0</v>
      </c>
      <c r="L92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924">
        <f>GhanaStream[[#This Row],[Subscription Fee]]-(GhanaStream[[#This Row],[Discount]]*GhanaStream[[#This Row],[Subscription Fee]])</f>
        <v>500</v>
      </c>
      <c r="N924" t="str">
        <f>IF(GhanaStream[[#This Row],[Churn Flag]]="Yes","Churned","Retained")</f>
        <v>Retained</v>
      </c>
    </row>
    <row r="925" spans="1:14" x14ac:dyDescent="0.25">
      <c r="A925" t="s">
        <v>963</v>
      </c>
      <c r="B925" s="1">
        <v>45457</v>
      </c>
      <c r="C925" t="s">
        <v>31</v>
      </c>
      <c r="D925" t="s">
        <v>27</v>
      </c>
      <c r="E925">
        <v>10800</v>
      </c>
      <c r="F925" t="s">
        <v>32</v>
      </c>
      <c r="G925" t="s">
        <v>28</v>
      </c>
      <c r="H925" t="s">
        <v>33</v>
      </c>
      <c r="I925" t="s">
        <v>34</v>
      </c>
      <c r="J925" t="s">
        <v>39</v>
      </c>
      <c r="K925">
        <v>0.1</v>
      </c>
      <c r="L92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925">
        <f>GhanaStream[[#This Row],[Subscription Fee]]-(GhanaStream[[#This Row],[Discount]]*GhanaStream[[#This Row],[Subscription Fee]])</f>
        <v>9720</v>
      </c>
      <c r="N925" t="str">
        <f>IF(GhanaStream[[#This Row],[Churn Flag]]="Yes","Churned","Retained")</f>
        <v>Retained</v>
      </c>
    </row>
    <row r="926" spans="1:14" x14ac:dyDescent="0.25">
      <c r="A926" t="s">
        <v>964</v>
      </c>
      <c r="B926" s="1">
        <v>45214</v>
      </c>
      <c r="C926" t="s">
        <v>31</v>
      </c>
      <c r="D926" t="s">
        <v>27</v>
      </c>
      <c r="E926">
        <v>10800</v>
      </c>
      <c r="F926" t="s">
        <v>21</v>
      </c>
      <c r="G926" t="s">
        <v>24</v>
      </c>
      <c r="H926" t="s">
        <v>33</v>
      </c>
      <c r="I926" t="s">
        <v>34</v>
      </c>
      <c r="J926" t="s">
        <v>29</v>
      </c>
      <c r="K926">
        <v>0.1</v>
      </c>
      <c r="L92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926">
        <f>GhanaStream[[#This Row],[Subscription Fee]]-(GhanaStream[[#This Row],[Discount]]*GhanaStream[[#This Row],[Subscription Fee]])</f>
        <v>9720</v>
      </c>
      <c r="N926" t="str">
        <f>IF(GhanaStream[[#This Row],[Churn Flag]]="Yes","Churned","Retained")</f>
        <v>Retained</v>
      </c>
    </row>
    <row r="927" spans="1:14" x14ac:dyDescent="0.25">
      <c r="A927" t="s">
        <v>965</v>
      </c>
      <c r="B927" s="1">
        <v>45253</v>
      </c>
      <c r="C927" t="s">
        <v>12</v>
      </c>
      <c r="D927" t="s">
        <v>27</v>
      </c>
      <c r="E927">
        <v>16200</v>
      </c>
      <c r="F927" t="s">
        <v>14</v>
      </c>
      <c r="G927" t="s">
        <v>28</v>
      </c>
      <c r="H927" t="s">
        <v>33</v>
      </c>
      <c r="I927" t="s">
        <v>34</v>
      </c>
      <c r="J927" t="s">
        <v>41</v>
      </c>
      <c r="K927">
        <v>0.1</v>
      </c>
      <c r="L92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927">
        <f>GhanaStream[[#This Row],[Subscription Fee]]-(GhanaStream[[#This Row],[Discount]]*GhanaStream[[#This Row],[Subscription Fee]])</f>
        <v>14580</v>
      </c>
      <c r="N927" t="str">
        <f>IF(GhanaStream[[#This Row],[Churn Flag]]="Yes","Churned","Retained")</f>
        <v>Retained</v>
      </c>
    </row>
    <row r="928" spans="1:14" x14ac:dyDescent="0.25">
      <c r="A928" t="s">
        <v>966</v>
      </c>
      <c r="B928" s="1">
        <v>45411</v>
      </c>
      <c r="C928" t="s">
        <v>12</v>
      </c>
      <c r="D928" t="s">
        <v>27</v>
      </c>
      <c r="E928">
        <v>16200</v>
      </c>
      <c r="F928" t="s">
        <v>32</v>
      </c>
      <c r="G928" t="s">
        <v>28</v>
      </c>
      <c r="H928" t="s">
        <v>16</v>
      </c>
      <c r="I928" t="s">
        <v>17</v>
      </c>
      <c r="J928" t="s">
        <v>44</v>
      </c>
      <c r="K928">
        <v>0.1</v>
      </c>
      <c r="L92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928">
        <f>GhanaStream[[#This Row],[Subscription Fee]]-(GhanaStream[[#This Row],[Discount]]*GhanaStream[[#This Row],[Subscription Fee]])</f>
        <v>14580</v>
      </c>
      <c r="N928" t="str">
        <f>IF(GhanaStream[[#This Row],[Churn Flag]]="Yes","Churned","Retained")</f>
        <v>Churned</v>
      </c>
    </row>
    <row r="929" spans="1:14" x14ac:dyDescent="0.25">
      <c r="A929" t="s">
        <v>967</v>
      </c>
      <c r="B929" s="1">
        <v>45376</v>
      </c>
      <c r="C929" t="s">
        <v>31</v>
      </c>
      <c r="D929" t="s">
        <v>27</v>
      </c>
      <c r="E929">
        <v>10800</v>
      </c>
      <c r="F929" t="s">
        <v>32</v>
      </c>
      <c r="G929" t="s">
        <v>24</v>
      </c>
      <c r="H929" t="s">
        <v>16</v>
      </c>
      <c r="I929" t="s">
        <v>17</v>
      </c>
      <c r="J929" t="s">
        <v>25</v>
      </c>
      <c r="K929">
        <v>0.1</v>
      </c>
      <c r="L92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929">
        <f>GhanaStream[[#This Row],[Subscription Fee]]-(GhanaStream[[#This Row],[Discount]]*GhanaStream[[#This Row],[Subscription Fee]])</f>
        <v>9720</v>
      </c>
      <c r="N929" t="str">
        <f>IF(GhanaStream[[#This Row],[Churn Flag]]="Yes","Churned","Retained")</f>
        <v>Churned</v>
      </c>
    </row>
    <row r="930" spans="1:14" x14ac:dyDescent="0.25">
      <c r="A930" t="s">
        <v>968</v>
      </c>
      <c r="B930" s="1">
        <v>45487</v>
      </c>
      <c r="C930" t="s">
        <v>20</v>
      </c>
      <c r="D930" t="s">
        <v>13</v>
      </c>
      <c r="E930">
        <v>500</v>
      </c>
      <c r="F930" t="s">
        <v>49</v>
      </c>
      <c r="G930" t="s">
        <v>24</v>
      </c>
      <c r="H930" t="s">
        <v>33</v>
      </c>
      <c r="I930" t="s">
        <v>34</v>
      </c>
      <c r="J930" t="s">
        <v>25</v>
      </c>
      <c r="K930">
        <v>0</v>
      </c>
      <c r="L93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930">
        <f>GhanaStream[[#This Row],[Subscription Fee]]-(GhanaStream[[#This Row],[Discount]]*GhanaStream[[#This Row],[Subscription Fee]])</f>
        <v>500</v>
      </c>
      <c r="N930" t="str">
        <f>IF(GhanaStream[[#This Row],[Churn Flag]]="Yes","Churned","Retained")</f>
        <v>Retained</v>
      </c>
    </row>
    <row r="931" spans="1:14" x14ac:dyDescent="0.25">
      <c r="A931" t="s">
        <v>969</v>
      </c>
      <c r="B931" s="1">
        <v>45535</v>
      </c>
      <c r="C931" t="s">
        <v>20</v>
      </c>
      <c r="D931" t="s">
        <v>27</v>
      </c>
      <c r="E931">
        <v>5400</v>
      </c>
      <c r="F931" t="s">
        <v>49</v>
      </c>
      <c r="G931" t="s">
        <v>15</v>
      </c>
      <c r="H931" t="s">
        <v>33</v>
      </c>
      <c r="I931" t="s">
        <v>34</v>
      </c>
      <c r="J931" t="s">
        <v>35</v>
      </c>
      <c r="K931">
        <v>0.1</v>
      </c>
      <c r="L93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931">
        <f>GhanaStream[[#This Row],[Subscription Fee]]-(GhanaStream[[#This Row],[Discount]]*GhanaStream[[#This Row],[Subscription Fee]])</f>
        <v>4860</v>
      </c>
      <c r="N931" t="str">
        <f>IF(GhanaStream[[#This Row],[Churn Flag]]="Yes","Churned","Retained")</f>
        <v>Retained</v>
      </c>
    </row>
    <row r="932" spans="1:14" x14ac:dyDescent="0.25">
      <c r="A932" t="s">
        <v>970</v>
      </c>
      <c r="B932" s="1">
        <v>45145</v>
      </c>
      <c r="C932" t="s">
        <v>20</v>
      </c>
      <c r="D932" t="s">
        <v>13</v>
      </c>
      <c r="E932">
        <v>500</v>
      </c>
      <c r="F932" t="s">
        <v>14</v>
      </c>
      <c r="G932" t="s">
        <v>28</v>
      </c>
      <c r="H932" t="s">
        <v>16</v>
      </c>
      <c r="I932" t="s">
        <v>17</v>
      </c>
      <c r="J932" t="s">
        <v>37</v>
      </c>
      <c r="K932">
        <v>0</v>
      </c>
      <c r="L93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932">
        <f>GhanaStream[[#This Row],[Subscription Fee]]-(GhanaStream[[#This Row],[Discount]]*GhanaStream[[#This Row],[Subscription Fee]])</f>
        <v>500</v>
      </c>
      <c r="N932" t="str">
        <f>IF(GhanaStream[[#This Row],[Churn Flag]]="Yes","Churned","Retained")</f>
        <v>Churned</v>
      </c>
    </row>
    <row r="933" spans="1:14" x14ac:dyDescent="0.25">
      <c r="A933" t="s">
        <v>971</v>
      </c>
      <c r="B933" s="1">
        <v>45237</v>
      </c>
      <c r="C933" t="s">
        <v>12</v>
      </c>
      <c r="D933" t="s">
        <v>13</v>
      </c>
      <c r="E933">
        <v>1500</v>
      </c>
      <c r="F933" t="s">
        <v>32</v>
      </c>
      <c r="G933" t="s">
        <v>15</v>
      </c>
      <c r="H933" t="s">
        <v>16</v>
      </c>
      <c r="I933" t="s">
        <v>17</v>
      </c>
      <c r="J933" t="s">
        <v>35</v>
      </c>
      <c r="K933">
        <v>0</v>
      </c>
      <c r="L93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933">
        <f>GhanaStream[[#This Row],[Subscription Fee]]-(GhanaStream[[#This Row],[Discount]]*GhanaStream[[#This Row],[Subscription Fee]])</f>
        <v>1500</v>
      </c>
      <c r="N933" t="str">
        <f>IF(GhanaStream[[#This Row],[Churn Flag]]="Yes","Churned","Retained")</f>
        <v>Churned</v>
      </c>
    </row>
    <row r="934" spans="1:14" x14ac:dyDescent="0.25">
      <c r="A934" t="s">
        <v>972</v>
      </c>
      <c r="B934" s="1">
        <v>45330</v>
      </c>
      <c r="C934" t="s">
        <v>31</v>
      </c>
      <c r="D934" t="s">
        <v>13</v>
      </c>
      <c r="E934">
        <v>1000</v>
      </c>
      <c r="F934" t="s">
        <v>14</v>
      </c>
      <c r="G934" t="s">
        <v>28</v>
      </c>
      <c r="H934" t="s">
        <v>33</v>
      </c>
      <c r="I934" t="s">
        <v>34</v>
      </c>
      <c r="J934" t="s">
        <v>22</v>
      </c>
      <c r="K934">
        <v>0</v>
      </c>
      <c r="L93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934">
        <f>GhanaStream[[#This Row],[Subscription Fee]]-(GhanaStream[[#This Row],[Discount]]*GhanaStream[[#This Row],[Subscription Fee]])</f>
        <v>1000</v>
      </c>
      <c r="N934" t="str">
        <f>IF(GhanaStream[[#This Row],[Churn Flag]]="Yes","Churned","Retained")</f>
        <v>Retained</v>
      </c>
    </row>
    <row r="935" spans="1:14" x14ac:dyDescent="0.25">
      <c r="A935" t="s">
        <v>973</v>
      </c>
      <c r="B935" s="1">
        <v>45427</v>
      </c>
      <c r="C935" t="s">
        <v>12</v>
      </c>
      <c r="D935" t="s">
        <v>13</v>
      </c>
      <c r="E935">
        <v>1500</v>
      </c>
      <c r="F935" t="s">
        <v>32</v>
      </c>
      <c r="G935" t="s">
        <v>28</v>
      </c>
      <c r="H935" t="s">
        <v>16</v>
      </c>
      <c r="I935" t="s">
        <v>17</v>
      </c>
      <c r="J935" t="s">
        <v>25</v>
      </c>
      <c r="K935">
        <v>0</v>
      </c>
      <c r="L93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935">
        <f>GhanaStream[[#This Row],[Subscription Fee]]-(GhanaStream[[#This Row],[Discount]]*GhanaStream[[#This Row],[Subscription Fee]])</f>
        <v>1500</v>
      </c>
      <c r="N935" t="str">
        <f>IF(GhanaStream[[#This Row],[Churn Flag]]="Yes","Churned","Retained")</f>
        <v>Churned</v>
      </c>
    </row>
    <row r="936" spans="1:14" x14ac:dyDescent="0.25">
      <c r="A936" t="s">
        <v>974</v>
      </c>
      <c r="B936" s="1">
        <v>45064</v>
      </c>
      <c r="C936" t="s">
        <v>12</v>
      </c>
      <c r="D936" t="s">
        <v>13</v>
      </c>
      <c r="E936">
        <v>1500</v>
      </c>
      <c r="F936" t="s">
        <v>21</v>
      </c>
      <c r="G936" t="s">
        <v>24</v>
      </c>
      <c r="H936" t="s">
        <v>33</v>
      </c>
      <c r="I936" t="s">
        <v>34</v>
      </c>
      <c r="J936" t="s">
        <v>18</v>
      </c>
      <c r="K936">
        <v>0</v>
      </c>
      <c r="L93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936">
        <f>GhanaStream[[#This Row],[Subscription Fee]]-(GhanaStream[[#This Row],[Discount]]*GhanaStream[[#This Row],[Subscription Fee]])</f>
        <v>1500</v>
      </c>
      <c r="N936" t="str">
        <f>IF(GhanaStream[[#This Row],[Churn Flag]]="Yes","Churned","Retained")</f>
        <v>Retained</v>
      </c>
    </row>
    <row r="937" spans="1:14" x14ac:dyDescent="0.25">
      <c r="A937" t="s">
        <v>975</v>
      </c>
      <c r="B937" s="1">
        <v>45266</v>
      </c>
      <c r="C937" t="s">
        <v>12</v>
      </c>
      <c r="D937" t="s">
        <v>13</v>
      </c>
      <c r="E937">
        <v>1500</v>
      </c>
      <c r="F937" t="s">
        <v>32</v>
      </c>
      <c r="G937" t="s">
        <v>15</v>
      </c>
      <c r="H937" t="s">
        <v>33</v>
      </c>
      <c r="I937" t="s">
        <v>34</v>
      </c>
      <c r="J937" t="s">
        <v>35</v>
      </c>
      <c r="K937">
        <v>0</v>
      </c>
      <c r="L93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937">
        <f>GhanaStream[[#This Row],[Subscription Fee]]-(GhanaStream[[#This Row],[Discount]]*GhanaStream[[#This Row],[Subscription Fee]])</f>
        <v>1500</v>
      </c>
      <c r="N937" t="str">
        <f>IF(GhanaStream[[#This Row],[Churn Flag]]="Yes","Churned","Retained")</f>
        <v>Retained</v>
      </c>
    </row>
    <row r="938" spans="1:14" x14ac:dyDescent="0.25">
      <c r="A938" t="s">
        <v>976</v>
      </c>
      <c r="B938" s="1">
        <v>45583</v>
      </c>
      <c r="C938" t="s">
        <v>12</v>
      </c>
      <c r="D938" t="s">
        <v>13</v>
      </c>
      <c r="E938">
        <v>1500</v>
      </c>
      <c r="F938" t="s">
        <v>49</v>
      </c>
      <c r="G938" t="s">
        <v>15</v>
      </c>
      <c r="H938" t="s">
        <v>16</v>
      </c>
      <c r="I938" t="s">
        <v>17</v>
      </c>
      <c r="J938" t="s">
        <v>22</v>
      </c>
      <c r="K938">
        <v>0</v>
      </c>
      <c r="L93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938">
        <f>GhanaStream[[#This Row],[Subscription Fee]]-(GhanaStream[[#This Row],[Discount]]*GhanaStream[[#This Row],[Subscription Fee]])</f>
        <v>1500</v>
      </c>
      <c r="N938" t="str">
        <f>IF(GhanaStream[[#This Row],[Churn Flag]]="Yes","Churned","Retained")</f>
        <v>Churned</v>
      </c>
    </row>
    <row r="939" spans="1:14" x14ac:dyDescent="0.25">
      <c r="A939" t="s">
        <v>977</v>
      </c>
      <c r="B939" s="1">
        <v>45618</v>
      </c>
      <c r="C939" t="s">
        <v>20</v>
      </c>
      <c r="D939" t="s">
        <v>13</v>
      </c>
      <c r="E939">
        <v>500</v>
      </c>
      <c r="F939" t="s">
        <v>14</v>
      </c>
      <c r="G939" t="s">
        <v>28</v>
      </c>
      <c r="H939" t="s">
        <v>33</v>
      </c>
      <c r="I939" t="s">
        <v>34</v>
      </c>
      <c r="J939" t="s">
        <v>37</v>
      </c>
      <c r="K939">
        <v>0</v>
      </c>
      <c r="L93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939">
        <f>GhanaStream[[#This Row],[Subscription Fee]]-(GhanaStream[[#This Row],[Discount]]*GhanaStream[[#This Row],[Subscription Fee]])</f>
        <v>500</v>
      </c>
      <c r="N939" t="str">
        <f>IF(GhanaStream[[#This Row],[Churn Flag]]="Yes","Churned","Retained")</f>
        <v>Retained</v>
      </c>
    </row>
    <row r="940" spans="1:14" x14ac:dyDescent="0.25">
      <c r="A940" t="s">
        <v>978</v>
      </c>
      <c r="B940" s="1">
        <v>45081</v>
      </c>
      <c r="C940" t="s">
        <v>12</v>
      </c>
      <c r="D940" t="s">
        <v>27</v>
      </c>
      <c r="E940">
        <v>16200</v>
      </c>
      <c r="F940" t="s">
        <v>49</v>
      </c>
      <c r="G940" t="s">
        <v>15</v>
      </c>
      <c r="H940" t="s">
        <v>33</v>
      </c>
      <c r="I940" t="s">
        <v>34</v>
      </c>
      <c r="J940" t="s">
        <v>25</v>
      </c>
      <c r="K940">
        <v>0.1</v>
      </c>
      <c r="L94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940">
        <f>GhanaStream[[#This Row],[Subscription Fee]]-(GhanaStream[[#This Row],[Discount]]*GhanaStream[[#This Row],[Subscription Fee]])</f>
        <v>14580</v>
      </c>
      <c r="N940" t="str">
        <f>IF(GhanaStream[[#This Row],[Churn Flag]]="Yes","Churned","Retained")</f>
        <v>Retained</v>
      </c>
    </row>
    <row r="941" spans="1:14" x14ac:dyDescent="0.25">
      <c r="A941" t="s">
        <v>979</v>
      </c>
      <c r="B941" s="1">
        <v>45657</v>
      </c>
      <c r="C941" t="s">
        <v>12</v>
      </c>
      <c r="D941" t="s">
        <v>13</v>
      </c>
      <c r="E941">
        <v>1500</v>
      </c>
      <c r="F941" t="s">
        <v>49</v>
      </c>
      <c r="G941" t="s">
        <v>24</v>
      </c>
      <c r="H941" t="s">
        <v>16</v>
      </c>
      <c r="I941" t="s">
        <v>17</v>
      </c>
      <c r="J941" t="s">
        <v>22</v>
      </c>
      <c r="K941">
        <v>0</v>
      </c>
      <c r="L94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941">
        <f>GhanaStream[[#This Row],[Subscription Fee]]-(GhanaStream[[#This Row],[Discount]]*GhanaStream[[#This Row],[Subscription Fee]])</f>
        <v>1500</v>
      </c>
      <c r="N941" t="str">
        <f>IF(GhanaStream[[#This Row],[Churn Flag]]="Yes","Churned","Retained")</f>
        <v>Churned</v>
      </c>
    </row>
    <row r="942" spans="1:14" x14ac:dyDescent="0.25">
      <c r="A942" t="s">
        <v>980</v>
      </c>
      <c r="B942" s="1">
        <v>45220</v>
      </c>
      <c r="C942" t="s">
        <v>20</v>
      </c>
      <c r="D942" t="s">
        <v>13</v>
      </c>
      <c r="E942">
        <v>500</v>
      </c>
      <c r="F942" t="s">
        <v>49</v>
      </c>
      <c r="G942" t="s">
        <v>24</v>
      </c>
      <c r="H942" t="s">
        <v>16</v>
      </c>
      <c r="I942" t="s">
        <v>17</v>
      </c>
      <c r="J942" t="s">
        <v>50</v>
      </c>
      <c r="K942">
        <v>0</v>
      </c>
      <c r="L94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942">
        <f>GhanaStream[[#This Row],[Subscription Fee]]-(GhanaStream[[#This Row],[Discount]]*GhanaStream[[#This Row],[Subscription Fee]])</f>
        <v>500</v>
      </c>
      <c r="N942" t="str">
        <f>IF(GhanaStream[[#This Row],[Churn Flag]]="Yes","Churned","Retained")</f>
        <v>Churned</v>
      </c>
    </row>
    <row r="943" spans="1:14" x14ac:dyDescent="0.25">
      <c r="A943" t="s">
        <v>981</v>
      </c>
      <c r="B943" s="1">
        <v>45431</v>
      </c>
      <c r="C943" t="s">
        <v>12</v>
      </c>
      <c r="D943" t="s">
        <v>27</v>
      </c>
      <c r="E943">
        <v>16200</v>
      </c>
      <c r="F943" t="s">
        <v>21</v>
      </c>
      <c r="G943" t="s">
        <v>15</v>
      </c>
      <c r="H943" t="s">
        <v>33</v>
      </c>
      <c r="I943" t="s">
        <v>34</v>
      </c>
      <c r="J943" t="s">
        <v>18</v>
      </c>
      <c r="K943">
        <v>0.1</v>
      </c>
      <c r="L94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943">
        <f>GhanaStream[[#This Row],[Subscription Fee]]-(GhanaStream[[#This Row],[Discount]]*GhanaStream[[#This Row],[Subscription Fee]])</f>
        <v>14580</v>
      </c>
      <c r="N943" t="str">
        <f>IF(GhanaStream[[#This Row],[Churn Flag]]="Yes","Churned","Retained")</f>
        <v>Retained</v>
      </c>
    </row>
    <row r="944" spans="1:14" x14ac:dyDescent="0.25">
      <c r="A944" t="s">
        <v>982</v>
      </c>
      <c r="B944" s="1">
        <v>45620</v>
      </c>
      <c r="C944" t="s">
        <v>20</v>
      </c>
      <c r="D944" t="s">
        <v>27</v>
      </c>
      <c r="E944">
        <v>5400</v>
      </c>
      <c r="F944" t="s">
        <v>21</v>
      </c>
      <c r="G944" t="s">
        <v>24</v>
      </c>
      <c r="H944" t="s">
        <v>33</v>
      </c>
      <c r="I944" t="s">
        <v>34</v>
      </c>
      <c r="J944" t="s">
        <v>22</v>
      </c>
      <c r="K944">
        <v>0.1</v>
      </c>
      <c r="L94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944">
        <f>GhanaStream[[#This Row],[Subscription Fee]]-(GhanaStream[[#This Row],[Discount]]*GhanaStream[[#This Row],[Subscription Fee]])</f>
        <v>4860</v>
      </c>
      <c r="N944" t="str">
        <f>IF(GhanaStream[[#This Row],[Churn Flag]]="Yes","Churned","Retained")</f>
        <v>Retained</v>
      </c>
    </row>
    <row r="945" spans="1:14" x14ac:dyDescent="0.25">
      <c r="A945" t="s">
        <v>983</v>
      </c>
      <c r="B945" s="1">
        <v>45411</v>
      </c>
      <c r="C945" t="s">
        <v>12</v>
      </c>
      <c r="D945" t="s">
        <v>27</v>
      </c>
      <c r="E945">
        <v>16200</v>
      </c>
      <c r="F945" t="s">
        <v>49</v>
      </c>
      <c r="G945" t="s">
        <v>24</v>
      </c>
      <c r="H945" t="s">
        <v>16</v>
      </c>
      <c r="I945" t="s">
        <v>17</v>
      </c>
      <c r="J945" t="s">
        <v>18</v>
      </c>
      <c r="K945">
        <v>0.1</v>
      </c>
      <c r="L94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945">
        <f>GhanaStream[[#This Row],[Subscription Fee]]-(GhanaStream[[#This Row],[Discount]]*GhanaStream[[#This Row],[Subscription Fee]])</f>
        <v>14580</v>
      </c>
      <c r="N945" t="str">
        <f>IF(GhanaStream[[#This Row],[Churn Flag]]="Yes","Churned","Retained")</f>
        <v>Churned</v>
      </c>
    </row>
    <row r="946" spans="1:14" x14ac:dyDescent="0.25">
      <c r="A946" t="s">
        <v>984</v>
      </c>
      <c r="B946" s="1">
        <v>45288</v>
      </c>
      <c r="C946" t="s">
        <v>12</v>
      </c>
      <c r="D946" t="s">
        <v>13</v>
      </c>
      <c r="E946">
        <v>1500</v>
      </c>
      <c r="F946" t="s">
        <v>14</v>
      </c>
      <c r="G946" t="s">
        <v>28</v>
      </c>
      <c r="H946" t="s">
        <v>16</v>
      </c>
      <c r="I946" t="s">
        <v>17</v>
      </c>
      <c r="J946" t="s">
        <v>22</v>
      </c>
      <c r="K946">
        <v>0</v>
      </c>
      <c r="L94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946">
        <f>GhanaStream[[#This Row],[Subscription Fee]]-(GhanaStream[[#This Row],[Discount]]*GhanaStream[[#This Row],[Subscription Fee]])</f>
        <v>1500</v>
      </c>
      <c r="N946" t="str">
        <f>IF(GhanaStream[[#This Row],[Churn Flag]]="Yes","Churned","Retained")</f>
        <v>Churned</v>
      </c>
    </row>
    <row r="947" spans="1:14" x14ac:dyDescent="0.25">
      <c r="A947" t="s">
        <v>985</v>
      </c>
      <c r="B947" s="1">
        <v>45044</v>
      </c>
      <c r="C947" t="s">
        <v>31</v>
      </c>
      <c r="D947" t="s">
        <v>27</v>
      </c>
      <c r="E947">
        <v>10800</v>
      </c>
      <c r="F947" t="s">
        <v>32</v>
      </c>
      <c r="G947" t="s">
        <v>28</v>
      </c>
      <c r="H947" t="s">
        <v>16</v>
      </c>
      <c r="I947" t="s">
        <v>17</v>
      </c>
      <c r="J947" t="s">
        <v>66</v>
      </c>
      <c r="K947">
        <v>0.1</v>
      </c>
      <c r="L94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947">
        <f>GhanaStream[[#This Row],[Subscription Fee]]-(GhanaStream[[#This Row],[Discount]]*GhanaStream[[#This Row],[Subscription Fee]])</f>
        <v>9720</v>
      </c>
      <c r="N947" t="str">
        <f>IF(GhanaStream[[#This Row],[Churn Flag]]="Yes","Churned","Retained")</f>
        <v>Churned</v>
      </c>
    </row>
    <row r="948" spans="1:14" x14ac:dyDescent="0.25">
      <c r="A948" t="s">
        <v>986</v>
      </c>
      <c r="B948" s="1">
        <v>45139</v>
      </c>
      <c r="C948" t="s">
        <v>12</v>
      </c>
      <c r="D948" t="s">
        <v>13</v>
      </c>
      <c r="E948">
        <v>1500</v>
      </c>
      <c r="F948" t="s">
        <v>21</v>
      </c>
      <c r="G948" t="s">
        <v>24</v>
      </c>
      <c r="H948" t="s">
        <v>33</v>
      </c>
      <c r="I948" t="s">
        <v>34</v>
      </c>
      <c r="J948" t="s">
        <v>25</v>
      </c>
      <c r="K948">
        <v>0</v>
      </c>
      <c r="L94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948">
        <f>GhanaStream[[#This Row],[Subscription Fee]]-(GhanaStream[[#This Row],[Discount]]*GhanaStream[[#This Row],[Subscription Fee]])</f>
        <v>1500</v>
      </c>
      <c r="N948" t="str">
        <f>IF(GhanaStream[[#This Row],[Churn Flag]]="Yes","Churned","Retained")</f>
        <v>Retained</v>
      </c>
    </row>
    <row r="949" spans="1:14" x14ac:dyDescent="0.25">
      <c r="A949" t="s">
        <v>987</v>
      </c>
      <c r="B949" s="1">
        <v>45515</v>
      </c>
      <c r="C949" t="s">
        <v>20</v>
      </c>
      <c r="D949" t="s">
        <v>13</v>
      </c>
      <c r="E949">
        <v>500</v>
      </c>
      <c r="F949" t="s">
        <v>14</v>
      </c>
      <c r="G949" t="s">
        <v>15</v>
      </c>
      <c r="H949" t="s">
        <v>33</v>
      </c>
      <c r="I949" t="s">
        <v>34</v>
      </c>
      <c r="J949" t="s">
        <v>41</v>
      </c>
      <c r="K949">
        <v>0</v>
      </c>
      <c r="L94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949">
        <f>GhanaStream[[#This Row],[Subscription Fee]]-(GhanaStream[[#This Row],[Discount]]*GhanaStream[[#This Row],[Subscription Fee]])</f>
        <v>500</v>
      </c>
      <c r="N949" t="str">
        <f>IF(GhanaStream[[#This Row],[Churn Flag]]="Yes","Churned","Retained")</f>
        <v>Retained</v>
      </c>
    </row>
    <row r="950" spans="1:14" x14ac:dyDescent="0.25">
      <c r="A950" t="s">
        <v>988</v>
      </c>
      <c r="B950" s="1">
        <v>44964</v>
      </c>
      <c r="C950" t="s">
        <v>12</v>
      </c>
      <c r="D950" t="s">
        <v>27</v>
      </c>
      <c r="E950">
        <v>16200</v>
      </c>
      <c r="F950" t="s">
        <v>14</v>
      </c>
      <c r="G950" t="s">
        <v>15</v>
      </c>
      <c r="H950" t="s">
        <v>16</v>
      </c>
      <c r="I950" t="s">
        <v>17</v>
      </c>
      <c r="J950" t="s">
        <v>18</v>
      </c>
      <c r="K950">
        <v>0.1</v>
      </c>
      <c r="L95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950">
        <f>GhanaStream[[#This Row],[Subscription Fee]]-(GhanaStream[[#This Row],[Discount]]*GhanaStream[[#This Row],[Subscription Fee]])</f>
        <v>14580</v>
      </c>
      <c r="N950" t="str">
        <f>IF(GhanaStream[[#This Row],[Churn Flag]]="Yes","Churned","Retained")</f>
        <v>Churned</v>
      </c>
    </row>
    <row r="951" spans="1:14" x14ac:dyDescent="0.25">
      <c r="A951" t="s">
        <v>989</v>
      </c>
      <c r="B951" s="1">
        <v>45125</v>
      </c>
      <c r="C951" t="s">
        <v>31</v>
      </c>
      <c r="D951" t="s">
        <v>13</v>
      </c>
      <c r="E951">
        <v>1000</v>
      </c>
      <c r="F951" t="s">
        <v>49</v>
      </c>
      <c r="G951" t="s">
        <v>24</v>
      </c>
      <c r="H951" t="s">
        <v>16</v>
      </c>
      <c r="I951" t="s">
        <v>17</v>
      </c>
      <c r="J951" t="s">
        <v>18</v>
      </c>
      <c r="K951">
        <v>0</v>
      </c>
      <c r="L95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951">
        <f>GhanaStream[[#This Row],[Subscription Fee]]-(GhanaStream[[#This Row],[Discount]]*GhanaStream[[#This Row],[Subscription Fee]])</f>
        <v>1000</v>
      </c>
      <c r="N951" t="str">
        <f>IF(GhanaStream[[#This Row],[Churn Flag]]="Yes","Churned","Retained")</f>
        <v>Churned</v>
      </c>
    </row>
    <row r="952" spans="1:14" x14ac:dyDescent="0.25">
      <c r="A952" t="s">
        <v>990</v>
      </c>
      <c r="B952" s="1">
        <v>45111</v>
      </c>
      <c r="C952" t="s">
        <v>31</v>
      </c>
      <c r="D952" t="s">
        <v>13</v>
      </c>
      <c r="E952">
        <v>1000</v>
      </c>
      <c r="F952" t="s">
        <v>32</v>
      </c>
      <c r="G952" t="s">
        <v>15</v>
      </c>
      <c r="H952" t="s">
        <v>16</v>
      </c>
      <c r="I952" t="s">
        <v>17</v>
      </c>
      <c r="J952" t="s">
        <v>66</v>
      </c>
      <c r="K952">
        <v>0</v>
      </c>
      <c r="L95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952">
        <f>GhanaStream[[#This Row],[Subscription Fee]]-(GhanaStream[[#This Row],[Discount]]*GhanaStream[[#This Row],[Subscription Fee]])</f>
        <v>1000</v>
      </c>
      <c r="N952" t="str">
        <f>IF(GhanaStream[[#This Row],[Churn Flag]]="Yes","Churned","Retained")</f>
        <v>Churned</v>
      </c>
    </row>
    <row r="953" spans="1:14" x14ac:dyDescent="0.25">
      <c r="A953" t="s">
        <v>991</v>
      </c>
      <c r="B953" s="1">
        <v>44996</v>
      </c>
      <c r="C953" t="s">
        <v>12</v>
      </c>
      <c r="D953" t="s">
        <v>27</v>
      </c>
      <c r="E953">
        <v>16200</v>
      </c>
      <c r="F953" t="s">
        <v>14</v>
      </c>
      <c r="G953" t="s">
        <v>24</v>
      </c>
      <c r="H953" t="s">
        <v>16</v>
      </c>
      <c r="I953" t="s">
        <v>17</v>
      </c>
      <c r="J953" t="s">
        <v>22</v>
      </c>
      <c r="K953">
        <v>0.1</v>
      </c>
      <c r="L95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953">
        <f>GhanaStream[[#This Row],[Subscription Fee]]-(GhanaStream[[#This Row],[Discount]]*GhanaStream[[#This Row],[Subscription Fee]])</f>
        <v>14580</v>
      </c>
      <c r="N953" t="str">
        <f>IF(GhanaStream[[#This Row],[Churn Flag]]="Yes","Churned","Retained")</f>
        <v>Churned</v>
      </c>
    </row>
    <row r="954" spans="1:14" x14ac:dyDescent="0.25">
      <c r="A954" t="s">
        <v>992</v>
      </c>
      <c r="B954" s="1">
        <v>45470</v>
      </c>
      <c r="C954" t="s">
        <v>12</v>
      </c>
      <c r="D954" t="s">
        <v>27</v>
      </c>
      <c r="E954">
        <v>16200</v>
      </c>
      <c r="F954" t="s">
        <v>49</v>
      </c>
      <c r="G954" t="s">
        <v>24</v>
      </c>
      <c r="H954" t="s">
        <v>16</v>
      </c>
      <c r="I954" t="s">
        <v>17</v>
      </c>
      <c r="J954" t="s">
        <v>35</v>
      </c>
      <c r="K954">
        <v>0.1</v>
      </c>
      <c r="L95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954">
        <f>GhanaStream[[#This Row],[Subscription Fee]]-(GhanaStream[[#This Row],[Discount]]*GhanaStream[[#This Row],[Subscription Fee]])</f>
        <v>14580</v>
      </c>
      <c r="N954" t="str">
        <f>IF(GhanaStream[[#This Row],[Churn Flag]]="Yes","Churned","Retained")</f>
        <v>Churned</v>
      </c>
    </row>
    <row r="955" spans="1:14" x14ac:dyDescent="0.25">
      <c r="A955" t="s">
        <v>993</v>
      </c>
      <c r="B955" s="1">
        <v>45082</v>
      </c>
      <c r="C955" t="s">
        <v>12</v>
      </c>
      <c r="D955" t="s">
        <v>27</v>
      </c>
      <c r="E955">
        <v>16200</v>
      </c>
      <c r="F955" t="s">
        <v>21</v>
      </c>
      <c r="G955" t="s">
        <v>28</v>
      </c>
      <c r="H955" t="s">
        <v>33</v>
      </c>
      <c r="I955" t="s">
        <v>34</v>
      </c>
      <c r="J955" t="s">
        <v>18</v>
      </c>
      <c r="K955">
        <v>0.1</v>
      </c>
      <c r="L95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955">
        <f>GhanaStream[[#This Row],[Subscription Fee]]-(GhanaStream[[#This Row],[Discount]]*GhanaStream[[#This Row],[Subscription Fee]])</f>
        <v>14580</v>
      </c>
      <c r="N955" t="str">
        <f>IF(GhanaStream[[#This Row],[Churn Flag]]="Yes","Churned","Retained")</f>
        <v>Retained</v>
      </c>
    </row>
    <row r="956" spans="1:14" x14ac:dyDescent="0.25">
      <c r="A956" t="s">
        <v>994</v>
      </c>
      <c r="B956" s="1">
        <v>45109</v>
      </c>
      <c r="C956" t="s">
        <v>31</v>
      </c>
      <c r="D956" t="s">
        <v>13</v>
      </c>
      <c r="E956">
        <v>1000</v>
      </c>
      <c r="F956" t="s">
        <v>21</v>
      </c>
      <c r="G956" t="s">
        <v>28</v>
      </c>
      <c r="H956" t="s">
        <v>16</v>
      </c>
      <c r="I956" t="s">
        <v>17</v>
      </c>
      <c r="J956" t="s">
        <v>18</v>
      </c>
      <c r="K956">
        <v>0</v>
      </c>
      <c r="L95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956">
        <f>GhanaStream[[#This Row],[Subscription Fee]]-(GhanaStream[[#This Row],[Discount]]*GhanaStream[[#This Row],[Subscription Fee]])</f>
        <v>1000</v>
      </c>
      <c r="N956" t="str">
        <f>IF(GhanaStream[[#This Row],[Churn Flag]]="Yes","Churned","Retained")</f>
        <v>Churned</v>
      </c>
    </row>
    <row r="957" spans="1:14" x14ac:dyDescent="0.25">
      <c r="A957" t="s">
        <v>995</v>
      </c>
      <c r="B957" s="1">
        <v>45424</v>
      </c>
      <c r="C957" t="s">
        <v>31</v>
      </c>
      <c r="D957" t="s">
        <v>13</v>
      </c>
      <c r="E957">
        <v>1000</v>
      </c>
      <c r="F957" t="s">
        <v>21</v>
      </c>
      <c r="G957" t="s">
        <v>15</v>
      </c>
      <c r="H957" t="s">
        <v>33</v>
      </c>
      <c r="I957" t="s">
        <v>34</v>
      </c>
      <c r="J957" t="s">
        <v>25</v>
      </c>
      <c r="K957">
        <v>0</v>
      </c>
      <c r="L95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957">
        <f>GhanaStream[[#This Row],[Subscription Fee]]-(GhanaStream[[#This Row],[Discount]]*GhanaStream[[#This Row],[Subscription Fee]])</f>
        <v>1000</v>
      </c>
      <c r="N957" t="str">
        <f>IF(GhanaStream[[#This Row],[Churn Flag]]="Yes","Churned","Retained")</f>
        <v>Retained</v>
      </c>
    </row>
    <row r="958" spans="1:14" x14ac:dyDescent="0.25">
      <c r="A958" t="s">
        <v>996</v>
      </c>
      <c r="B958" s="1">
        <v>45529</v>
      </c>
      <c r="C958" t="s">
        <v>12</v>
      </c>
      <c r="D958" t="s">
        <v>13</v>
      </c>
      <c r="E958">
        <v>1500</v>
      </c>
      <c r="F958" t="s">
        <v>21</v>
      </c>
      <c r="G958" t="s">
        <v>28</v>
      </c>
      <c r="H958" t="s">
        <v>33</v>
      </c>
      <c r="I958" t="s">
        <v>34</v>
      </c>
      <c r="J958" t="s">
        <v>25</v>
      </c>
      <c r="K958">
        <v>0</v>
      </c>
      <c r="L95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958">
        <f>GhanaStream[[#This Row],[Subscription Fee]]-(GhanaStream[[#This Row],[Discount]]*GhanaStream[[#This Row],[Subscription Fee]])</f>
        <v>1500</v>
      </c>
      <c r="N958" t="str">
        <f>IF(GhanaStream[[#This Row],[Churn Flag]]="Yes","Churned","Retained")</f>
        <v>Retained</v>
      </c>
    </row>
    <row r="959" spans="1:14" x14ac:dyDescent="0.25">
      <c r="A959" t="s">
        <v>997</v>
      </c>
      <c r="B959" s="1">
        <v>45348</v>
      </c>
      <c r="C959" t="s">
        <v>12</v>
      </c>
      <c r="D959" t="s">
        <v>13</v>
      </c>
      <c r="E959">
        <v>1500</v>
      </c>
      <c r="F959" t="s">
        <v>49</v>
      </c>
      <c r="G959" t="s">
        <v>24</v>
      </c>
      <c r="H959" t="s">
        <v>33</v>
      </c>
      <c r="I959" t="s">
        <v>34</v>
      </c>
      <c r="J959" t="s">
        <v>18</v>
      </c>
      <c r="K959">
        <v>0</v>
      </c>
      <c r="L95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959">
        <f>GhanaStream[[#This Row],[Subscription Fee]]-(GhanaStream[[#This Row],[Discount]]*GhanaStream[[#This Row],[Subscription Fee]])</f>
        <v>1500</v>
      </c>
      <c r="N959" t="str">
        <f>IF(GhanaStream[[#This Row],[Churn Flag]]="Yes","Churned","Retained")</f>
        <v>Retained</v>
      </c>
    </row>
    <row r="960" spans="1:14" x14ac:dyDescent="0.25">
      <c r="A960" t="s">
        <v>998</v>
      </c>
      <c r="B960" s="1">
        <v>45651</v>
      </c>
      <c r="C960" t="s">
        <v>31</v>
      </c>
      <c r="D960" t="s">
        <v>27</v>
      </c>
      <c r="E960">
        <v>10800</v>
      </c>
      <c r="F960" t="s">
        <v>21</v>
      </c>
      <c r="G960" t="s">
        <v>24</v>
      </c>
      <c r="H960" t="s">
        <v>16</v>
      </c>
      <c r="I960" t="s">
        <v>17</v>
      </c>
      <c r="J960" t="s">
        <v>29</v>
      </c>
      <c r="K960">
        <v>0.1</v>
      </c>
      <c r="L96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960">
        <f>GhanaStream[[#This Row],[Subscription Fee]]-(GhanaStream[[#This Row],[Discount]]*GhanaStream[[#This Row],[Subscription Fee]])</f>
        <v>9720</v>
      </c>
      <c r="N960" t="str">
        <f>IF(GhanaStream[[#This Row],[Churn Flag]]="Yes","Churned","Retained")</f>
        <v>Churned</v>
      </c>
    </row>
    <row r="961" spans="1:14" x14ac:dyDescent="0.25">
      <c r="A961" t="s">
        <v>999</v>
      </c>
      <c r="B961" s="1">
        <v>45062</v>
      </c>
      <c r="C961" t="s">
        <v>20</v>
      </c>
      <c r="D961" t="s">
        <v>13</v>
      </c>
      <c r="E961">
        <v>500</v>
      </c>
      <c r="F961" t="s">
        <v>14</v>
      </c>
      <c r="G961" t="s">
        <v>15</v>
      </c>
      <c r="H961" t="s">
        <v>33</v>
      </c>
      <c r="I961" t="s">
        <v>34</v>
      </c>
      <c r="J961" t="s">
        <v>37</v>
      </c>
      <c r="K961">
        <v>0</v>
      </c>
      <c r="L96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961">
        <f>GhanaStream[[#This Row],[Subscription Fee]]-(GhanaStream[[#This Row],[Discount]]*GhanaStream[[#This Row],[Subscription Fee]])</f>
        <v>500</v>
      </c>
      <c r="N961" t="str">
        <f>IF(GhanaStream[[#This Row],[Churn Flag]]="Yes","Churned","Retained")</f>
        <v>Retained</v>
      </c>
    </row>
    <row r="962" spans="1:14" x14ac:dyDescent="0.25">
      <c r="A962" t="s">
        <v>1000</v>
      </c>
      <c r="B962" s="1">
        <v>45330</v>
      </c>
      <c r="C962" t="s">
        <v>31</v>
      </c>
      <c r="D962" t="s">
        <v>13</v>
      </c>
      <c r="E962">
        <v>1000</v>
      </c>
      <c r="F962" t="s">
        <v>32</v>
      </c>
      <c r="G962" t="s">
        <v>28</v>
      </c>
      <c r="H962" t="s">
        <v>16</v>
      </c>
      <c r="I962" t="s">
        <v>17</v>
      </c>
      <c r="J962" t="s">
        <v>44</v>
      </c>
      <c r="K962">
        <v>0</v>
      </c>
      <c r="L96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962">
        <f>GhanaStream[[#This Row],[Subscription Fee]]-(GhanaStream[[#This Row],[Discount]]*GhanaStream[[#This Row],[Subscription Fee]])</f>
        <v>1000</v>
      </c>
      <c r="N962" t="str">
        <f>IF(GhanaStream[[#This Row],[Churn Flag]]="Yes","Churned","Retained")</f>
        <v>Churned</v>
      </c>
    </row>
    <row r="963" spans="1:14" x14ac:dyDescent="0.25">
      <c r="A963" t="s">
        <v>1001</v>
      </c>
      <c r="B963" s="1">
        <v>45254</v>
      </c>
      <c r="C963" t="s">
        <v>20</v>
      </c>
      <c r="D963" t="s">
        <v>27</v>
      </c>
      <c r="E963">
        <v>5400</v>
      </c>
      <c r="F963" t="s">
        <v>14</v>
      </c>
      <c r="G963" t="s">
        <v>24</v>
      </c>
      <c r="H963" t="s">
        <v>33</v>
      </c>
      <c r="I963" t="s">
        <v>34</v>
      </c>
      <c r="J963" t="s">
        <v>18</v>
      </c>
      <c r="K963">
        <v>0.1</v>
      </c>
      <c r="L96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963">
        <f>GhanaStream[[#This Row],[Subscription Fee]]-(GhanaStream[[#This Row],[Discount]]*GhanaStream[[#This Row],[Subscription Fee]])</f>
        <v>4860</v>
      </c>
      <c r="N963" t="str">
        <f>IF(GhanaStream[[#This Row],[Churn Flag]]="Yes","Churned","Retained")</f>
        <v>Retained</v>
      </c>
    </row>
    <row r="964" spans="1:14" x14ac:dyDescent="0.25">
      <c r="A964" t="s">
        <v>1002</v>
      </c>
      <c r="B964" s="1">
        <v>45374</v>
      </c>
      <c r="C964" t="s">
        <v>12</v>
      </c>
      <c r="D964" t="s">
        <v>13</v>
      </c>
      <c r="E964">
        <v>1500</v>
      </c>
      <c r="F964" t="s">
        <v>49</v>
      </c>
      <c r="G964" t="s">
        <v>24</v>
      </c>
      <c r="H964" t="s">
        <v>16</v>
      </c>
      <c r="I964" t="s">
        <v>17</v>
      </c>
      <c r="J964" t="s">
        <v>25</v>
      </c>
      <c r="K964">
        <v>0</v>
      </c>
      <c r="L96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964">
        <f>GhanaStream[[#This Row],[Subscription Fee]]-(GhanaStream[[#This Row],[Discount]]*GhanaStream[[#This Row],[Subscription Fee]])</f>
        <v>1500</v>
      </c>
      <c r="N964" t="str">
        <f>IF(GhanaStream[[#This Row],[Churn Flag]]="Yes","Churned","Retained")</f>
        <v>Churned</v>
      </c>
    </row>
    <row r="965" spans="1:14" x14ac:dyDescent="0.25">
      <c r="A965" t="s">
        <v>1003</v>
      </c>
      <c r="B965" s="1">
        <v>45606</v>
      </c>
      <c r="C965" t="s">
        <v>31</v>
      </c>
      <c r="D965" t="s">
        <v>27</v>
      </c>
      <c r="E965">
        <v>10800</v>
      </c>
      <c r="F965" t="s">
        <v>32</v>
      </c>
      <c r="G965" t="s">
        <v>15</v>
      </c>
      <c r="H965" t="s">
        <v>16</v>
      </c>
      <c r="I965" t="s">
        <v>17</v>
      </c>
      <c r="J965" t="s">
        <v>25</v>
      </c>
      <c r="K965">
        <v>0.1</v>
      </c>
      <c r="L96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965">
        <f>GhanaStream[[#This Row],[Subscription Fee]]-(GhanaStream[[#This Row],[Discount]]*GhanaStream[[#This Row],[Subscription Fee]])</f>
        <v>9720</v>
      </c>
      <c r="N965" t="str">
        <f>IF(GhanaStream[[#This Row],[Churn Flag]]="Yes","Churned","Retained")</f>
        <v>Churned</v>
      </c>
    </row>
    <row r="966" spans="1:14" x14ac:dyDescent="0.25">
      <c r="A966" t="s">
        <v>1004</v>
      </c>
      <c r="B966" s="1">
        <v>45094</v>
      </c>
      <c r="C966" t="s">
        <v>20</v>
      </c>
      <c r="D966" t="s">
        <v>27</v>
      </c>
      <c r="E966">
        <v>5400</v>
      </c>
      <c r="F966" t="s">
        <v>21</v>
      </c>
      <c r="G966" t="s">
        <v>15</v>
      </c>
      <c r="H966" t="s">
        <v>33</v>
      </c>
      <c r="I966" t="s">
        <v>34</v>
      </c>
      <c r="J966" t="s">
        <v>29</v>
      </c>
      <c r="K966">
        <v>0.1</v>
      </c>
      <c r="L96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966">
        <f>GhanaStream[[#This Row],[Subscription Fee]]-(GhanaStream[[#This Row],[Discount]]*GhanaStream[[#This Row],[Subscription Fee]])</f>
        <v>4860</v>
      </c>
      <c r="N966" t="str">
        <f>IF(GhanaStream[[#This Row],[Churn Flag]]="Yes","Churned","Retained")</f>
        <v>Retained</v>
      </c>
    </row>
    <row r="967" spans="1:14" x14ac:dyDescent="0.25">
      <c r="A967" t="s">
        <v>1005</v>
      </c>
      <c r="B967" s="1">
        <v>45066</v>
      </c>
      <c r="C967" t="s">
        <v>12</v>
      </c>
      <c r="D967" t="s">
        <v>27</v>
      </c>
      <c r="E967">
        <v>16200</v>
      </c>
      <c r="F967" t="s">
        <v>14</v>
      </c>
      <c r="G967" t="s">
        <v>24</v>
      </c>
      <c r="H967" t="s">
        <v>33</v>
      </c>
      <c r="I967" t="s">
        <v>34</v>
      </c>
      <c r="J967" t="s">
        <v>22</v>
      </c>
      <c r="K967">
        <v>0.1</v>
      </c>
      <c r="L96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967">
        <f>GhanaStream[[#This Row],[Subscription Fee]]-(GhanaStream[[#This Row],[Discount]]*GhanaStream[[#This Row],[Subscription Fee]])</f>
        <v>14580</v>
      </c>
      <c r="N967" t="str">
        <f>IF(GhanaStream[[#This Row],[Churn Flag]]="Yes","Churned","Retained")</f>
        <v>Retained</v>
      </c>
    </row>
    <row r="968" spans="1:14" x14ac:dyDescent="0.25">
      <c r="A968" t="s">
        <v>1006</v>
      </c>
      <c r="B968" s="1">
        <v>45533</v>
      </c>
      <c r="C968" t="s">
        <v>12</v>
      </c>
      <c r="D968" t="s">
        <v>13</v>
      </c>
      <c r="E968">
        <v>1500</v>
      </c>
      <c r="F968" t="s">
        <v>32</v>
      </c>
      <c r="G968" t="s">
        <v>28</v>
      </c>
      <c r="H968" t="s">
        <v>33</v>
      </c>
      <c r="I968" t="s">
        <v>34</v>
      </c>
      <c r="J968" t="s">
        <v>66</v>
      </c>
      <c r="K968">
        <v>0</v>
      </c>
      <c r="L96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968">
        <f>GhanaStream[[#This Row],[Subscription Fee]]-(GhanaStream[[#This Row],[Discount]]*GhanaStream[[#This Row],[Subscription Fee]])</f>
        <v>1500</v>
      </c>
      <c r="N968" t="str">
        <f>IF(GhanaStream[[#This Row],[Churn Flag]]="Yes","Churned","Retained")</f>
        <v>Retained</v>
      </c>
    </row>
    <row r="969" spans="1:14" x14ac:dyDescent="0.25">
      <c r="A969" t="s">
        <v>1007</v>
      </c>
      <c r="B969" s="1">
        <v>45370</v>
      </c>
      <c r="C969" t="s">
        <v>31</v>
      </c>
      <c r="D969" t="s">
        <v>27</v>
      </c>
      <c r="E969">
        <v>10800</v>
      </c>
      <c r="F969" t="s">
        <v>49</v>
      </c>
      <c r="G969" t="s">
        <v>24</v>
      </c>
      <c r="H969" t="s">
        <v>33</v>
      </c>
      <c r="I969" t="s">
        <v>34</v>
      </c>
      <c r="J969" t="s">
        <v>25</v>
      </c>
      <c r="K969">
        <v>0.1</v>
      </c>
      <c r="L96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969">
        <f>GhanaStream[[#This Row],[Subscription Fee]]-(GhanaStream[[#This Row],[Discount]]*GhanaStream[[#This Row],[Subscription Fee]])</f>
        <v>9720</v>
      </c>
      <c r="N969" t="str">
        <f>IF(GhanaStream[[#This Row],[Churn Flag]]="Yes","Churned","Retained")</f>
        <v>Retained</v>
      </c>
    </row>
    <row r="970" spans="1:14" x14ac:dyDescent="0.25">
      <c r="A970" t="s">
        <v>1008</v>
      </c>
      <c r="B970" s="1">
        <v>45511</v>
      </c>
      <c r="C970" t="s">
        <v>31</v>
      </c>
      <c r="D970" t="s">
        <v>27</v>
      </c>
      <c r="E970">
        <v>10800</v>
      </c>
      <c r="F970" t="s">
        <v>49</v>
      </c>
      <c r="G970" t="s">
        <v>15</v>
      </c>
      <c r="H970" t="s">
        <v>33</v>
      </c>
      <c r="I970" t="s">
        <v>34</v>
      </c>
      <c r="J970" t="s">
        <v>18</v>
      </c>
      <c r="K970">
        <v>0.1</v>
      </c>
      <c r="L97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970">
        <f>GhanaStream[[#This Row],[Subscription Fee]]-(GhanaStream[[#This Row],[Discount]]*GhanaStream[[#This Row],[Subscription Fee]])</f>
        <v>9720</v>
      </c>
      <c r="N970" t="str">
        <f>IF(GhanaStream[[#This Row],[Churn Flag]]="Yes","Churned","Retained")</f>
        <v>Retained</v>
      </c>
    </row>
    <row r="971" spans="1:14" x14ac:dyDescent="0.25">
      <c r="A971" t="s">
        <v>1009</v>
      </c>
      <c r="B971" s="1">
        <v>45464</v>
      </c>
      <c r="C971" t="s">
        <v>12</v>
      </c>
      <c r="D971" t="s">
        <v>27</v>
      </c>
      <c r="E971">
        <v>16200</v>
      </c>
      <c r="F971" t="s">
        <v>32</v>
      </c>
      <c r="G971" t="s">
        <v>28</v>
      </c>
      <c r="H971" t="s">
        <v>33</v>
      </c>
      <c r="I971" t="s">
        <v>34</v>
      </c>
      <c r="J971" t="s">
        <v>35</v>
      </c>
      <c r="K971">
        <v>0.1</v>
      </c>
      <c r="L97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971">
        <f>GhanaStream[[#This Row],[Subscription Fee]]-(GhanaStream[[#This Row],[Discount]]*GhanaStream[[#This Row],[Subscription Fee]])</f>
        <v>14580</v>
      </c>
      <c r="N971" t="str">
        <f>IF(GhanaStream[[#This Row],[Churn Flag]]="Yes","Churned","Retained")</f>
        <v>Retained</v>
      </c>
    </row>
    <row r="972" spans="1:14" x14ac:dyDescent="0.25">
      <c r="A972" t="s">
        <v>1010</v>
      </c>
      <c r="B972" s="1">
        <v>44928</v>
      </c>
      <c r="C972" t="s">
        <v>20</v>
      </c>
      <c r="D972" t="s">
        <v>27</v>
      </c>
      <c r="E972">
        <v>5400</v>
      </c>
      <c r="F972" t="s">
        <v>14</v>
      </c>
      <c r="G972" t="s">
        <v>28</v>
      </c>
      <c r="H972" t="s">
        <v>16</v>
      </c>
      <c r="I972" t="s">
        <v>17</v>
      </c>
      <c r="J972" t="s">
        <v>41</v>
      </c>
      <c r="K972">
        <v>0.1</v>
      </c>
      <c r="L97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972">
        <f>GhanaStream[[#This Row],[Subscription Fee]]-(GhanaStream[[#This Row],[Discount]]*GhanaStream[[#This Row],[Subscription Fee]])</f>
        <v>4860</v>
      </c>
      <c r="N972" t="str">
        <f>IF(GhanaStream[[#This Row],[Churn Flag]]="Yes","Churned","Retained")</f>
        <v>Churned</v>
      </c>
    </row>
    <row r="973" spans="1:14" x14ac:dyDescent="0.25">
      <c r="A973" t="s">
        <v>1011</v>
      </c>
      <c r="B973" s="1">
        <v>45472</v>
      </c>
      <c r="C973" t="s">
        <v>20</v>
      </c>
      <c r="D973" t="s">
        <v>27</v>
      </c>
      <c r="E973">
        <v>5400</v>
      </c>
      <c r="F973" t="s">
        <v>21</v>
      </c>
      <c r="G973" t="s">
        <v>15</v>
      </c>
      <c r="H973" t="s">
        <v>33</v>
      </c>
      <c r="I973" t="s">
        <v>34</v>
      </c>
      <c r="J973" t="s">
        <v>18</v>
      </c>
      <c r="K973">
        <v>0.1</v>
      </c>
      <c r="L97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973">
        <f>GhanaStream[[#This Row],[Subscription Fee]]-(GhanaStream[[#This Row],[Discount]]*GhanaStream[[#This Row],[Subscription Fee]])</f>
        <v>4860</v>
      </c>
      <c r="N973" t="str">
        <f>IF(GhanaStream[[#This Row],[Churn Flag]]="Yes","Churned","Retained")</f>
        <v>Retained</v>
      </c>
    </row>
    <row r="974" spans="1:14" x14ac:dyDescent="0.25">
      <c r="A974" t="s">
        <v>1012</v>
      </c>
      <c r="B974" s="1">
        <v>45547</v>
      </c>
      <c r="C974" t="s">
        <v>31</v>
      </c>
      <c r="D974" t="s">
        <v>13</v>
      </c>
      <c r="E974">
        <v>1000</v>
      </c>
      <c r="F974" t="s">
        <v>49</v>
      </c>
      <c r="G974" t="s">
        <v>28</v>
      </c>
      <c r="H974" t="s">
        <v>33</v>
      </c>
      <c r="I974" t="s">
        <v>34</v>
      </c>
      <c r="J974" t="s">
        <v>35</v>
      </c>
      <c r="K974">
        <v>0</v>
      </c>
      <c r="L97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974">
        <f>GhanaStream[[#This Row],[Subscription Fee]]-(GhanaStream[[#This Row],[Discount]]*GhanaStream[[#This Row],[Subscription Fee]])</f>
        <v>1000</v>
      </c>
      <c r="N974" t="str">
        <f>IF(GhanaStream[[#This Row],[Churn Flag]]="Yes","Churned","Retained")</f>
        <v>Retained</v>
      </c>
    </row>
    <row r="975" spans="1:14" x14ac:dyDescent="0.25">
      <c r="A975" t="s">
        <v>1013</v>
      </c>
      <c r="B975" s="1">
        <v>45568</v>
      </c>
      <c r="C975" t="s">
        <v>12</v>
      </c>
      <c r="D975" t="s">
        <v>13</v>
      </c>
      <c r="E975">
        <v>1500</v>
      </c>
      <c r="F975" t="s">
        <v>21</v>
      </c>
      <c r="G975" t="s">
        <v>28</v>
      </c>
      <c r="H975" t="s">
        <v>33</v>
      </c>
      <c r="I975" t="s">
        <v>34</v>
      </c>
      <c r="J975" t="s">
        <v>22</v>
      </c>
      <c r="K975">
        <v>0</v>
      </c>
      <c r="L97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975">
        <f>GhanaStream[[#This Row],[Subscription Fee]]-(GhanaStream[[#This Row],[Discount]]*GhanaStream[[#This Row],[Subscription Fee]])</f>
        <v>1500</v>
      </c>
      <c r="N975" t="str">
        <f>IF(GhanaStream[[#This Row],[Churn Flag]]="Yes","Churned","Retained")</f>
        <v>Retained</v>
      </c>
    </row>
    <row r="976" spans="1:14" x14ac:dyDescent="0.25">
      <c r="A976" t="s">
        <v>1014</v>
      </c>
      <c r="B976" s="1">
        <v>45266</v>
      </c>
      <c r="C976" t="s">
        <v>31</v>
      </c>
      <c r="D976" t="s">
        <v>13</v>
      </c>
      <c r="E976">
        <v>1000</v>
      </c>
      <c r="F976" t="s">
        <v>14</v>
      </c>
      <c r="G976" t="s">
        <v>24</v>
      </c>
      <c r="H976" t="s">
        <v>33</v>
      </c>
      <c r="I976" t="s">
        <v>34</v>
      </c>
      <c r="J976" t="s">
        <v>18</v>
      </c>
      <c r="K976">
        <v>0</v>
      </c>
      <c r="L97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976">
        <f>GhanaStream[[#This Row],[Subscription Fee]]-(GhanaStream[[#This Row],[Discount]]*GhanaStream[[#This Row],[Subscription Fee]])</f>
        <v>1000</v>
      </c>
      <c r="N976" t="str">
        <f>IF(GhanaStream[[#This Row],[Churn Flag]]="Yes","Churned","Retained")</f>
        <v>Retained</v>
      </c>
    </row>
    <row r="977" spans="1:14" x14ac:dyDescent="0.25">
      <c r="A977" t="s">
        <v>1015</v>
      </c>
      <c r="B977" s="1">
        <v>45052</v>
      </c>
      <c r="C977" t="s">
        <v>20</v>
      </c>
      <c r="D977" t="s">
        <v>13</v>
      </c>
      <c r="E977">
        <v>500</v>
      </c>
      <c r="F977" t="s">
        <v>21</v>
      </c>
      <c r="G977" t="s">
        <v>28</v>
      </c>
      <c r="H977" t="s">
        <v>16</v>
      </c>
      <c r="I977" t="s">
        <v>17</v>
      </c>
      <c r="J977" t="s">
        <v>29</v>
      </c>
      <c r="K977">
        <v>0</v>
      </c>
      <c r="L97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977">
        <f>GhanaStream[[#This Row],[Subscription Fee]]-(GhanaStream[[#This Row],[Discount]]*GhanaStream[[#This Row],[Subscription Fee]])</f>
        <v>500</v>
      </c>
      <c r="N977" t="str">
        <f>IF(GhanaStream[[#This Row],[Churn Flag]]="Yes","Churned","Retained")</f>
        <v>Churned</v>
      </c>
    </row>
    <row r="978" spans="1:14" x14ac:dyDescent="0.25">
      <c r="A978" t="s">
        <v>1016</v>
      </c>
      <c r="B978" s="1">
        <v>44985</v>
      </c>
      <c r="C978" t="s">
        <v>31</v>
      </c>
      <c r="D978" t="s">
        <v>13</v>
      </c>
      <c r="E978">
        <v>1000</v>
      </c>
      <c r="F978" t="s">
        <v>21</v>
      </c>
      <c r="G978" t="s">
        <v>28</v>
      </c>
      <c r="H978" t="s">
        <v>33</v>
      </c>
      <c r="I978" t="s">
        <v>34</v>
      </c>
      <c r="J978" t="s">
        <v>29</v>
      </c>
      <c r="K978">
        <v>0</v>
      </c>
      <c r="L97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978">
        <f>GhanaStream[[#This Row],[Subscription Fee]]-(GhanaStream[[#This Row],[Discount]]*GhanaStream[[#This Row],[Subscription Fee]])</f>
        <v>1000</v>
      </c>
      <c r="N978" t="str">
        <f>IF(GhanaStream[[#This Row],[Churn Flag]]="Yes","Churned","Retained")</f>
        <v>Retained</v>
      </c>
    </row>
    <row r="979" spans="1:14" x14ac:dyDescent="0.25">
      <c r="A979" t="s">
        <v>1017</v>
      </c>
      <c r="B979" s="1">
        <v>45252</v>
      </c>
      <c r="C979" t="s">
        <v>31</v>
      </c>
      <c r="D979" t="s">
        <v>13</v>
      </c>
      <c r="E979">
        <v>1000</v>
      </c>
      <c r="F979" t="s">
        <v>32</v>
      </c>
      <c r="G979" t="s">
        <v>24</v>
      </c>
      <c r="H979" t="s">
        <v>16</v>
      </c>
      <c r="I979" t="s">
        <v>17</v>
      </c>
      <c r="J979" t="s">
        <v>44</v>
      </c>
      <c r="K979">
        <v>0</v>
      </c>
      <c r="L97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979">
        <f>GhanaStream[[#This Row],[Subscription Fee]]-(GhanaStream[[#This Row],[Discount]]*GhanaStream[[#This Row],[Subscription Fee]])</f>
        <v>1000</v>
      </c>
      <c r="N979" t="str">
        <f>IF(GhanaStream[[#This Row],[Churn Flag]]="Yes","Churned","Retained")</f>
        <v>Churned</v>
      </c>
    </row>
    <row r="980" spans="1:14" x14ac:dyDescent="0.25">
      <c r="A980" t="s">
        <v>1018</v>
      </c>
      <c r="B980" s="1">
        <v>45358</v>
      </c>
      <c r="C980" t="s">
        <v>20</v>
      </c>
      <c r="D980" t="s">
        <v>13</v>
      </c>
      <c r="E980">
        <v>500</v>
      </c>
      <c r="F980" t="s">
        <v>14</v>
      </c>
      <c r="G980" t="s">
        <v>24</v>
      </c>
      <c r="H980" t="s">
        <v>33</v>
      </c>
      <c r="I980" t="s">
        <v>34</v>
      </c>
      <c r="J980" t="s">
        <v>22</v>
      </c>
      <c r="K980">
        <v>0</v>
      </c>
      <c r="L98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980">
        <f>GhanaStream[[#This Row],[Subscription Fee]]-(GhanaStream[[#This Row],[Discount]]*GhanaStream[[#This Row],[Subscription Fee]])</f>
        <v>500</v>
      </c>
      <c r="N980" t="str">
        <f>IF(GhanaStream[[#This Row],[Churn Flag]]="Yes","Churned","Retained")</f>
        <v>Retained</v>
      </c>
    </row>
    <row r="981" spans="1:14" x14ac:dyDescent="0.25">
      <c r="A981" t="s">
        <v>1019</v>
      </c>
      <c r="B981" s="1">
        <v>45269</v>
      </c>
      <c r="C981" t="s">
        <v>31</v>
      </c>
      <c r="D981" t="s">
        <v>13</v>
      </c>
      <c r="E981">
        <v>1000</v>
      </c>
      <c r="F981" t="s">
        <v>14</v>
      </c>
      <c r="G981" t="s">
        <v>15</v>
      </c>
      <c r="H981" t="s">
        <v>16</v>
      </c>
      <c r="I981" t="s">
        <v>17</v>
      </c>
      <c r="J981" t="s">
        <v>37</v>
      </c>
      <c r="K981">
        <v>0</v>
      </c>
      <c r="L98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981">
        <f>GhanaStream[[#This Row],[Subscription Fee]]-(GhanaStream[[#This Row],[Discount]]*GhanaStream[[#This Row],[Subscription Fee]])</f>
        <v>1000</v>
      </c>
      <c r="N981" t="str">
        <f>IF(GhanaStream[[#This Row],[Churn Flag]]="Yes","Churned","Retained")</f>
        <v>Churned</v>
      </c>
    </row>
    <row r="982" spans="1:14" x14ac:dyDescent="0.25">
      <c r="A982" t="s">
        <v>1020</v>
      </c>
      <c r="B982" s="1">
        <v>45357</v>
      </c>
      <c r="C982" t="s">
        <v>31</v>
      </c>
      <c r="D982" t="s">
        <v>27</v>
      </c>
      <c r="E982">
        <v>10800</v>
      </c>
      <c r="F982" t="s">
        <v>32</v>
      </c>
      <c r="G982" t="s">
        <v>15</v>
      </c>
      <c r="H982" t="s">
        <v>33</v>
      </c>
      <c r="I982" t="s">
        <v>34</v>
      </c>
      <c r="J982" t="s">
        <v>35</v>
      </c>
      <c r="K982">
        <v>0.1</v>
      </c>
      <c r="L98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982">
        <f>GhanaStream[[#This Row],[Subscription Fee]]-(GhanaStream[[#This Row],[Discount]]*GhanaStream[[#This Row],[Subscription Fee]])</f>
        <v>9720</v>
      </c>
      <c r="N982" t="str">
        <f>IF(GhanaStream[[#This Row],[Churn Flag]]="Yes","Churned","Retained")</f>
        <v>Retained</v>
      </c>
    </row>
    <row r="983" spans="1:14" x14ac:dyDescent="0.25">
      <c r="A983" t="s">
        <v>1021</v>
      </c>
      <c r="B983" s="1">
        <v>45245</v>
      </c>
      <c r="C983" t="s">
        <v>31</v>
      </c>
      <c r="D983" t="s">
        <v>27</v>
      </c>
      <c r="E983">
        <v>10800</v>
      </c>
      <c r="F983" t="s">
        <v>32</v>
      </c>
      <c r="G983" t="s">
        <v>24</v>
      </c>
      <c r="H983" t="s">
        <v>16</v>
      </c>
      <c r="I983" t="s">
        <v>17</v>
      </c>
      <c r="J983" t="s">
        <v>25</v>
      </c>
      <c r="K983">
        <v>0.1</v>
      </c>
      <c r="L98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983">
        <f>GhanaStream[[#This Row],[Subscription Fee]]-(GhanaStream[[#This Row],[Discount]]*GhanaStream[[#This Row],[Subscription Fee]])</f>
        <v>9720</v>
      </c>
      <c r="N983" t="str">
        <f>IF(GhanaStream[[#This Row],[Churn Flag]]="Yes","Churned","Retained")</f>
        <v>Churned</v>
      </c>
    </row>
    <row r="984" spans="1:14" x14ac:dyDescent="0.25">
      <c r="A984" t="s">
        <v>1022</v>
      </c>
      <c r="B984" s="1">
        <v>45221</v>
      </c>
      <c r="C984" t="s">
        <v>12</v>
      </c>
      <c r="D984" t="s">
        <v>27</v>
      </c>
      <c r="E984">
        <v>16200</v>
      </c>
      <c r="F984" t="s">
        <v>32</v>
      </c>
      <c r="G984" t="s">
        <v>15</v>
      </c>
      <c r="H984" t="s">
        <v>33</v>
      </c>
      <c r="I984" t="s">
        <v>34</v>
      </c>
      <c r="J984" t="s">
        <v>44</v>
      </c>
      <c r="K984">
        <v>0.1</v>
      </c>
      <c r="L98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984">
        <f>GhanaStream[[#This Row],[Subscription Fee]]-(GhanaStream[[#This Row],[Discount]]*GhanaStream[[#This Row],[Subscription Fee]])</f>
        <v>14580</v>
      </c>
      <c r="N984" t="str">
        <f>IF(GhanaStream[[#This Row],[Churn Flag]]="Yes","Churned","Retained")</f>
        <v>Retained</v>
      </c>
    </row>
    <row r="985" spans="1:14" x14ac:dyDescent="0.25">
      <c r="A985" t="s">
        <v>1023</v>
      </c>
      <c r="B985" s="1">
        <v>45110</v>
      </c>
      <c r="C985" t="s">
        <v>20</v>
      </c>
      <c r="D985" t="s">
        <v>13</v>
      </c>
      <c r="E985">
        <v>500</v>
      </c>
      <c r="F985" t="s">
        <v>21</v>
      </c>
      <c r="G985" t="s">
        <v>24</v>
      </c>
      <c r="H985" t="s">
        <v>33</v>
      </c>
      <c r="I985" t="s">
        <v>34</v>
      </c>
      <c r="J985" t="s">
        <v>29</v>
      </c>
      <c r="K985">
        <v>0</v>
      </c>
      <c r="L98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985">
        <f>GhanaStream[[#This Row],[Subscription Fee]]-(GhanaStream[[#This Row],[Discount]]*GhanaStream[[#This Row],[Subscription Fee]])</f>
        <v>500</v>
      </c>
      <c r="N985" t="str">
        <f>IF(GhanaStream[[#This Row],[Churn Flag]]="Yes","Churned","Retained")</f>
        <v>Retained</v>
      </c>
    </row>
    <row r="986" spans="1:14" x14ac:dyDescent="0.25">
      <c r="A986" t="s">
        <v>1024</v>
      </c>
      <c r="B986" s="1">
        <v>45266</v>
      </c>
      <c r="C986" t="s">
        <v>31</v>
      </c>
      <c r="D986" t="s">
        <v>27</v>
      </c>
      <c r="E986">
        <v>10800</v>
      </c>
      <c r="F986" t="s">
        <v>21</v>
      </c>
      <c r="G986" t="s">
        <v>28</v>
      </c>
      <c r="H986" t="s">
        <v>33</v>
      </c>
      <c r="I986" t="s">
        <v>34</v>
      </c>
      <c r="J986" t="s">
        <v>29</v>
      </c>
      <c r="K986">
        <v>0.1</v>
      </c>
      <c r="L98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986">
        <f>GhanaStream[[#This Row],[Subscription Fee]]-(GhanaStream[[#This Row],[Discount]]*GhanaStream[[#This Row],[Subscription Fee]])</f>
        <v>9720</v>
      </c>
      <c r="N986" t="str">
        <f>IF(GhanaStream[[#This Row],[Churn Flag]]="Yes","Churned","Retained")</f>
        <v>Retained</v>
      </c>
    </row>
    <row r="987" spans="1:14" x14ac:dyDescent="0.25">
      <c r="A987" t="s">
        <v>1025</v>
      </c>
      <c r="B987" s="1">
        <v>45008</v>
      </c>
      <c r="C987" t="s">
        <v>31</v>
      </c>
      <c r="D987" t="s">
        <v>13</v>
      </c>
      <c r="E987">
        <v>1000</v>
      </c>
      <c r="F987" t="s">
        <v>21</v>
      </c>
      <c r="G987" t="s">
        <v>15</v>
      </c>
      <c r="H987" t="s">
        <v>16</v>
      </c>
      <c r="I987" t="s">
        <v>17</v>
      </c>
      <c r="J987" t="s">
        <v>25</v>
      </c>
      <c r="K987">
        <v>0</v>
      </c>
      <c r="L98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987">
        <f>GhanaStream[[#This Row],[Subscription Fee]]-(GhanaStream[[#This Row],[Discount]]*GhanaStream[[#This Row],[Subscription Fee]])</f>
        <v>1000</v>
      </c>
      <c r="N987" t="str">
        <f>IF(GhanaStream[[#This Row],[Churn Flag]]="Yes","Churned","Retained")</f>
        <v>Churned</v>
      </c>
    </row>
    <row r="988" spans="1:14" x14ac:dyDescent="0.25">
      <c r="A988" t="s">
        <v>1026</v>
      </c>
      <c r="B988" s="1">
        <v>45414</v>
      </c>
      <c r="C988" t="s">
        <v>12</v>
      </c>
      <c r="D988" t="s">
        <v>13</v>
      </c>
      <c r="E988">
        <v>1500</v>
      </c>
      <c r="F988" t="s">
        <v>21</v>
      </c>
      <c r="G988" t="s">
        <v>28</v>
      </c>
      <c r="H988" t="s">
        <v>16</v>
      </c>
      <c r="I988" t="s">
        <v>17</v>
      </c>
      <c r="J988" t="s">
        <v>22</v>
      </c>
      <c r="K988">
        <v>0</v>
      </c>
      <c r="L98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988">
        <f>GhanaStream[[#This Row],[Subscription Fee]]-(GhanaStream[[#This Row],[Discount]]*GhanaStream[[#This Row],[Subscription Fee]])</f>
        <v>1500</v>
      </c>
      <c r="N988" t="str">
        <f>IF(GhanaStream[[#This Row],[Churn Flag]]="Yes","Churned","Retained")</f>
        <v>Churned</v>
      </c>
    </row>
    <row r="989" spans="1:14" x14ac:dyDescent="0.25">
      <c r="A989" t="s">
        <v>1027</v>
      </c>
      <c r="B989" s="1">
        <v>45614</v>
      </c>
      <c r="C989" t="s">
        <v>31</v>
      </c>
      <c r="D989" t="s">
        <v>13</v>
      </c>
      <c r="E989">
        <v>1000</v>
      </c>
      <c r="F989" t="s">
        <v>14</v>
      </c>
      <c r="G989" t="s">
        <v>28</v>
      </c>
      <c r="H989" t="s">
        <v>16</v>
      </c>
      <c r="I989" t="s">
        <v>17</v>
      </c>
      <c r="J989" t="s">
        <v>22</v>
      </c>
      <c r="K989">
        <v>0</v>
      </c>
      <c r="L98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989">
        <f>GhanaStream[[#This Row],[Subscription Fee]]-(GhanaStream[[#This Row],[Discount]]*GhanaStream[[#This Row],[Subscription Fee]])</f>
        <v>1000</v>
      </c>
      <c r="N989" t="str">
        <f>IF(GhanaStream[[#This Row],[Churn Flag]]="Yes","Churned","Retained")</f>
        <v>Churned</v>
      </c>
    </row>
    <row r="990" spans="1:14" x14ac:dyDescent="0.25">
      <c r="A990" t="s">
        <v>1028</v>
      </c>
      <c r="B990" s="1">
        <v>44997</v>
      </c>
      <c r="C990" t="s">
        <v>12</v>
      </c>
      <c r="D990" t="s">
        <v>27</v>
      </c>
      <c r="E990">
        <v>16200</v>
      </c>
      <c r="F990" t="s">
        <v>21</v>
      </c>
      <c r="G990" t="s">
        <v>24</v>
      </c>
      <c r="H990" t="s">
        <v>16</v>
      </c>
      <c r="I990" t="s">
        <v>17</v>
      </c>
      <c r="J990" t="s">
        <v>29</v>
      </c>
      <c r="K990">
        <v>0.1</v>
      </c>
      <c r="L99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990">
        <f>GhanaStream[[#This Row],[Subscription Fee]]-(GhanaStream[[#This Row],[Discount]]*GhanaStream[[#This Row],[Subscription Fee]])</f>
        <v>14580</v>
      </c>
      <c r="N990" t="str">
        <f>IF(GhanaStream[[#This Row],[Churn Flag]]="Yes","Churned","Retained")</f>
        <v>Churned</v>
      </c>
    </row>
    <row r="991" spans="1:14" x14ac:dyDescent="0.25">
      <c r="A991" t="s">
        <v>1029</v>
      </c>
      <c r="B991" s="1">
        <v>45076</v>
      </c>
      <c r="C991" t="s">
        <v>12</v>
      </c>
      <c r="D991" t="s">
        <v>13</v>
      </c>
      <c r="E991">
        <v>1500</v>
      </c>
      <c r="F991" t="s">
        <v>32</v>
      </c>
      <c r="G991" t="s">
        <v>15</v>
      </c>
      <c r="H991" t="s">
        <v>33</v>
      </c>
      <c r="I991" t="s">
        <v>34</v>
      </c>
      <c r="J991" t="s">
        <v>66</v>
      </c>
      <c r="K991">
        <v>0</v>
      </c>
      <c r="L99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991">
        <f>GhanaStream[[#This Row],[Subscription Fee]]-(GhanaStream[[#This Row],[Discount]]*GhanaStream[[#This Row],[Subscription Fee]])</f>
        <v>1500</v>
      </c>
      <c r="N991" t="str">
        <f>IF(GhanaStream[[#This Row],[Churn Flag]]="Yes","Churned","Retained")</f>
        <v>Retained</v>
      </c>
    </row>
    <row r="992" spans="1:14" x14ac:dyDescent="0.25">
      <c r="A992" t="s">
        <v>1030</v>
      </c>
      <c r="B992" s="1">
        <v>45133</v>
      </c>
      <c r="C992" t="s">
        <v>12</v>
      </c>
      <c r="D992" t="s">
        <v>27</v>
      </c>
      <c r="E992">
        <v>16200</v>
      </c>
      <c r="F992" t="s">
        <v>14</v>
      </c>
      <c r="G992" t="s">
        <v>24</v>
      </c>
      <c r="H992" t="s">
        <v>16</v>
      </c>
      <c r="I992" t="s">
        <v>17</v>
      </c>
      <c r="J992" t="s">
        <v>22</v>
      </c>
      <c r="K992">
        <v>0.1</v>
      </c>
      <c r="L99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992">
        <f>GhanaStream[[#This Row],[Subscription Fee]]-(GhanaStream[[#This Row],[Discount]]*GhanaStream[[#This Row],[Subscription Fee]])</f>
        <v>14580</v>
      </c>
      <c r="N992" t="str">
        <f>IF(GhanaStream[[#This Row],[Churn Flag]]="Yes","Churned","Retained")</f>
        <v>Churned</v>
      </c>
    </row>
    <row r="993" spans="1:14" x14ac:dyDescent="0.25">
      <c r="A993" t="s">
        <v>1031</v>
      </c>
      <c r="B993" s="1">
        <v>44954</v>
      </c>
      <c r="C993" t="s">
        <v>20</v>
      </c>
      <c r="D993" t="s">
        <v>27</v>
      </c>
      <c r="E993">
        <v>5400</v>
      </c>
      <c r="F993" t="s">
        <v>14</v>
      </c>
      <c r="G993" t="s">
        <v>28</v>
      </c>
      <c r="H993" t="s">
        <v>16</v>
      </c>
      <c r="I993" t="s">
        <v>17</v>
      </c>
      <c r="J993" t="s">
        <v>55</v>
      </c>
      <c r="K993">
        <v>0.1</v>
      </c>
      <c r="L99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993">
        <f>GhanaStream[[#This Row],[Subscription Fee]]-(GhanaStream[[#This Row],[Discount]]*GhanaStream[[#This Row],[Subscription Fee]])</f>
        <v>4860</v>
      </c>
      <c r="N993" t="str">
        <f>IF(GhanaStream[[#This Row],[Churn Flag]]="Yes","Churned","Retained")</f>
        <v>Churned</v>
      </c>
    </row>
    <row r="994" spans="1:14" x14ac:dyDescent="0.25">
      <c r="A994" t="s">
        <v>1032</v>
      </c>
      <c r="B994" s="1">
        <v>45527</v>
      </c>
      <c r="C994" t="s">
        <v>20</v>
      </c>
      <c r="D994" t="s">
        <v>13</v>
      </c>
      <c r="E994">
        <v>500</v>
      </c>
      <c r="F994" t="s">
        <v>14</v>
      </c>
      <c r="G994" t="s">
        <v>15</v>
      </c>
      <c r="H994" t="s">
        <v>33</v>
      </c>
      <c r="I994" t="s">
        <v>34</v>
      </c>
      <c r="J994" t="s">
        <v>55</v>
      </c>
      <c r="K994">
        <v>0</v>
      </c>
      <c r="L99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994">
        <f>GhanaStream[[#This Row],[Subscription Fee]]-(GhanaStream[[#This Row],[Discount]]*GhanaStream[[#This Row],[Subscription Fee]])</f>
        <v>500</v>
      </c>
      <c r="N994" t="str">
        <f>IF(GhanaStream[[#This Row],[Churn Flag]]="Yes","Churned","Retained")</f>
        <v>Retained</v>
      </c>
    </row>
    <row r="995" spans="1:14" x14ac:dyDescent="0.25">
      <c r="A995" t="s">
        <v>1033</v>
      </c>
      <c r="B995" s="1">
        <v>45088</v>
      </c>
      <c r="C995" t="s">
        <v>12</v>
      </c>
      <c r="D995" t="s">
        <v>27</v>
      </c>
      <c r="E995">
        <v>16200</v>
      </c>
      <c r="F995" t="s">
        <v>49</v>
      </c>
      <c r="G995" t="s">
        <v>24</v>
      </c>
      <c r="H995" t="s">
        <v>16</v>
      </c>
      <c r="I995" t="s">
        <v>17</v>
      </c>
      <c r="J995" t="s">
        <v>25</v>
      </c>
      <c r="K995">
        <v>0.1</v>
      </c>
      <c r="L99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995">
        <f>GhanaStream[[#This Row],[Subscription Fee]]-(GhanaStream[[#This Row],[Discount]]*GhanaStream[[#This Row],[Subscription Fee]])</f>
        <v>14580</v>
      </c>
      <c r="N995" t="str">
        <f>IF(GhanaStream[[#This Row],[Churn Flag]]="Yes","Churned","Retained")</f>
        <v>Churned</v>
      </c>
    </row>
    <row r="996" spans="1:14" x14ac:dyDescent="0.25">
      <c r="A996" t="s">
        <v>1034</v>
      </c>
      <c r="B996" s="1">
        <v>45051</v>
      </c>
      <c r="C996" t="s">
        <v>12</v>
      </c>
      <c r="D996" t="s">
        <v>27</v>
      </c>
      <c r="E996">
        <v>16200</v>
      </c>
      <c r="F996" t="s">
        <v>32</v>
      </c>
      <c r="G996" t="s">
        <v>15</v>
      </c>
      <c r="H996" t="s">
        <v>16</v>
      </c>
      <c r="I996" t="s">
        <v>17</v>
      </c>
      <c r="J996" t="s">
        <v>44</v>
      </c>
      <c r="K996">
        <v>0.1</v>
      </c>
      <c r="L99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996">
        <f>GhanaStream[[#This Row],[Subscription Fee]]-(GhanaStream[[#This Row],[Discount]]*GhanaStream[[#This Row],[Subscription Fee]])</f>
        <v>14580</v>
      </c>
      <c r="N996" t="str">
        <f>IF(GhanaStream[[#This Row],[Churn Flag]]="Yes","Churned","Retained")</f>
        <v>Churned</v>
      </c>
    </row>
    <row r="997" spans="1:14" x14ac:dyDescent="0.25">
      <c r="A997" t="s">
        <v>1035</v>
      </c>
      <c r="B997" s="1">
        <v>45178</v>
      </c>
      <c r="C997" t="s">
        <v>12</v>
      </c>
      <c r="D997" t="s">
        <v>13</v>
      </c>
      <c r="E997">
        <v>1500</v>
      </c>
      <c r="F997" t="s">
        <v>21</v>
      </c>
      <c r="G997" t="s">
        <v>28</v>
      </c>
      <c r="H997" t="s">
        <v>16</v>
      </c>
      <c r="I997" t="s">
        <v>17</v>
      </c>
      <c r="J997" t="s">
        <v>29</v>
      </c>
      <c r="K997">
        <v>0</v>
      </c>
      <c r="L99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997">
        <f>GhanaStream[[#This Row],[Subscription Fee]]-(GhanaStream[[#This Row],[Discount]]*GhanaStream[[#This Row],[Subscription Fee]])</f>
        <v>1500</v>
      </c>
      <c r="N997" t="str">
        <f>IF(GhanaStream[[#This Row],[Churn Flag]]="Yes","Churned","Retained")</f>
        <v>Churned</v>
      </c>
    </row>
    <row r="998" spans="1:14" x14ac:dyDescent="0.25">
      <c r="A998" t="s">
        <v>1036</v>
      </c>
      <c r="B998" s="1">
        <v>45001</v>
      </c>
      <c r="C998" t="s">
        <v>20</v>
      </c>
      <c r="D998" t="s">
        <v>13</v>
      </c>
      <c r="E998">
        <v>500</v>
      </c>
      <c r="F998" t="s">
        <v>49</v>
      </c>
      <c r="G998" t="s">
        <v>24</v>
      </c>
      <c r="H998" t="s">
        <v>16</v>
      </c>
      <c r="I998" t="s">
        <v>17</v>
      </c>
      <c r="J998" t="s">
        <v>22</v>
      </c>
      <c r="K998">
        <v>0</v>
      </c>
      <c r="L99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998">
        <f>GhanaStream[[#This Row],[Subscription Fee]]-(GhanaStream[[#This Row],[Discount]]*GhanaStream[[#This Row],[Subscription Fee]])</f>
        <v>500</v>
      </c>
      <c r="N998" t="str">
        <f>IF(GhanaStream[[#This Row],[Churn Flag]]="Yes","Churned","Retained")</f>
        <v>Churned</v>
      </c>
    </row>
    <row r="999" spans="1:14" x14ac:dyDescent="0.25">
      <c r="A999" t="s">
        <v>1037</v>
      </c>
      <c r="B999" s="1">
        <v>45604</v>
      </c>
      <c r="C999" t="s">
        <v>31</v>
      </c>
      <c r="D999" t="s">
        <v>27</v>
      </c>
      <c r="E999">
        <v>10800</v>
      </c>
      <c r="F999" t="s">
        <v>32</v>
      </c>
      <c r="G999" t="s">
        <v>15</v>
      </c>
      <c r="H999" t="s">
        <v>16</v>
      </c>
      <c r="I999" t="s">
        <v>17</v>
      </c>
      <c r="J999" t="s">
        <v>44</v>
      </c>
      <c r="K999">
        <v>0.1</v>
      </c>
      <c r="L99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999">
        <f>GhanaStream[[#This Row],[Subscription Fee]]-(GhanaStream[[#This Row],[Discount]]*GhanaStream[[#This Row],[Subscription Fee]])</f>
        <v>9720</v>
      </c>
      <c r="N999" t="str">
        <f>IF(GhanaStream[[#This Row],[Churn Flag]]="Yes","Churned","Retained")</f>
        <v>Churned</v>
      </c>
    </row>
    <row r="1000" spans="1:14" x14ac:dyDescent="0.25">
      <c r="A1000" t="s">
        <v>1038</v>
      </c>
      <c r="B1000" s="1">
        <v>45020</v>
      </c>
      <c r="C1000" t="s">
        <v>31</v>
      </c>
      <c r="D1000" t="s">
        <v>13</v>
      </c>
      <c r="E1000">
        <v>1000</v>
      </c>
      <c r="F1000" t="s">
        <v>21</v>
      </c>
      <c r="G1000" t="s">
        <v>15</v>
      </c>
      <c r="H1000" t="s">
        <v>16</v>
      </c>
      <c r="I1000" t="s">
        <v>17</v>
      </c>
      <c r="J1000" t="s">
        <v>18</v>
      </c>
      <c r="K1000">
        <v>0</v>
      </c>
      <c r="L100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000">
        <f>GhanaStream[[#This Row],[Subscription Fee]]-(GhanaStream[[#This Row],[Discount]]*GhanaStream[[#This Row],[Subscription Fee]])</f>
        <v>1000</v>
      </c>
      <c r="N1000" t="str">
        <f>IF(GhanaStream[[#This Row],[Churn Flag]]="Yes","Churned","Retained")</f>
        <v>Churned</v>
      </c>
    </row>
    <row r="1001" spans="1:14" x14ac:dyDescent="0.25">
      <c r="A1001" t="s">
        <v>1039</v>
      </c>
      <c r="B1001" s="1">
        <v>45403</v>
      </c>
      <c r="C1001" t="s">
        <v>12</v>
      </c>
      <c r="D1001" t="s">
        <v>13</v>
      </c>
      <c r="E1001">
        <v>1500</v>
      </c>
      <c r="F1001" t="s">
        <v>14</v>
      </c>
      <c r="G1001" t="s">
        <v>24</v>
      </c>
      <c r="H1001" t="s">
        <v>33</v>
      </c>
      <c r="I1001" t="s">
        <v>34</v>
      </c>
      <c r="J1001" t="s">
        <v>41</v>
      </c>
      <c r="K1001">
        <v>0</v>
      </c>
      <c r="L100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001">
        <f>GhanaStream[[#This Row],[Subscription Fee]]-(GhanaStream[[#This Row],[Discount]]*GhanaStream[[#This Row],[Subscription Fee]])</f>
        <v>1500</v>
      </c>
      <c r="N1001" t="str">
        <f>IF(GhanaStream[[#This Row],[Churn Flag]]="Yes","Churned","Retained")</f>
        <v>Retained</v>
      </c>
    </row>
    <row r="1002" spans="1:14" x14ac:dyDescent="0.25">
      <c r="A1002" t="s">
        <v>1040</v>
      </c>
      <c r="B1002" s="1">
        <v>45276</v>
      </c>
      <c r="C1002" t="s">
        <v>20</v>
      </c>
      <c r="D1002" t="s">
        <v>27</v>
      </c>
      <c r="E1002">
        <v>5400</v>
      </c>
      <c r="F1002" t="s">
        <v>14</v>
      </c>
      <c r="G1002" t="s">
        <v>15</v>
      </c>
      <c r="H1002" t="s">
        <v>33</v>
      </c>
      <c r="I1002" t="s">
        <v>34</v>
      </c>
      <c r="J1002" t="s">
        <v>41</v>
      </c>
      <c r="K1002">
        <v>0.1</v>
      </c>
      <c r="L100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002">
        <f>GhanaStream[[#This Row],[Subscription Fee]]-(GhanaStream[[#This Row],[Discount]]*GhanaStream[[#This Row],[Subscription Fee]])</f>
        <v>4860</v>
      </c>
      <c r="N1002" t="str">
        <f>IF(GhanaStream[[#This Row],[Churn Flag]]="Yes","Churned","Retained")</f>
        <v>Retained</v>
      </c>
    </row>
    <row r="1003" spans="1:14" x14ac:dyDescent="0.25">
      <c r="A1003" t="s">
        <v>1041</v>
      </c>
      <c r="B1003" s="1">
        <v>45142</v>
      </c>
      <c r="C1003" t="s">
        <v>31</v>
      </c>
      <c r="D1003" t="s">
        <v>27</v>
      </c>
      <c r="E1003">
        <v>10800</v>
      </c>
      <c r="F1003" t="s">
        <v>49</v>
      </c>
      <c r="G1003" t="s">
        <v>15</v>
      </c>
      <c r="H1003" t="s">
        <v>16</v>
      </c>
      <c r="I1003" t="s">
        <v>17</v>
      </c>
      <c r="J1003" t="s">
        <v>22</v>
      </c>
      <c r="K1003">
        <v>0.1</v>
      </c>
      <c r="L100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003">
        <f>GhanaStream[[#This Row],[Subscription Fee]]-(GhanaStream[[#This Row],[Discount]]*GhanaStream[[#This Row],[Subscription Fee]])</f>
        <v>9720</v>
      </c>
      <c r="N1003" t="str">
        <f>IF(GhanaStream[[#This Row],[Churn Flag]]="Yes","Churned","Retained")</f>
        <v>Churned</v>
      </c>
    </row>
    <row r="1004" spans="1:14" x14ac:dyDescent="0.25">
      <c r="A1004" t="s">
        <v>1042</v>
      </c>
      <c r="B1004" s="1">
        <v>45236</v>
      </c>
      <c r="C1004" t="s">
        <v>12</v>
      </c>
      <c r="D1004" t="s">
        <v>13</v>
      </c>
      <c r="E1004">
        <v>1500</v>
      </c>
      <c r="F1004" t="s">
        <v>21</v>
      </c>
      <c r="G1004" t="s">
        <v>24</v>
      </c>
      <c r="H1004" t="s">
        <v>33</v>
      </c>
      <c r="I1004" t="s">
        <v>34</v>
      </c>
      <c r="J1004" t="s">
        <v>25</v>
      </c>
      <c r="K1004">
        <v>0</v>
      </c>
      <c r="L100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004">
        <f>GhanaStream[[#This Row],[Subscription Fee]]-(GhanaStream[[#This Row],[Discount]]*GhanaStream[[#This Row],[Subscription Fee]])</f>
        <v>1500</v>
      </c>
      <c r="N1004" t="str">
        <f>IF(GhanaStream[[#This Row],[Churn Flag]]="Yes","Churned","Retained")</f>
        <v>Retained</v>
      </c>
    </row>
    <row r="1005" spans="1:14" x14ac:dyDescent="0.25">
      <c r="A1005" t="s">
        <v>1043</v>
      </c>
      <c r="B1005" s="1">
        <v>45108</v>
      </c>
      <c r="C1005" t="s">
        <v>31</v>
      </c>
      <c r="D1005" t="s">
        <v>13</v>
      </c>
      <c r="E1005">
        <v>1000</v>
      </c>
      <c r="F1005" t="s">
        <v>49</v>
      </c>
      <c r="G1005" t="s">
        <v>24</v>
      </c>
      <c r="H1005" t="s">
        <v>33</v>
      </c>
      <c r="I1005" t="s">
        <v>34</v>
      </c>
      <c r="J1005" t="s">
        <v>50</v>
      </c>
      <c r="K1005">
        <v>0</v>
      </c>
      <c r="L100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005">
        <f>GhanaStream[[#This Row],[Subscription Fee]]-(GhanaStream[[#This Row],[Discount]]*GhanaStream[[#This Row],[Subscription Fee]])</f>
        <v>1000</v>
      </c>
      <c r="N1005" t="str">
        <f>IF(GhanaStream[[#This Row],[Churn Flag]]="Yes","Churned","Retained")</f>
        <v>Retained</v>
      </c>
    </row>
    <row r="1006" spans="1:14" x14ac:dyDescent="0.25">
      <c r="A1006" t="s">
        <v>1044</v>
      </c>
      <c r="B1006" s="1">
        <v>45655</v>
      </c>
      <c r="C1006" t="s">
        <v>12</v>
      </c>
      <c r="D1006" t="s">
        <v>27</v>
      </c>
      <c r="E1006">
        <v>16200</v>
      </c>
      <c r="F1006" t="s">
        <v>21</v>
      </c>
      <c r="G1006" t="s">
        <v>28</v>
      </c>
      <c r="H1006" t="s">
        <v>33</v>
      </c>
      <c r="I1006" t="s">
        <v>34</v>
      </c>
      <c r="J1006" t="s">
        <v>29</v>
      </c>
      <c r="K1006">
        <v>0.1</v>
      </c>
      <c r="L100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006">
        <f>GhanaStream[[#This Row],[Subscription Fee]]-(GhanaStream[[#This Row],[Discount]]*GhanaStream[[#This Row],[Subscription Fee]])</f>
        <v>14580</v>
      </c>
      <c r="N1006" t="str">
        <f>IF(GhanaStream[[#This Row],[Churn Flag]]="Yes","Churned","Retained")</f>
        <v>Retained</v>
      </c>
    </row>
    <row r="1007" spans="1:14" x14ac:dyDescent="0.25">
      <c r="A1007" t="s">
        <v>1045</v>
      </c>
      <c r="B1007" s="1">
        <v>45097</v>
      </c>
      <c r="C1007" t="s">
        <v>20</v>
      </c>
      <c r="D1007" t="s">
        <v>13</v>
      </c>
      <c r="E1007">
        <v>500</v>
      </c>
      <c r="F1007" t="s">
        <v>14</v>
      </c>
      <c r="G1007" t="s">
        <v>15</v>
      </c>
      <c r="H1007" t="s">
        <v>16</v>
      </c>
      <c r="I1007" t="s">
        <v>17</v>
      </c>
      <c r="J1007" t="s">
        <v>18</v>
      </c>
      <c r="K1007">
        <v>0</v>
      </c>
      <c r="L100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007">
        <f>GhanaStream[[#This Row],[Subscription Fee]]-(GhanaStream[[#This Row],[Discount]]*GhanaStream[[#This Row],[Subscription Fee]])</f>
        <v>500</v>
      </c>
      <c r="N1007" t="str">
        <f>IF(GhanaStream[[#This Row],[Churn Flag]]="Yes","Churned","Retained")</f>
        <v>Churned</v>
      </c>
    </row>
    <row r="1008" spans="1:14" x14ac:dyDescent="0.25">
      <c r="A1008" t="s">
        <v>1046</v>
      </c>
      <c r="B1008" s="1">
        <v>45163</v>
      </c>
      <c r="C1008" t="s">
        <v>12</v>
      </c>
      <c r="D1008" t="s">
        <v>27</v>
      </c>
      <c r="E1008">
        <v>16200</v>
      </c>
      <c r="F1008" t="s">
        <v>49</v>
      </c>
      <c r="G1008" t="s">
        <v>28</v>
      </c>
      <c r="H1008" t="s">
        <v>33</v>
      </c>
      <c r="I1008" t="s">
        <v>34</v>
      </c>
      <c r="J1008" t="s">
        <v>18</v>
      </c>
      <c r="K1008">
        <v>0.1</v>
      </c>
      <c r="L100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008">
        <f>GhanaStream[[#This Row],[Subscription Fee]]-(GhanaStream[[#This Row],[Discount]]*GhanaStream[[#This Row],[Subscription Fee]])</f>
        <v>14580</v>
      </c>
      <c r="N1008" t="str">
        <f>IF(GhanaStream[[#This Row],[Churn Flag]]="Yes","Churned","Retained")</f>
        <v>Retained</v>
      </c>
    </row>
    <row r="1009" spans="1:14" x14ac:dyDescent="0.25">
      <c r="A1009" t="s">
        <v>1047</v>
      </c>
      <c r="B1009" s="1">
        <v>45250</v>
      </c>
      <c r="C1009" t="s">
        <v>12</v>
      </c>
      <c r="D1009" t="s">
        <v>13</v>
      </c>
      <c r="E1009">
        <v>1500</v>
      </c>
      <c r="F1009" t="s">
        <v>32</v>
      </c>
      <c r="G1009" t="s">
        <v>28</v>
      </c>
      <c r="H1009" t="s">
        <v>16</v>
      </c>
      <c r="I1009" t="s">
        <v>17</v>
      </c>
      <c r="J1009" t="s">
        <v>25</v>
      </c>
      <c r="K1009">
        <v>0</v>
      </c>
      <c r="L100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009">
        <f>GhanaStream[[#This Row],[Subscription Fee]]-(GhanaStream[[#This Row],[Discount]]*GhanaStream[[#This Row],[Subscription Fee]])</f>
        <v>1500</v>
      </c>
      <c r="N1009" t="str">
        <f>IF(GhanaStream[[#This Row],[Churn Flag]]="Yes","Churned","Retained")</f>
        <v>Churned</v>
      </c>
    </row>
    <row r="1010" spans="1:14" x14ac:dyDescent="0.25">
      <c r="A1010" t="s">
        <v>1048</v>
      </c>
      <c r="B1010" s="1">
        <v>45645</v>
      </c>
      <c r="C1010" t="s">
        <v>20</v>
      </c>
      <c r="D1010" t="s">
        <v>27</v>
      </c>
      <c r="E1010">
        <v>5400</v>
      </c>
      <c r="F1010" t="s">
        <v>49</v>
      </c>
      <c r="G1010" t="s">
        <v>24</v>
      </c>
      <c r="H1010" t="s">
        <v>33</v>
      </c>
      <c r="I1010" t="s">
        <v>34</v>
      </c>
      <c r="J1010" t="s">
        <v>22</v>
      </c>
      <c r="K1010">
        <v>0.1</v>
      </c>
      <c r="L101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010">
        <f>GhanaStream[[#This Row],[Subscription Fee]]-(GhanaStream[[#This Row],[Discount]]*GhanaStream[[#This Row],[Subscription Fee]])</f>
        <v>4860</v>
      </c>
      <c r="N1010" t="str">
        <f>IF(GhanaStream[[#This Row],[Churn Flag]]="Yes","Churned","Retained")</f>
        <v>Retained</v>
      </c>
    </row>
    <row r="1011" spans="1:14" x14ac:dyDescent="0.25">
      <c r="A1011" t="s">
        <v>1049</v>
      </c>
      <c r="B1011" s="1">
        <v>45609</v>
      </c>
      <c r="C1011" t="s">
        <v>20</v>
      </c>
      <c r="D1011" t="s">
        <v>27</v>
      </c>
      <c r="E1011">
        <v>5400</v>
      </c>
      <c r="F1011" t="s">
        <v>49</v>
      </c>
      <c r="G1011" t="s">
        <v>15</v>
      </c>
      <c r="H1011" t="s">
        <v>33</v>
      </c>
      <c r="I1011" t="s">
        <v>34</v>
      </c>
      <c r="J1011" t="s">
        <v>35</v>
      </c>
      <c r="K1011">
        <v>0.1</v>
      </c>
      <c r="L101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011">
        <f>GhanaStream[[#This Row],[Subscription Fee]]-(GhanaStream[[#This Row],[Discount]]*GhanaStream[[#This Row],[Subscription Fee]])</f>
        <v>4860</v>
      </c>
      <c r="N1011" t="str">
        <f>IF(GhanaStream[[#This Row],[Churn Flag]]="Yes","Churned","Retained")</f>
        <v>Retained</v>
      </c>
    </row>
    <row r="1012" spans="1:14" x14ac:dyDescent="0.25">
      <c r="A1012" t="s">
        <v>1050</v>
      </c>
      <c r="B1012" s="1">
        <v>44989</v>
      </c>
      <c r="C1012" t="s">
        <v>12</v>
      </c>
      <c r="D1012" t="s">
        <v>13</v>
      </c>
      <c r="E1012">
        <v>1500</v>
      </c>
      <c r="F1012" t="s">
        <v>21</v>
      </c>
      <c r="G1012" t="s">
        <v>28</v>
      </c>
      <c r="H1012" t="s">
        <v>16</v>
      </c>
      <c r="I1012" t="s">
        <v>17</v>
      </c>
      <c r="J1012" t="s">
        <v>29</v>
      </c>
      <c r="K1012">
        <v>0</v>
      </c>
      <c r="L101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012">
        <f>GhanaStream[[#This Row],[Subscription Fee]]-(GhanaStream[[#This Row],[Discount]]*GhanaStream[[#This Row],[Subscription Fee]])</f>
        <v>1500</v>
      </c>
      <c r="N1012" t="str">
        <f>IF(GhanaStream[[#This Row],[Churn Flag]]="Yes","Churned","Retained")</f>
        <v>Churned</v>
      </c>
    </row>
    <row r="1013" spans="1:14" x14ac:dyDescent="0.25">
      <c r="A1013" t="s">
        <v>1051</v>
      </c>
      <c r="B1013" s="1">
        <v>45238</v>
      </c>
      <c r="C1013" t="s">
        <v>20</v>
      </c>
      <c r="D1013" t="s">
        <v>27</v>
      </c>
      <c r="E1013">
        <v>5400</v>
      </c>
      <c r="F1013" t="s">
        <v>32</v>
      </c>
      <c r="G1013" t="s">
        <v>24</v>
      </c>
      <c r="H1013" t="s">
        <v>16</v>
      </c>
      <c r="I1013" t="s">
        <v>17</v>
      </c>
      <c r="J1013" t="s">
        <v>25</v>
      </c>
      <c r="K1013">
        <v>0.1</v>
      </c>
      <c r="L101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013">
        <f>GhanaStream[[#This Row],[Subscription Fee]]-(GhanaStream[[#This Row],[Discount]]*GhanaStream[[#This Row],[Subscription Fee]])</f>
        <v>4860</v>
      </c>
      <c r="N1013" t="str">
        <f>IF(GhanaStream[[#This Row],[Churn Flag]]="Yes","Churned","Retained")</f>
        <v>Churned</v>
      </c>
    </row>
    <row r="1014" spans="1:14" x14ac:dyDescent="0.25">
      <c r="A1014" t="s">
        <v>1052</v>
      </c>
      <c r="B1014" s="1">
        <v>45254</v>
      </c>
      <c r="C1014" t="s">
        <v>20</v>
      </c>
      <c r="D1014" t="s">
        <v>13</v>
      </c>
      <c r="E1014">
        <v>500</v>
      </c>
      <c r="F1014" t="s">
        <v>14</v>
      </c>
      <c r="G1014" t="s">
        <v>15</v>
      </c>
      <c r="H1014" t="s">
        <v>33</v>
      </c>
      <c r="I1014" t="s">
        <v>34</v>
      </c>
      <c r="J1014" t="s">
        <v>37</v>
      </c>
      <c r="K1014">
        <v>0</v>
      </c>
      <c r="L101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014">
        <f>GhanaStream[[#This Row],[Subscription Fee]]-(GhanaStream[[#This Row],[Discount]]*GhanaStream[[#This Row],[Subscription Fee]])</f>
        <v>500</v>
      </c>
      <c r="N1014" t="str">
        <f>IF(GhanaStream[[#This Row],[Churn Flag]]="Yes","Churned","Retained")</f>
        <v>Retained</v>
      </c>
    </row>
    <row r="1015" spans="1:14" x14ac:dyDescent="0.25">
      <c r="A1015" t="s">
        <v>1053</v>
      </c>
      <c r="B1015" s="1">
        <v>45178</v>
      </c>
      <c r="C1015" t="s">
        <v>31</v>
      </c>
      <c r="D1015" t="s">
        <v>13</v>
      </c>
      <c r="E1015">
        <v>1000</v>
      </c>
      <c r="F1015" t="s">
        <v>49</v>
      </c>
      <c r="G1015" t="s">
        <v>28</v>
      </c>
      <c r="H1015" t="s">
        <v>16</v>
      </c>
      <c r="I1015" t="s">
        <v>17</v>
      </c>
      <c r="J1015" t="s">
        <v>50</v>
      </c>
      <c r="K1015">
        <v>0</v>
      </c>
      <c r="L101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015">
        <f>GhanaStream[[#This Row],[Subscription Fee]]-(GhanaStream[[#This Row],[Discount]]*GhanaStream[[#This Row],[Subscription Fee]])</f>
        <v>1000</v>
      </c>
      <c r="N1015" t="str">
        <f>IF(GhanaStream[[#This Row],[Churn Flag]]="Yes","Churned","Retained")</f>
        <v>Churned</v>
      </c>
    </row>
    <row r="1016" spans="1:14" x14ac:dyDescent="0.25">
      <c r="A1016" t="s">
        <v>1054</v>
      </c>
      <c r="B1016" s="1">
        <v>45568</v>
      </c>
      <c r="C1016" t="s">
        <v>31</v>
      </c>
      <c r="D1016" t="s">
        <v>27</v>
      </c>
      <c r="E1016">
        <v>10800</v>
      </c>
      <c r="F1016" t="s">
        <v>49</v>
      </c>
      <c r="G1016" t="s">
        <v>15</v>
      </c>
      <c r="H1016" t="s">
        <v>33</v>
      </c>
      <c r="I1016" t="s">
        <v>34</v>
      </c>
      <c r="J1016" t="s">
        <v>35</v>
      </c>
      <c r="K1016">
        <v>0.1</v>
      </c>
      <c r="L101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016">
        <f>GhanaStream[[#This Row],[Subscription Fee]]-(GhanaStream[[#This Row],[Discount]]*GhanaStream[[#This Row],[Subscription Fee]])</f>
        <v>9720</v>
      </c>
      <c r="N1016" t="str">
        <f>IF(GhanaStream[[#This Row],[Churn Flag]]="Yes","Churned","Retained")</f>
        <v>Retained</v>
      </c>
    </row>
    <row r="1017" spans="1:14" x14ac:dyDescent="0.25">
      <c r="A1017" t="s">
        <v>1055</v>
      </c>
      <c r="B1017" s="1">
        <v>45464</v>
      </c>
      <c r="C1017" t="s">
        <v>12</v>
      </c>
      <c r="D1017" t="s">
        <v>27</v>
      </c>
      <c r="E1017">
        <v>16200</v>
      </c>
      <c r="F1017" t="s">
        <v>32</v>
      </c>
      <c r="G1017" t="s">
        <v>24</v>
      </c>
      <c r="H1017" t="s">
        <v>16</v>
      </c>
      <c r="I1017" t="s">
        <v>17</v>
      </c>
      <c r="J1017" t="s">
        <v>35</v>
      </c>
      <c r="K1017">
        <v>0.1</v>
      </c>
      <c r="L101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017">
        <f>GhanaStream[[#This Row],[Subscription Fee]]-(GhanaStream[[#This Row],[Discount]]*GhanaStream[[#This Row],[Subscription Fee]])</f>
        <v>14580</v>
      </c>
      <c r="N1017" t="str">
        <f>IF(GhanaStream[[#This Row],[Churn Flag]]="Yes","Churned","Retained")</f>
        <v>Churned</v>
      </c>
    </row>
    <row r="1018" spans="1:14" x14ac:dyDescent="0.25">
      <c r="A1018" t="s">
        <v>1056</v>
      </c>
      <c r="B1018" s="1">
        <v>45168</v>
      </c>
      <c r="C1018" t="s">
        <v>20</v>
      </c>
      <c r="D1018" t="s">
        <v>27</v>
      </c>
      <c r="E1018">
        <v>5400</v>
      </c>
      <c r="F1018" t="s">
        <v>49</v>
      </c>
      <c r="G1018" t="s">
        <v>24</v>
      </c>
      <c r="H1018" t="s">
        <v>16</v>
      </c>
      <c r="I1018" t="s">
        <v>17</v>
      </c>
      <c r="J1018" t="s">
        <v>25</v>
      </c>
      <c r="K1018">
        <v>0.1</v>
      </c>
      <c r="L101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018">
        <f>GhanaStream[[#This Row],[Subscription Fee]]-(GhanaStream[[#This Row],[Discount]]*GhanaStream[[#This Row],[Subscription Fee]])</f>
        <v>4860</v>
      </c>
      <c r="N1018" t="str">
        <f>IF(GhanaStream[[#This Row],[Churn Flag]]="Yes","Churned","Retained")</f>
        <v>Churned</v>
      </c>
    </row>
    <row r="1019" spans="1:14" x14ac:dyDescent="0.25">
      <c r="A1019" t="s">
        <v>1057</v>
      </c>
      <c r="B1019" s="1">
        <v>45211</v>
      </c>
      <c r="C1019" t="s">
        <v>20</v>
      </c>
      <c r="D1019" t="s">
        <v>13</v>
      </c>
      <c r="E1019">
        <v>500</v>
      </c>
      <c r="F1019" t="s">
        <v>32</v>
      </c>
      <c r="G1019" t="s">
        <v>28</v>
      </c>
      <c r="H1019" t="s">
        <v>16</v>
      </c>
      <c r="I1019" t="s">
        <v>17</v>
      </c>
      <c r="J1019" t="s">
        <v>39</v>
      </c>
      <c r="K1019">
        <v>0</v>
      </c>
      <c r="L101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019">
        <f>GhanaStream[[#This Row],[Subscription Fee]]-(GhanaStream[[#This Row],[Discount]]*GhanaStream[[#This Row],[Subscription Fee]])</f>
        <v>500</v>
      </c>
      <c r="N1019" t="str">
        <f>IF(GhanaStream[[#This Row],[Churn Flag]]="Yes","Churned","Retained")</f>
        <v>Churned</v>
      </c>
    </row>
    <row r="1020" spans="1:14" x14ac:dyDescent="0.25">
      <c r="A1020" t="s">
        <v>1058</v>
      </c>
      <c r="B1020" s="1">
        <v>45225</v>
      </c>
      <c r="C1020" t="s">
        <v>12</v>
      </c>
      <c r="D1020" t="s">
        <v>27</v>
      </c>
      <c r="E1020">
        <v>16200</v>
      </c>
      <c r="F1020" t="s">
        <v>49</v>
      </c>
      <c r="G1020" t="s">
        <v>15</v>
      </c>
      <c r="H1020" t="s">
        <v>16</v>
      </c>
      <c r="I1020" t="s">
        <v>17</v>
      </c>
      <c r="J1020" t="s">
        <v>50</v>
      </c>
      <c r="K1020">
        <v>0.1</v>
      </c>
      <c r="L102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020">
        <f>GhanaStream[[#This Row],[Subscription Fee]]-(GhanaStream[[#This Row],[Discount]]*GhanaStream[[#This Row],[Subscription Fee]])</f>
        <v>14580</v>
      </c>
      <c r="N1020" t="str">
        <f>IF(GhanaStream[[#This Row],[Churn Flag]]="Yes","Churned","Retained")</f>
        <v>Churned</v>
      </c>
    </row>
    <row r="1021" spans="1:14" x14ac:dyDescent="0.25">
      <c r="A1021" t="s">
        <v>1059</v>
      </c>
      <c r="B1021" s="1">
        <v>45008</v>
      </c>
      <c r="C1021" t="s">
        <v>12</v>
      </c>
      <c r="D1021" t="s">
        <v>27</v>
      </c>
      <c r="E1021">
        <v>16200</v>
      </c>
      <c r="F1021" t="s">
        <v>14</v>
      </c>
      <c r="G1021" t="s">
        <v>15</v>
      </c>
      <c r="H1021" t="s">
        <v>33</v>
      </c>
      <c r="I1021" t="s">
        <v>34</v>
      </c>
      <c r="J1021" t="s">
        <v>37</v>
      </c>
      <c r="K1021">
        <v>0.1</v>
      </c>
      <c r="L102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021">
        <f>GhanaStream[[#This Row],[Subscription Fee]]-(GhanaStream[[#This Row],[Discount]]*GhanaStream[[#This Row],[Subscription Fee]])</f>
        <v>14580</v>
      </c>
      <c r="N1021" t="str">
        <f>IF(GhanaStream[[#This Row],[Churn Flag]]="Yes","Churned","Retained")</f>
        <v>Retained</v>
      </c>
    </row>
    <row r="1022" spans="1:14" x14ac:dyDescent="0.25">
      <c r="A1022" t="s">
        <v>1060</v>
      </c>
      <c r="B1022" s="1">
        <v>45046</v>
      </c>
      <c r="C1022" t="s">
        <v>20</v>
      </c>
      <c r="D1022" t="s">
        <v>13</v>
      </c>
      <c r="E1022">
        <v>500</v>
      </c>
      <c r="F1022" t="s">
        <v>32</v>
      </c>
      <c r="G1022" t="s">
        <v>28</v>
      </c>
      <c r="H1022" t="s">
        <v>33</v>
      </c>
      <c r="I1022" t="s">
        <v>34</v>
      </c>
      <c r="J1022" t="s">
        <v>35</v>
      </c>
      <c r="K1022">
        <v>0</v>
      </c>
      <c r="L102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022">
        <f>GhanaStream[[#This Row],[Subscription Fee]]-(GhanaStream[[#This Row],[Discount]]*GhanaStream[[#This Row],[Subscription Fee]])</f>
        <v>500</v>
      </c>
      <c r="N1022" t="str">
        <f>IF(GhanaStream[[#This Row],[Churn Flag]]="Yes","Churned","Retained")</f>
        <v>Retained</v>
      </c>
    </row>
    <row r="1023" spans="1:14" x14ac:dyDescent="0.25">
      <c r="A1023" t="s">
        <v>1061</v>
      </c>
      <c r="B1023" s="1">
        <v>44931</v>
      </c>
      <c r="C1023" t="s">
        <v>12</v>
      </c>
      <c r="D1023" t="s">
        <v>13</v>
      </c>
      <c r="E1023">
        <v>1500</v>
      </c>
      <c r="F1023" t="s">
        <v>49</v>
      </c>
      <c r="G1023" t="s">
        <v>28</v>
      </c>
      <c r="H1023" t="s">
        <v>16</v>
      </c>
      <c r="I1023" t="s">
        <v>17</v>
      </c>
      <c r="J1023" t="s">
        <v>35</v>
      </c>
      <c r="K1023">
        <v>0</v>
      </c>
      <c r="L102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023">
        <f>GhanaStream[[#This Row],[Subscription Fee]]-(GhanaStream[[#This Row],[Discount]]*GhanaStream[[#This Row],[Subscription Fee]])</f>
        <v>1500</v>
      </c>
      <c r="N1023" t="str">
        <f>IF(GhanaStream[[#This Row],[Churn Flag]]="Yes","Churned","Retained")</f>
        <v>Churned</v>
      </c>
    </row>
    <row r="1024" spans="1:14" x14ac:dyDescent="0.25">
      <c r="A1024" t="s">
        <v>1062</v>
      </c>
      <c r="B1024" s="1">
        <v>45491</v>
      </c>
      <c r="C1024" t="s">
        <v>20</v>
      </c>
      <c r="D1024" t="s">
        <v>27</v>
      </c>
      <c r="E1024">
        <v>5400</v>
      </c>
      <c r="F1024" t="s">
        <v>32</v>
      </c>
      <c r="G1024" t="s">
        <v>24</v>
      </c>
      <c r="H1024" t="s">
        <v>16</v>
      </c>
      <c r="I1024" t="s">
        <v>17</v>
      </c>
      <c r="J1024" t="s">
        <v>25</v>
      </c>
      <c r="K1024">
        <v>0.1</v>
      </c>
      <c r="L102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024">
        <f>GhanaStream[[#This Row],[Subscription Fee]]-(GhanaStream[[#This Row],[Discount]]*GhanaStream[[#This Row],[Subscription Fee]])</f>
        <v>4860</v>
      </c>
      <c r="N1024" t="str">
        <f>IF(GhanaStream[[#This Row],[Churn Flag]]="Yes","Churned","Retained")</f>
        <v>Churned</v>
      </c>
    </row>
    <row r="1025" spans="1:14" x14ac:dyDescent="0.25">
      <c r="A1025" t="s">
        <v>1063</v>
      </c>
      <c r="B1025" s="1">
        <v>45123</v>
      </c>
      <c r="C1025" t="s">
        <v>31</v>
      </c>
      <c r="D1025" t="s">
        <v>13</v>
      </c>
      <c r="E1025">
        <v>1000</v>
      </c>
      <c r="F1025" t="s">
        <v>32</v>
      </c>
      <c r="G1025" t="s">
        <v>24</v>
      </c>
      <c r="H1025" t="s">
        <v>16</v>
      </c>
      <c r="I1025" t="s">
        <v>17</v>
      </c>
      <c r="J1025" t="s">
        <v>25</v>
      </c>
      <c r="K1025">
        <v>0</v>
      </c>
      <c r="L102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025">
        <f>GhanaStream[[#This Row],[Subscription Fee]]-(GhanaStream[[#This Row],[Discount]]*GhanaStream[[#This Row],[Subscription Fee]])</f>
        <v>1000</v>
      </c>
      <c r="N1025" t="str">
        <f>IF(GhanaStream[[#This Row],[Churn Flag]]="Yes","Churned","Retained")</f>
        <v>Churned</v>
      </c>
    </row>
    <row r="1026" spans="1:14" x14ac:dyDescent="0.25">
      <c r="A1026" t="s">
        <v>1064</v>
      </c>
      <c r="B1026" s="1">
        <v>45119</v>
      </c>
      <c r="C1026" t="s">
        <v>12</v>
      </c>
      <c r="D1026" t="s">
        <v>27</v>
      </c>
      <c r="E1026">
        <v>16200</v>
      </c>
      <c r="F1026" t="s">
        <v>49</v>
      </c>
      <c r="G1026" t="s">
        <v>24</v>
      </c>
      <c r="H1026" t="s">
        <v>16</v>
      </c>
      <c r="I1026" t="s">
        <v>17</v>
      </c>
      <c r="J1026" t="s">
        <v>58</v>
      </c>
      <c r="K1026">
        <v>0.1</v>
      </c>
      <c r="L102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026">
        <f>GhanaStream[[#This Row],[Subscription Fee]]-(GhanaStream[[#This Row],[Discount]]*GhanaStream[[#This Row],[Subscription Fee]])</f>
        <v>14580</v>
      </c>
      <c r="N1026" t="str">
        <f>IF(GhanaStream[[#This Row],[Churn Flag]]="Yes","Churned","Retained")</f>
        <v>Churned</v>
      </c>
    </row>
    <row r="1027" spans="1:14" x14ac:dyDescent="0.25">
      <c r="A1027" t="s">
        <v>1065</v>
      </c>
      <c r="B1027" s="1">
        <v>45452</v>
      </c>
      <c r="C1027" t="s">
        <v>20</v>
      </c>
      <c r="D1027" t="s">
        <v>27</v>
      </c>
      <c r="E1027">
        <v>5400</v>
      </c>
      <c r="F1027" t="s">
        <v>49</v>
      </c>
      <c r="G1027" t="s">
        <v>28</v>
      </c>
      <c r="H1027" t="s">
        <v>16</v>
      </c>
      <c r="I1027" t="s">
        <v>17</v>
      </c>
      <c r="J1027" t="s">
        <v>22</v>
      </c>
      <c r="K1027">
        <v>0.1</v>
      </c>
      <c r="L102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027">
        <f>GhanaStream[[#This Row],[Subscription Fee]]-(GhanaStream[[#This Row],[Discount]]*GhanaStream[[#This Row],[Subscription Fee]])</f>
        <v>4860</v>
      </c>
      <c r="N1027" t="str">
        <f>IF(GhanaStream[[#This Row],[Churn Flag]]="Yes","Churned","Retained")</f>
        <v>Churned</v>
      </c>
    </row>
    <row r="1028" spans="1:14" x14ac:dyDescent="0.25">
      <c r="A1028" t="s">
        <v>1066</v>
      </c>
      <c r="B1028" s="1">
        <v>45049</v>
      </c>
      <c r="C1028" t="s">
        <v>20</v>
      </c>
      <c r="D1028" t="s">
        <v>13</v>
      </c>
      <c r="E1028">
        <v>500</v>
      </c>
      <c r="F1028" t="s">
        <v>49</v>
      </c>
      <c r="G1028" t="s">
        <v>24</v>
      </c>
      <c r="H1028" t="s">
        <v>16</v>
      </c>
      <c r="I1028" t="s">
        <v>17</v>
      </c>
      <c r="J1028" t="s">
        <v>22</v>
      </c>
      <c r="K1028">
        <v>0</v>
      </c>
      <c r="L102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028">
        <f>GhanaStream[[#This Row],[Subscription Fee]]-(GhanaStream[[#This Row],[Discount]]*GhanaStream[[#This Row],[Subscription Fee]])</f>
        <v>500</v>
      </c>
      <c r="N1028" t="str">
        <f>IF(GhanaStream[[#This Row],[Churn Flag]]="Yes","Churned","Retained")</f>
        <v>Churned</v>
      </c>
    </row>
    <row r="1029" spans="1:14" x14ac:dyDescent="0.25">
      <c r="A1029" t="s">
        <v>1067</v>
      </c>
      <c r="B1029" s="1">
        <v>45349</v>
      </c>
      <c r="C1029" t="s">
        <v>12</v>
      </c>
      <c r="D1029" t="s">
        <v>27</v>
      </c>
      <c r="E1029">
        <v>16200</v>
      </c>
      <c r="F1029" t="s">
        <v>32</v>
      </c>
      <c r="G1029" t="s">
        <v>28</v>
      </c>
      <c r="H1029" t="s">
        <v>16</v>
      </c>
      <c r="I1029" t="s">
        <v>17</v>
      </c>
      <c r="J1029" t="s">
        <v>44</v>
      </c>
      <c r="K1029">
        <v>0.1</v>
      </c>
      <c r="L102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029">
        <f>GhanaStream[[#This Row],[Subscription Fee]]-(GhanaStream[[#This Row],[Discount]]*GhanaStream[[#This Row],[Subscription Fee]])</f>
        <v>14580</v>
      </c>
      <c r="N1029" t="str">
        <f>IF(GhanaStream[[#This Row],[Churn Flag]]="Yes","Churned","Retained")</f>
        <v>Churned</v>
      </c>
    </row>
    <row r="1030" spans="1:14" x14ac:dyDescent="0.25">
      <c r="A1030" t="s">
        <v>1068</v>
      </c>
      <c r="B1030" s="1">
        <v>45302</v>
      </c>
      <c r="C1030" t="s">
        <v>12</v>
      </c>
      <c r="D1030" t="s">
        <v>27</v>
      </c>
      <c r="E1030">
        <v>16200</v>
      </c>
      <c r="F1030" t="s">
        <v>49</v>
      </c>
      <c r="G1030" t="s">
        <v>28</v>
      </c>
      <c r="H1030" t="s">
        <v>33</v>
      </c>
      <c r="I1030" t="s">
        <v>34</v>
      </c>
      <c r="J1030" t="s">
        <v>35</v>
      </c>
      <c r="K1030">
        <v>0.1</v>
      </c>
      <c r="L103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030">
        <f>GhanaStream[[#This Row],[Subscription Fee]]-(GhanaStream[[#This Row],[Discount]]*GhanaStream[[#This Row],[Subscription Fee]])</f>
        <v>14580</v>
      </c>
      <c r="N1030" t="str">
        <f>IF(GhanaStream[[#This Row],[Churn Flag]]="Yes","Churned","Retained")</f>
        <v>Retained</v>
      </c>
    </row>
    <row r="1031" spans="1:14" x14ac:dyDescent="0.25">
      <c r="A1031" t="s">
        <v>1069</v>
      </c>
      <c r="B1031" s="1">
        <v>45117</v>
      </c>
      <c r="C1031" t="s">
        <v>12</v>
      </c>
      <c r="D1031" t="s">
        <v>13</v>
      </c>
      <c r="E1031">
        <v>1500</v>
      </c>
      <c r="F1031" t="s">
        <v>21</v>
      </c>
      <c r="G1031" t="s">
        <v>24</v>
      </c>
      <c r="H1031" t="s">
        <v>16</v>
      </c>
      <c r="I1031" t="s">
        <v>17</v>
      </c>
      <c r="J1031" t="s">
        <v>22</v>
      </c>
      <c r="K1031">
        <v>0</v>
      </c>
      <c r="L103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031">
        <f>GhanaStream[[#This Row],[Subscription Fee]]-(GhanaStream[[#This Row],[Discount]]*GhanaStream[[#This Row],[Subscription Fee]])</f>
        <v>1500</v>
      </c>
      <c r="N1031" t="str">
        <f>IF(GhanaStream[[#This Row],[Churn Flag]]="Yes","Churned","Retained")</f>
        <v>Churned</v>
      </c>
    </row>
    <row r="1032" spans="1:14" x14ac:dyDescent="0.25">
      <c r="A1032" t="s">
        <v>1070</v>
      </c>
      <c r="B1032" s="1">
        <v>45164</v>
      </c>
      <c r="C1032" t="s">
        <v>20</v>
      </c>
      <c r="D1032" t="s">
        <v>13</v>
      </c>
      <c r="E1032">
        <v>500</v>
      </c>
      <c r="F1032" t="s">
        <v>32</v>
      </c>
      <c r="G1032" t="s">
        <v>28</v>
      </c>
      <c r="H1032" t="s">
        <v>16</v>
      </c>
      <c r="I1032" t="s">
        <v>17</v>
      </c>
      <c r="J1032" t="s">
        <v>25</v>
      </c>
      <c r="K1032">
        <v>0</v>
      </c>
      <c r="L103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032">
        <f>GhanaStream[[#This Row],[Subscription Fee]]-(GhanaStream[[#This Row],[Discount]]*GhanaStream[[#This Row],[Subscription Fee]])</f>
        <v>500</v>
      </c>
      <c r="N1032" t="str">
        <f>IF(GhanaStream[[#This Row],[Churn Flag]]="Yes","Churned","Retained")</f>
        <v>Churned</v>
      </c>
    </row>
    <row r="1033" spans="1:14" x14ac:dyDescent="0.25">
      <c r="A1033" t="s">
        <v>1071</v>
      </c>
      <c r="B1033" s="1">
        <v>45040</v>
      </c>
      <c r="C1033" t="s">
        <v>31</v>
      </c>
      <c r="D1033" t="s">
        <v>13</v>
      </c>
      <c r="E1033">
        <v>1000</v>
      </c>
      <c r="F1033" t="s">
        <v>49</v>
      </c>
      <c r="G1033" t="s">
        <v>28</v>
      </c>
      <c r="H1033" t="s">
        <v>33</v>
      </c>
      <c r="I1033" t="s">
        <v>34</v>
      </c>
      <c r="J1033" t="s">
        <v>35</v>
      </c>
      <c r="K1033">
        <v>0</v>
      </c>
      <c r="L103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033">
        <f>GhanaStream[[#This Row],[Subscription Fee]]-(GhanaStream[[#This Row],[Discount]]*GhanaStream[[#This Row],[Subscription Fee]])</f>
        <v>1000</v>
      </c>
      <c r="N1033" t="str">
        <f>IF(GhanaStream[[#This Row],[Churn Flag]]="Yes","Churned","Retained")</f>
        <v>Retained</v>
      </c>
    </row>
    <row r="1034" spans="1:14" x14ac:dyDescent="0.25">
      <c r="A1034" t="s">
        <v>1072</v>
      </c>
      <c r="B1034" s="1">
        <v>45190</v>
      </c>
      <c r="C1034" t="s">
        <v>12</v>
      </c>
      <c r="D1034" t="s">
        <v>27</v>
      </c>
      <c r="E1034">
        <v>16200</v>
      </c>
      <c r="F1034" t="s">
        <v>14</v>
      </c>
      <c r="G1034" t="s">
        <v>15</v>
      </c>
      <c r="H1034" t="s">
        <v>33</v>
      </c>
      <c r="I1034" t="s">
        <v>34</v>
      </c>
      <c r="J1034" t="s">
        <v>55</v>
      </c>
      <c r="K1034">
        <v>0.1</v>
      </c>
      <c r="L103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034">
        <f>GhanaStream[[#This Row],[Subscription Fee]]-(GhanaStream[[#This Row],[Discount]]*GhanaStream[[#This Row],[Subscription Fee]])</f>
        <v>14580</v>
      </c>
      <c r="N1034" t="str">
        <f>IF(GhanaStream[[#This Row],[Churn Flag]]="Yes","Churned","Retained")</f>
        <v>Retained</v>
      </c>
    </row>
    <row r="1035" spans="1:14" x14ac:dyDescent="0.25">
      <c r="A1035" t="s">
        <v>1073</v>
      </c>
      <c r="B1035" s="1">
        <v>45561</v>
      </c>
      <c r="C1035" t="s">
        <v>20</v>
      </c>
      <c r="D1035" t="s">
        <v>27</v>
      </c>
      <c r="E1035">
        <v>5400</v>
      </c>
      <c r="F1035" t="s">
        <v>14</v>
      </c>
      <c r="G1035" t="s">
        <v>15</v>
      </c>
      <c r="H1035" t="s">
        <v>33</v>
      </c>
      <c r="I1035" t="s">
        <v>34</v>
      </c>
      <c r="J1035" t="s">
        <v>22</v>
      </c>
      <c r="K1035">
        <v>0.1</v>
      </c>
      <c r="L103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035">
        <f>GhanaStream[[#This Row],[Subscription Fee]]-(GhanaStream[[#This Row],[Discount]]*GhanaStream[[#This Row],[Subscription Fee]])</f>
        <v>4860</v>
      </c>
      <c r="N1035" t="str">
        <f>IF(GhanaStream[[#This Row],[Churn Flag]]="Yes","Churned","Retained")</f>
        <v>Retained</v>
      </c>
    </row>
    <row r="1036" spans="1:14" x14ac:dyDescent="0.25">
      <c r="A1036" t="s">
        <v>1074</v>
      </c>
      <c r="B1036" s="1">
        <v>44961</v>
      </c>
      <c r="C1036" t="s">
        <v>20</v>
      </c>
      <c r="D1036" t="s">
        <v>27</v>
      </c>
      <c r="E1036">
        <v>5400</v>
      </c>
      <c r="F1036" t="s">
        <v>21</v>
      </c>
      <c r="G1036" t="s">
        <v>24</v>
      </c>
      <c r="H1036" t="s">
        <v>33</v>
      </c>
      <c r="I1036" t="s">
        <v>34</v>
      </c>
      <c r="J1036" t="s">
        <v>18</v>
      </c>
      <c r="K1036">
        <v>0.1</v>
      </c>
      <c r="L103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036">
        <f>GhanaStream[[#This Row],[Subscription Fee]]-(GhanaStream[[#This Row],[Discount]]*GhanaStream[[#This Row],[Subscription Fee]])</f>
        <v>4860</v>
      </c>
      <c r="N1036" t="str">
        <f>IF(GhanaStream[[#This Row],[Churn Flag]]="Yes","Churned","Retained")</f>
        <v>Retained</v>
      </c>
    </row>
    <row r="1037" spans="1:14" x14ac:dyDescent="0.25">
      <c r="A1037" t="s">
        <v>1075</v>
      </c>
      <c r="B1037" s="1">
        <v>45201</v>
      </c>
      <c r="C1037" t="s">
        <v>12</v>
      </c>
      <c r="D1037" t="s">
        <v>27</v>
      </c>
      <c r="E1037">
        <v>16200</v>
      </c>
      <c r="F1037" t="s">
        <v>14</v>
      </c>
      <c r="G1037" t="s">
        <v>24</v>
      </c>
      <c r="H1037" t="s">
        <v>33</v>
      </c>
      <c r="I1037" t="s">
        <v>34</v>
      </c>
      <c r="J1037" t="s">
        <v>55</v>
      </c>
      <c r="K1037">
        <v>0.1</v>
      </c>
      <c r="L103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037">
        <f>GhanaStream[[#This Row],[Subscription Fee]]-(GhanaStream[[#This Row],[Discount]]*GhanaStream[[#This Row],[Subscription Fee]])</f>
        <v>14580</v>
      </c>
      <c r="N1037" t="str">
        <f>IF(GhanaStream[[#This Row],[Churn Flag]]="Yes","Churned","Retained")</f>
        <v>Retained</v>
      </c>
    </row>
    <row r="1038" spans="1:14" x14ac:dyDescent="0.25">
      <c r="A1038" t="s">
        <v>1076</v>
      </c>
      <c r="B1038" s="1">
        <v>45217</v>
      </c>
      <c r="C1038" t="s">
        <v>31</v>
      </c>
      <c r="D1038" t="s">
        <v>27</v>
      </c>
      <c r="E1038">
        <v>10800</v>
      </c>
      <c r="F1038" t="s">
        <v>49</v>
      </c>
      <c r="G1038" t="s">
        <v>28</v>
      </c>
      <c r="H1038" t="s">
        <v>16</v>
      </c>
      <c r="I1038" t="s">
        <v>17</v>
      </c>
      <c r="J1038" t="s">
        <v>22</v>
      </c>
      <c r="K1038">
        <v>0.1</v>
      </c>
      <c r="L103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038">
        <f>GhanaStream[[#This Row],[Subscription Fee]]-(GhanaStream[[#This Row],[Discount]]*GhanaStream[[#This Row],[Subscription Fee]])</f>
        <v>9720</v>
      </c>
      <c r="N1038" t="str">
        <f>IF(GhanaStream[[#This Row],[Churn Flag]]="Yes","Churned","Retained")</f>
        <v>Churned</v>
      </c>
    </row>
    <row r="1039" spans="1:14" x14ac:dyDescent="0.25">
      <c r="A1039" t="s">
        <v>1077</v>
      </c>
      <c r="B1039" s="1">
        <v>45153</v>
      </c>
      <c r="C1039" t="s">
        <v>31</v>
      </c>
      <c r="D1039" t="s">
        <v>27</v>
      </c>
      <c r="E1039">
        <v>10800</v>
      </c>
      <c r="F1039" t="s">
        <v>14</v>
      </c>
      <c r="G1039" t="s">
        <v>15</v>
      </c>
      <c r="H1039" t="s">
        <v>33</v>
      </c>
      <c r="I1039" t="s">
        <v>34</v>
      </c>
      <c r="J1039" t="s">
        <v>41</v>
      </c>
      <c r="K1039">
        <v>0.1</v>
      </c>
      <c r="L103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039">
        <f>GhanaStream[[#This Row],[Subscription Fee]]-(GhanaStream[[#This Row],[Discount]]*GhanaStream[[#This Row],[Subscription Fee]])</f>
        <v>9720</v>
      </c>
      <c r="N1039" t="str">
        <f>IF(GhanaStream[[#This Row],[Churn Flag]]="Yes","Churned","Retained")</f>
        <v>Retained</v>
      </c>
    </row>
    <row r="1040" spans="1:14" x14ac:dyDescent="0.25">
      <c r="A1040" t="s">
        <v>1078</v>
      </c>
      <c r="B1040" s="1">
        <v>45408</v>
      </c>
      <c r="C1040" t="s">
        <v>20</v>
      </c>
      <c r="D1040" t="s">
        <v>27</v>
      </c>
      <c r="E1040">
        <v>5400</v>
      </c>
      <c r="F1040" t="s">
        <v>21</v>
      </c>
      <c r="G1040" t="s">
        <v>15</v>
      </c>
      <c r="H1040" t="s">
        <v>16</v>
      </c>
      <c r="I1040" t="s">
        <v>17</v>
      </c>
      <c r="J1040" t="s">
        <v>25</v>
      </c>
      <c r="K1040">
        <v>0.1</v>
      </c>
      <c r="L104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040">
        <f>GhanaStream[[#This Row],[Subscription Fee]]-(GhanaStream[[#This Row],[Discount]]*GhanaStream[[#This Row],[Subscription Fee]])</f>
        <v>4860</v>
      </c>
      <c r="N1040" t="str">
        <f>IF(GhanaStream[[#This Row],[Churn Flag]]="Yes","Churned","Retained")</f>
        <v>Churned</v>
      </c>
    </row>
    <row r="1041" spans="1:14" x14ac:dyDescent="0.25">
      <c r="A1041" t="s">
        <v>1079</v>
      </c>
      <c r="B1041" s="1">
        <v>44991</v>
      </c>
      <c r="C1041" t="s">
        <v>31</v>
      </c>
      <c r="D1041" t="s">
        <v>13</v>
      </c>
      <c r="E1041">
        <v>1000</v>
      </c>
      <c r="F1041" t="s">
        <v>32</v>
      </c>
      <c r="G1041" t="s">
        <v>15</v>
      </c>
      <c r="H1041" t="s">
        <v>33</v>
      </c>
      <c r="I1041" t="s">
        <v>34</v>
      </c>
      <c r="J1041" t="s">
        <v>66</v>
      </c>
      <c r="K1041">
        <v>0</v>
      </c>
      <c r="L104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041">
        <f>GhanaStream[[#This Row],[Subscription Fee]]-(GhanaStream[[#This Row],[Discount]]*GhanaStream[[#This Row],[Subscription Fee]])</f>
        <v>1000</v>
      </c>
      <c r="N1041" t="str">
        <f>IF(GhanaStream[[#This Row],[Churn Flag]]="Yes","Churned","Retained")</f>
        <v>Retained</v>
      </c>
    </row>
    <row r="1042" spans="1:14" x14ac:dyDescent="0.25">
      <c r="A1042" t="s">
        <v>1080</v>
      </c>
      <c r="B1042" s="1">
        <v>45044</v>
      </c>
      <c r="C1042" t="s">
        <v>20</v>
      </c>
      <c r="D1042" t="s">
        <v>13</v>
      </c>
      <c r="E1042">
        <v>500</v>
      </c>
      <c r="F1042" t="s">
        <v>14</v>
      </c>
      <c r="G1042" t="s">
        <v>15</v>
      </c>
      <c r="H1042" t="s">
        <v>33</v>
      </c>
      <c r="I1042" t="s">
        <v>34</v>
      </c>
      <c r="J1042" t="s">
        <v>41</v>
      </c>
      <c r="K1042">
        <v>0</v>
      </c>
      <c r="L104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042">
        <f>GhanaStream[[#This Row],[Subscription Fee]]-(GhanaStream[[#This Row],[Discount]]*GhanaStream[[#This Row],[Subscription Fee]])</f>
        <v>500</v>
      </c>
      <c r="N1042" t="str">
        <f>IF(GhanaStream[[#This Row],[Churn Flag]]="Yes","Churned","Retained")</f>
        <v>Retained</v>
      </c>
    </row>
    <row r="1043" spans="1:14" x14ac:dyDescent="0.25">
      <c r="A1043" t="s">
        <v>1081</v>
      </c>
      <c r="B1043" s="1">
        <v>45513</v>
      </c>
      <c r="C1043" t="s">
        <v>12</v>
      </c>
      <c r="D1043" t="s">
        <v>27</v>
      </c>
      <c r="E1043">
        <v>16200</v>
      </c>
      <c r="F1043" t="s">
        <v>14</v>
      </c>
      <c r="G1043" t="s">
        <v>24</v>
      </c>
      <c r="H1043" t="s">
        <v>33</v>
      </c>
      <c r="I1043" t="s">
        <v>34</v>
      </c>
      <c r="J1043" t="s">
        <v>18</v>
      </c>
      <c r="K1043">
        <v>0.1</v>
      </c>
      <c r="L104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043">
        <f>GhanaStream[[#This Row],[Subscription Fee]]-(GhanaStream[[#This Row],[Discount]]*GhanaStream[[#This Row],[Subscription Fee]])</f>
        <v>14580</v>
      </c>
      <c r="N1043" t="str">
        <f>IF(GhanaStream[[#This Row],[Churn Flag]]="Yes","Churned","Retained")</f>
        <v>Retained</v>
      </c>
    </row>
    <row r="1044" spans="1:14" x14ac:dyDescent="0.25">
      <c r="A1044" t="s">
        <v>1082</v>
      </c>
      <c r="B1044" s="1">
        <v>45651</v>
      </c>
      <c r="C1044" t="s">
        <v>12</v>
      </c>
      <c r="D1044" t="s">
        <v>27</v>
      </c>
      <c r="E1044">
        <v>16200</v>
      </c>
      <c r="F1044" t="s">
        <v>49</v>
      </c>
      <c r="G1044" t="s">
        <v>15</v>
      </c>
      <c r="H1044" t="s">
        <v>33</v>
      </c>
      <c r="I1044" t="s">
        <v>34</v>
      </c>
      <c r="J1044" t="s">
        <v>25</v>
      </c>
      <c r="K1044">
        <v>0.1</v>
      </c>
      <c r="L104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044">
        <f>GhanaStream[[#This Row],[Subscription Fee]]-(GhanaStream[[#This Row],[Discount]]*GhanaStream[[#This Row],[Subscription Fee]])</f>
        <v>14580</v>
      </c>
      <c r="N1044" t="str">
        <f>IF(GhanaStream[[#This Row],[Churn Flag]]="Yes","Churned","Retained")</f>
        <v>Retained</v>
      </c>
    </row>
    <row r="1045" spans="1:14" x14ac:dyDescent="0.25">
      <c r="A1045" t="s">
        <v>1083</v>
      </c>
      <c r="B1045" s="1">
        <v>45462</v>
      </c>
      <c r="C1045" t="s">
        <v>31</v>
      </c>
      <c r="D1045" t="s">
        <v>27</v>
      </c>
      <c r="E1045">
        <v>10800</v>
      </c>
      <c r="F1045" t="s">
        <v>49</v>
      </c>
      <c r="G1045" t="s">
        <v>15</v>
      </c>
      <c r="H1045" t="s">
        <v>33</v>
      </c>
      <c r="I1045" t="s">
        <v>34</v>
      </c>
      <c r="J1045" t="s">
        <v>58</v>
      </c>
      <c r="K1045">
        <v>0.1</v>
      </c>
      <c r="L104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045">
        <f>GhanaStream[[#This Row],[Subscription Fee]]-(GhanaStream[[#This Row],[Discount]]*GhanaStream[[#This Row],[Subscription Fee]])</f>
        <v>9720</v>
      </c>
      <c r="N1045" t="str">
        <f>IF(GhanaStream[[#This Row],[Churn Flag]]="Yes","Churned","Retained")</f>
        <v>Retained</v>
      </c>
    </row>
    <row r="1046" spans="1:14" x14ac:dyDescent="0.25">
      <c r="A1046" t="s">
        <v>1084</v>
      </c>
      <c r="B1046" s="1">
        <v>45625</v>
      </c>
      <c r="C1046" t="s">
        <v>31</v>
      </c>
      <c r="D1046" t="s">
        <v>27</v>
      </c>
      <c r="E1046">
        <v>10800</v>
      </c>
      <c r="F1046" t="s">
        <v>21</v>
      </c>
      <c r="G1046" t="s">
        <v>24</v>
      </c>
      <c r="H1046" t="s">
        <v>33</v>
      </c>
      <c r="I1046" t="s">
        <v>34</v>
      </c>
      <c r="J1046" t="s">
        <v>29</v>
      </c>
      <c r="K1046">
        <v>0.1</v>
      </c>
      <c r="L104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046">
        <f>GhanaStream[[#This Row],[Subscription Fee]]-(GhanaStream[[#This Row],[Discount]]*GhanaStream[[#This Row],[Subscription Fee]])</f>
        <v>9720</v>
      </c>
      <c r="N1046" t="str">
        <f>IF(GhanaStream[[#This Row],[Churn Flag]]="Yes","Churned","Retained")</f>
        <v>Retained</v>
      </c>
    </row>
    <row r="1047" spans="1:14" x14ac:dyDescent="0.25">
      <c r="A1047" t="s">
        <v>1085</v>
      </c>
      <c r="B1047" s="1">
        <v>45111</v>
      </c>
      <c r="C1047" t="s">
        <v>31</v>
      </c>
      <c r="D1047" t="s">
        <v>13</v>
      </c>
      <c r="E1047">
        <v>1000</v>
      </c>
      <c r="F1047" t="s">
        <v>49</v>
      </c>
      <c r="G1047" t="s">
        <v>15</v>
      </c>
      <c r="H1047" t="s">
        <v>16</v>
      </c>
      <c r="I1047" t="s">
        <v>17</v>
      </c>
      <c r="J1047" t="s">
        <v>18</v>
      </c>
      <c r="K1047">
        <v>0</v>
      </c>
      <c r="L104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047">
        <f>GhanaStream[[#This Row],[Subscription Fee]]-(GhanaStream[[#This Row],[Discount]]*GhanaStream[[#This Row],[Subscription Fee]])</f>
        <v>1000</v>
      </c>
      <c r="N1047" t="str">
        <f>IF(GhanaStream[[#This Row],[Churn Flag]]="Yes","Churned","Retained")</f>
        <v>Churned</v>
      </c>
    </row>
    <row r="1048" spans="1:14" x14ac:dyDescent="0.25">
      <c r="A1048" t="s">
        <v>1086</v>
      </c>
      <c r="B1048" s="1">
        <v>45248</v>
      </c>
      <c r="C1048" t="s">
        <v>12</v>
      </c>
      <c r="D1048" t="s">
        <v>13</v>
      </c>
      <c r="E1048">
        <v>1500</v>
      </c>
      <c r="F1048" t="s">
        <v>49</v>
      </c>
      <c r="G1048" t="s">
        <v>28</v>
      </c>
      <c r="H1048" t="s">
        <v>33</v>
      </c>
      <c r="I1048" t="s">
        <v>34</v>
      </c>
      <c r="J1048" t="s">
        <v>50</v>
      </c>
      <c r="K1048">
        <v>0</v>
      </c>
      <c r="L104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048">
        <f>GhanaStream[[#This Row],[Subscription Fee]]-(GhanaStream[[#This Row],[Discount]]*GhanaStream[[#This Row],[Subscription Fee]])</f>
        <v>1500</v>
      </c>
      <c r="N1048" t="str">
        <f>IF(GhanaStream[[#This Row],[Churn Flag]]="Yes","Churned","Retained")</f>
        <v>Retained</v>
      </c>
    </row>
    <row r="1049" spans="1:14" x14ac:dyDescent="0.25">
      <c r="A1049" t="s">
        <v>1087</v>
      </c>
      <c r="B1049" s="1">
        <v>45482</v>
      </c>
      <c r="C1049" t="s">
        <v>31</v>
      </c>
      <c r="D1049" t="s">
        <v>13</v>
      </c>
      <c r="E1049">
        <v>1000</v>
      </c>
      <c r="F1049" t="s">
        <v>32</v>
      </c>
      <c r="G1049" t="s">
        <v>24</v>
      </c>
      <c r="H1049" t="s">
        <v>33</v>
      </c>
      <c r="I1049" t="s">
        <v>34</v>
      </c>
      <c r="J1049" t="s">
        <v>35</v>
      </c>
      <c r="K1049">
        <v>0</v>
      </c>
      <c r="L104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049">
        <f>GhanaStream[[#This Row],[Subscription Fee]]-(GhanaStream[[#This Row],[Discount]]*GhanaStream[[#This Row],[Subscription Fee]])</f>
        <v>1000</v>
      </c>
      <c r="N1049" t="str">
        <f>IF(GhanaStream[[#This Row],[Churn Flag]]="Yes","Churned","Retained")</f>
        <v>Retained</v>
      </c>
    </row>
    <row r="1050" spans="1:14" x14ac:dyDescent="0.25">
      <c r="A1050" t="s">
        <v>1088</v>
      </c>
      <c r="B1050" s="1">
        <v>45390</v>
      </c>
      <c r="C1050" t="s">
        <v>31</v>
      </c>
      <c r="D1050" t="s">
        <v>27</v>
      </c>
      <c r="E1050">
        <v>10800</v>
      </c>
      <c r="F1050" t="s">
        <v>21</v>
      </c>
      <c r="G1050" t="s">
        <v>15</v>
      </c>
      <c r="H1050" t="s">
        <v>16</v>
      </c>
      <c r="I1050" t="s">
        <v>17</v>
      </c>
      <c r="J1050" t="s">
        <v>25</v>
      </c>
      <c r="K1050">
        <v>0.1</v>
      </c>
      <c r="L105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050">
        <f>GhanaStream[[#This Row],[Subscription Fee]]-(GhanaStream[[#This Row],[Discount]]*GhanaStream[[#This Row],[Subscription Fee]])</f>
        <v>9720</v>
      </c>
      <c r="N1050" t="str">
        <f>IF(GhanaStream[[#This Row],[Churn Flag]]="Yes","Churned","Retained")</f>
        <v>Churned</v>
      </c>
    </row>
    <row r="1051" spans="1:14" x14ac:dyDescent="0.25">
      <c r="A1051" t="s">
        <v>1089</v>
      </c>
      <c r="B1051" s="1">
        <v>45062</v>
      </c>
      <c r="C1051" t="s">
        <v>12</v>
      </c>
      <c r="D1051" t="s">
        <v>27</v>
      </c>
      <c r="E1051">
        <v>16200</v>
      </c>
      <c r="F1051" t="s">
        <v>32</v>
      </c>
      <c r="G1051" t="s">
        <v>24</v>
      </c>
      <c r="H1051" t="s">
        <v>33</v>
      </c>
      <c r="I1051" t="s">
        <v>34</v>
      </c>
      <c r="J1051" t="s">
        <v>25</v>
      </c>
      <c r="K1051">
        <v>0.1</v>
      </c>
      <c r="L105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051">
        <f>GhanaStream[[#This Row],[Subscription Fee]]-(GhanaStream[[#This Row],[Discount]]*GhanaStream[[#This Row],[Subscription Fee]])</f>
        <v>14580</v>
      </c>
      <c r="N1051" t="str">
        <f>IF(GhanaStream[[#This Row],[Churn Flag]]="Yes","Churned","Retained")</f>
        <v>Retained</v>
      </c>
    </row>
    <row r="1052" spans="1:14" x14ac:dyDescent="0.25">
      <c r="A1052" t="s">
        <v>1090</v>
      </c>
      <c r="B1052" s="1">
        <v>45488</v>
      </c>
      <c r="C1052" t="s">
        <v>20</v>
      </c>
      <c r="D1052" t="s">
        <v>27</v>
      </c>
      <c r="E1052">
        <v>5400</v>
      </c>
      <c r="F1052" t="s">
        <v>14</v>
      </c>
      <c r="G1052" t="s">
        <v>24</v>
      </c>
      <c r="H1052" t="s">
        <v>33</v>
      </c>
      <c r="I1052" t="s">
        <v>34</v>
      </c>
      <c r="J1052" t="s">
        <v>55</v>
      </c>
      <c r="K1052">
        <v>0.1</v>
      </c>
      <c r="L105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052">
        <f>GhanaStream[[#This Row],[Subscription Fee]]-(GhanaStream[[#This Row],[Discount]]*GhanaStream[[#This Row],[Subscription Fee]])</f>
        <v>4860</v>
      </c>
      <c r="N1052" t="str">
        <f>IF(GhanaStream[[#This Row],[Churn Flag]]="Yes","Churned","Retained")</f>
        <v>Retained</v>
      </c>
    </row>
    <row r="1053" spans="1:14" x14ac:dyDescent="0.25">
      <c r="A1053" t="s">
        <v>1091</v>
      </c>
      <c r="B1053" s="1">
        <v>45375</v>
      </c>
      <c r="C1053" t="s">
        <v>20</v>
      </c>
      <c r="D1053" t="s">
        <v>13</v>
      </c>
      <c r="E1053">
        <v>500</v>
      </c>
      <c r="F1053" t="s">
        <v>21</v>
      </c>
      <c r="G1053" t="s">
        <v>24</v>
      </c>
      <c r="H1053" t="s">
        <v>33</v>
      </c>
      <c r="I1053" t="s">
        <v>34</v>
      </c>
      <c r="J1053" t="s">
        <v>22</v>
      </c>
      <c r="K1053">
        <v>0</v>
      </c>
      <c r="L105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053">
        <f>GhanaStream[[#This Row],[Subscription Fee]]-(GhanaStream[[#This Row],[Discount]]*GhanaStream[[#This Row],[Subscription Fee]])</f>
        <v>500</v>
      </c>
      <c r="N1053" t="str">
        <f>IF(GhanaStream[[#This Row],[Churn Flag]]="Yes","Churned","Retained")</f>
        <v>Retained</v>
      </c>
    </row>
    <row r="1054" spans="1:14" x14ac:dyDescent="0.25">
      <c r="A1054" t="s">
        <v>1092</v>
      </c>
      <c r="B1054" s="1">
        <v>45104</v>
      </c>
      <c r="C1054" t="s">
        <v>20</v>
      </c>
      <c r="D1054" t="s">
        <v>27</v>
      </c>
      <c r="E1054">
        <v>5400</v>
      </c>
      <c r="F1054" t="s">
        <v>32</v>
      </c>
      <c r="G1054" t="s">
        <v>28</v>
      </c>
      <c r="H1054" t="s">
        <v>33</v>
      </c>
      <c r="I1054" t="s">
        <v>34</v>
      </c>
      <c r="J1054" t="s">
        <v>25</v>
      </c>
      <c r="K1054">
        <v>0.1</v>
      </c>
      <c r="L105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054">
        <f>GhanaStream[[#This Row],[Subscription Fee]]-(GhanaStream[[#This Row],[Discount]]*GhanaStream[[#This Row],[Subscription Fee]])</f>
        <v>4860</v>
      </c>
      <c r="N1054" t="str">
        <f>IF(GhanaStream[[#This Row],[Churn Flag]]="Yes","Churned","Retained")</f>
        <v>Retained</v>
      </c>
    </row>
    <row r="1055" spans="1:14" x14ac:dyDescent="0.25">
      <c r="A1055" t="s">
        <v>1093</v>
      </c>
      <c r="B1055" s="1">
        <v>45652</v>
      </c>
      <c r="C1055" t="s">
        <v>20</v>
      </c>
      <c r="D1055" t="s">
        <v>27</v>
      </c>
      <c r="E1055">
        <v>5400</v>
      </c>
      <c r="F1055" t="s">
        <v>14</v>
      </c>
      <c r="G1055" t="s">
        <v>24</v>
      </c>
      <c r="H1055" t="s">
        <v>33</v>
      </c>
      <c r="I1055" t="s">
        <v>34</v>
      </c>
      <c r="J1055" t="s">
        <v>41</v>
      </c>
      <c r="K1055">
        <v>0.1</v>
      </c>
      <c r="L105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055">
        <f>GhanaStream[[#This Row],[Subscription Fee]]-(GhanaStream[[#This Row],[Discount]]*GhanaStream[[#This Row],[Subscription Fee]])</f>
        <v>4860</v>
      </c>
      <c r="N1055" t="str">
        <f>IF(GhanaStream[[#This Row],[Churn Flag]]="Yes","Churned","Retained")</f>
        <v>Retained</v>
      </c>
    </row>
    <row r="1056" spans="1:14" x14ac:dyDescent="0.25">
      <c r="A1056" t="s">
        <v>1094</v>
      </c>
      <c r="B1056" s="1">
        <v>45239</v>
      </c>
      <c r="C1056" t="s">
        <v>20</v>
      </c>
      <c r="D1056" t="s">
        <v>13</v>
      </c>
      <c r="E1056">
        <v>500</v>
      </c>
      <c r="F1056" t="s">
        <v>49</v>
      </c>
      <c r="G1056" t="s">
        <v>15</v>
      </c>
      <c r="H1056" t="s">
        <v>16</v>
      </c>
      <c r="I1056" t="s">
        <v>17</v>
      </c>
      <c r="J1056" t="s">
        <v>25</v>
      </c>
      <c r="K1056">
        <v>0</v>
      </c>
      <c r="L105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056">
        <f>GhanaStream[[#This Row],[Subscription Fee]]-(GhanaStream[[#This Row],[Discount]]*GhanaStream[[#This Row],[Subscription Fee]])</f>
        <v>500</v>
      </c>
      <c r="N1056" t="str">
        <f>IF(GhanaStream[[#This Row],[Churn Flag]]="Yes","Churned","Retained")</f>
        <v>Churned</v>
      </c>
    </row>
    <row r="1057" spans="1:14" x14ac:dyDescent="0.25">
      <c r="A1057" t="s">
        <v>1095</v>
      </c>
      <c r="B1057" s="1">
        <v>45205</v>
      </c>
      <c r="C1057" t="s">
        <v>20</v>
      </c>
      <c r="D1057" t="s">
        <v>13</v>
      </c>
      <c r="E1057">
        <v>500</v>
      </c>
      <c r="F1057" t="s">
        <v>21</v>
      </c>
      <c r="G1057" t="s">
        <v>28</v>
      </c>
      <c r="H1057" t="s">
        <v>16</v>
      </c>
      <c r="I1057" t="s">
        <v>17</v>
      </c>
      <c r="J1057" t="s">
        <v>18</v>
      </c>
      <c r="K1057">
        <v>0</v>
      </c>
      <c r="L105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057">
        <f>GhanaStream[[#This Row],[Subscription Fee]]-(GhanaStream[[#This Row],[Discount]]*GhanaStream[[#This Row],[Subscription Fee]])</f>
        <v>500</v>
      </c>
      <c r="N1057" t="str">
        <f>IF(GhanaStream[[#This Row],[Churn Flag]]="Yes","Churned","Retained")</f>
        <v>Churned</v>
      </c>
    </row>
    <row r="1058" spans="1:14" x14ac:dyDescent="0.25">
      <c r="A1058" t="s">
        <v>1096</v>
      </c>
      <c r="B1058" s="1">
        <v>44936</v>
      </c>
      <c r="C1058" t="s">
        <v>31</v>
      </c>
      <c r="D1058" t="s">
        <v>27</v>
      </c>
      <c r="E1058">
        <v>10800</v>
      </c>
      <c r="F1058" t="s">
        <v>14</v>
      </c>
      <c r="G1058" t="s">
        <v>28</v>
      </c>
      <c r="H1058" t="s">
        <v>33</v>
      </c>
      <c r="I1058" t="s">
        <v>34</v>
      </c>
      <c r="J1058" t="s">
        <v>37</v>
      </c>
      <c r="K1058">
        <v>0.1</v>
      </c>
      <c r="L105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058">
        <f>GhanaStream[[#This Row],[Subscription Fee]]-(GhanaStream[[#This Row],[Discount]]*GhanaStream[[#This Row],[Subscription Fee]])</f>
        <v>9720</v>
      </c>
      <c r="N1058" t="str">
        <f>IF(GhanaStream[[#This Row],[Churn Flag]]="Yes","Churned","Retained")</f>
        <v>Retained</v>
      </c>
    </row>
    <row r="1059" spans="1:14" x14ac:dyDescent="0.25">
      <c r="A1059" t="s">
        <v>1097</v>
      </c>
      <c r="B1059" s="1">
        <v>45353</v>
      </c>
      <c r="C1059" t="s">
        <v>20</v>
      </c>
      <c r="D1059" t="s">
        <v>27</v>
      </c>
      <c r="E1059">
        <v>5400</v>
      </c>
      <c r="F1059" t="s">
        <v>21</v>
      </c>
      <c r="G1059" t="s">
        <v>28</v>
      </c>
      <c r="H1059" t="s">
        <v>16</v>
      </c>
      <c r="I1059" t="s">
        <v>17</v>
      </c>
      <c r="J1059" t="s">
        <v>29</v>
      </c>
      <c r="K1059">
        <v>0.1</v>
      </c>
      <c r="L105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059">
        <f>GhanaStream[[#This Row],[Subscription Fee]]-(GhanaStream[[#This Row],[Discount]]*GhanaStream[[#This Row],[Subscription Fee]])</f>
        <v>4860</v>
      </c>
      <c r="N1059" t="str">
        <f>IF(GhanaStream[[#This Row],[Churn Flag]]="Yes","Churned","Retained")</f>
        <v>Churned</v>
      </c>
    </row>
    <row r="1060" spans="1:14" x14ac:dyDescent="0.25">
      <c r="A1060" t="s">
        <v>1098</v>
      </c>
      <c r="B1060" s="1">
        <v>45266</v>
      </c>
      <c r="C1060" t="s">
        <v>20</v>
      </c>
      <c r="D1060" t="s">
        <v>13</v>
      </c>
      <c r="E1060">
        <v>500</v>
      </c>
      <c r="F1060" t="s">
        <v>14</v>
      </c>
      <c r="G1060" t="s">
        <v>28</v>
      </c>
      <c r="H1060" t="s">
        <v>33</v>
      </c>
      <c r="I1060" t="s">
        <v>34</v>
      </c>
      <c r="J1060" t="s">
        <v>41</v>
      </c>
      <c r="K1060">
        <v>0</v>
      </c>
      <c r="L106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060">
        <f>GhanaStream[[#This Row],[Subscription Fee]]-(GhanaStream[[#This Row],[Discount]]*GhanaStream[[#This Row],[Subscription Fee]])</f>
        <v>500</v>
      </c>
      <c r="N1060" t="str">
        <f>IF(GhanaStream[[#This Row],[Churn Flag]]="Yes","Churned","Retained")</f>
        <v>Retained</v>
      </c>
    </row>
    <row r="1061" spans="1:14" x14ac:dyDescent="0.25">
      <c r="A1061" t="s">
        <v>1099</v>
      </c>
      <c r="B1061" s="1">
        <v>45617</v>
      </c>
      <c r="C1061" t="s">
        <v>20</v>
      </c>
      <c r="D1061" t="s">
        <v>27</v>
      </c>
      <c r="E1061">
        <v>5400</v>
      </c>
      <c r="F1061" t="s">
        <v>32</v>
      </c>
      <c r="G1061" t="s">
        <v>28</v>
      </c>
      <c r="H1061" t="s">
        <v>33</v>
      </c>
      <c r="I1061" t="s">
        <v>34</v>
      </c>
      <c r="J1061" t="s">
        <v>35</v>
      </c>
      <c r="K1061">
        <v>0.1</v>
      </c>
      <c r="L106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061">
        <f>GhanaStream[[#This Row],[Subscription Fee]]-(GhanaStream[[#This Row],[Discount]]*GhanaStream[[#This Row],[Subscription Fee]])</f>
        <v>4860</v>
      </c>
      <c r="N1061" t="str">
        <f>IF(GhanaStream[[#This Row],[Churn Flag]]="Yes","Churned","Retained")</f>
        <v>Retained</v>
      </c>
    </row>
    <row r="1062" spans="1:14" x14ac:dyDescent="0.25">
      <c r="A1062" t="s">
        <v>1100</v>
      </c>
      <c r="B1062" s="1">
        <v>45140</v>
      </c>
      <c r="C1062" t="s">
        <v>31</v>
      </c>
      <c r="D1062" t="s">
        <v>27</v>
      </c>
      <c r="E1062">
        <v>10800</v>
      </c>
      <c r="F1062" t="s">
        <v>32</v>
      </c>
      <c r="G1062" t="s">
        <v>24</v>
      </c>
      <c r="H1062" t="s">
        <v>33</v>
      </c>
      <c r="I1062" t="s">
        <v>34</v>
      </c>
      <c r="J1062" t="s">
        <v>35</v>
      </c>
      <c r="K1062">
        <v>0.1</v>
      </c>
      <c r="L106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062">
        <f>GhanaStream[[#This Row],[Subscription Fee]]-(GhanaStream[[#This Row],[Discount]]*GhanaStream[[#This Row],[Subscription Fee]])</f>
        <v>9720</v>
      </c>
      <c r="N1062" t="str">
        <f>IF(GhanaStream[[#This Row],[Churn Flag]]="Yes","Churned","Retained")</f>
        <v>Retained</v>
      </c>
    </row>
    <row r="1063" spans="1:14" x14ac:dyDescent="0.25">
      <c r="A1063" t="s">
        <v>1101</v>
      </c>
      <c r="B1063" s="1">
        <v>45491</v>
      </c>
      <c r="C1063" t="s">
        <v>20</v>
      </c>
      <c r="D1063" t="s">
        <v>27</v>
      </c>
      <c r="E1063">
        <v>5400</v>
      </c>
      <c r="F1063" t="s">
        <v>21</v>
      </c>
      <c r="G1063" t="s">
        <v>15</v>
      </c>
      <c r="H1063" t="s">
        <v>33</v>
      </c>
      <c r="I1063" t="s">
        <v>34</v>
      </c>
      <c r="J1063" t="s">
        <v>18</v>
      </c>
      <c r="K1063">
        <v>0.1</v>
      </c>
      <c r="L106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063">
        <f>GhanaStream[[#This Row],[Subscription Fee]]-(GhanaStream[[#This Row],[Discount]]*GhanaStream[[#This Row],[Subscription Fee]])</f>
        <v>4860</v>
      </c>
      <c r="N1063" t="str">
        <f>IF(GhanaStream[[#This Row],[Churn Flag]]="Yes","Churned","Retained")</f>
        <v>Retained</v>
      </c>
    </row>
    <row r="1064" spans="1:14" x14ac:dyDescent="0.25">
      <c r="A1064" t="s">
        <v>1102</v>
      </c>
      <c r="B1064" s="1">
        <v>45539</v>
      </c>
      <c r="C1064" t="s">
        <v>12</v>
      </c>
      <c r="D1064" t="s">
        <v>27</v>
      </c>
      <c r="E1064">
        <v>16200</v>
      </c>
      <c r="F1064" t="s">
        <v>49</v>
      </c>
      <c r="G1064" t="s">
        <v>28</v>
      </c>
      <c r="H1064" t="s">
        <v>16</v>
      </c>
      <c r="I1064" t="s">
        <v>17</v>
      </c>
      <c r="J1064" t="s">
        <v>58</v>
      </c>
      <c r="K1064">
        <v>0.1</v>
      </c>
      <c r="L106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064">
        <f>GhanaStream[[#This Row],[Subscription Fee]]-(GhanaStream[[#This Row],[Discount]]*GhanaStream[[#This Row],[Subscription Fee]])</f>
        <v>14580</v>
      </c>
      <c r="N1064" t="str">
        <f>IF(GhanaStream[[#This Row],[Churn Flag]]="Yes","Churned","Retained")</f>
        <v>Churned</v>
      </c>
    </row>
    <row r="1065" spans="1:14" x14ac:dyDescent="0.25">
      <c r="A1065" t="s">
        <v>1103</v>
      </c>
      <c r="B1065" s="1">
        <v>45361</v>
      </c>
      <c r="C1065" t="s">
        <v>31</v>
      </c>
      <c r="D1065" t="s">
        <v>13</v>
      </c>
      <c r="E1065">
        <v>1000</v>
      </c>
      <c r="F1065" t="s">
        <v>14</v>
      </c>
      <c r="G1065" t="s">
        <v>28</v>
      </c>
      <c r="H1065" t="s">
        <v>33</v>
      </c>
      <c r="I1065" t="s">
        <v>34</v>
      </c>
      <c r="J1065" t="s">
        <v>18</v>
      </c>
      <c r="K1065">
        <v>0</v>
      </c>
      <c r="L106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065">
        <f>GhanaStream[[#This Row],[Subscription Fee]]-(GhanaStream[[#This Row],[Discount]]*GhanaStream[[#This Row],[Subscription Fee]])</f>
        <v>1000</v>
      </c>
      <c r="N1065" t="str">
        <f>IF(GhanaStream[[#This Row],[Churn Flag]]="Yes","Churned","Retained")</f>
        <v>Retained</v>
      </c>
    </row>
    <row r="1066" spans="1:14" x14ac:dyDescent="0.25">
      <c r="A1066" t="s">
        <v>1104</v>
      </c>
      <c r="B1066" s="1">
        <v>45443</v>
      </c>
      <c r="C1066" t="s">
        <v>31</v>
      </c>
      <c r="D1066" t="s">
        <v>27</v>
      </c>
      <c r="E1066">
        <v>10800</v>
      </c>
      <c r="F1066" t="s">
        <v>14</v>
      </c>
      <c r="G1066" t="s">
        <v>24</v>
      </c>
      <c r="H1066" t="s">
        <v>16</v>
      </c>
      <c r="I1066" t="s">
        <v>17</v>
      </c>
      <c r="J1066" t="s">
        <v>55</v>
      </c>
      <c r="K1066">
        <v>0.1</v>
      </c>
      <c r="L106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066">
        <f>GhanaStream[[#This Row],[Subscription Fee]]-(GhanaStream[[#This Row],[Discount]]*GhanaStream[[#This Row],[Subscription Fee]])</f>
        <v>9720</v>
      </c>
      <c r="N1066" t="str">
        <f>IF(GhanaStream[[#This Row],[Churn Flag]]="Yes","Churned","Retained")</f>
        <v>Churned</v>
      </c>
    </row>
    <row r="1067" spans="1:14" x14ac:dyDescent="0.25">
      <c r="A1067" t="s">
        <v>1105</v>
      </c>
      <c r="B1067" s="1">
        <v>45418</v>
      </c>
      <c r="C1067" t="s">
        <v>12</v>
      </c>
      <c r="D1067" t="s">
        <v>27</v>
      </c>
      <c r="E1067">
        <v>16200</v>
      </c>
      <c r="F1067" t="s">
        <v>21</v>
      </c>
      <c r="G1067" t="s">
        <v>24</v>
      </c>
      <c r="H1067" t="s">
        <v>16</v>
      </c>
      <c r="I1067" t="s">
        <v>17</v>
      </c>
      <c r="J1067" t="s">
        <v>25</v>
      </c>
      <c r="K1067">
        <v>0.1</v>
      </c>
      <c r="L106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067">
        <f>GhanaStream[[#This Row],[Subscription Fee]]-(GhanaStream[[#This Row],[Discount]]*GhanaStream[[#This Row],[Subscription Fee]])</f>
        <v>14580</v>
      </c>
      <c r="N1067" t="str">
        <f>IF(GhanaStream[[#This Row],[Churn Flag]]="Yes","Churned","Retained")</f>
        <v>Churned</v>
      </c>
    </row>
    <row r="1068" spans="1:14" x14ac:dyDescent="0.25">
      <c r="A1068" t="s">
        <v>1106</v>
      </c>
      <c r="B1068" s="1">
        <v>45528</v>
      </c>
      <c r="C1068" t="s">
        <v>31</v>
      </c>
      <c r="D1068" t="s">
        <v>13</v>
      </c>
      <c r="E1068">
        <v>1000</v>
      </c>
      <c r="F1068" t="s">
        <v>49</v>
      </c>
      <c r="G1068" t="s">
        <v>28</v>
      </c>
      <c r="H1068" t="s">
        <v>33</v>
      </c>
      <c r="I1068" t="s">
        <v>34</v>
      </c>
      <c r="J1068" t="s">
        <v>58</v>
      </c>
      <c r="K1068">
        <v>0</v>
      </c>
      <c r="L106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068">
        <f>GhanaStream[[#This Row],[Subscription Fee]]-(GhanaStream[[#This Row],[Discount]]*GhanaStream[[#This Row],[Subscription Fee]])</f>
        <v>1000</v>
      </c>
      <c r="N1068" t="str">
        <f>IF(GhanaStream[[#This Row],[Churn Flag]]="Yes","Churned","Retained")</f>
        <v>Retained</v>
      </c>
    </row>
    <row r="1069" spans="1:14" x14ac:dyDescent="0.25">
      <c r="A1069" t="s">
        <v>1107</v>
      </c>
      <c r="B1069" s="1">
        <v>44939</v>
      </c>
      <c r="C1069" t="s">
        <v>20</v>
      </c>
      <c r="D1069" t="s">
        <v>27</v>
      </c>
      <c r="E1069">
        <v>5400</v>
      </c>
      <c r="F1069" t="s">
        <v>21</v>
      </c>
      <c r="G1069" t="s">
        <v>24</v>
      </c>
      <c r="H1069" t="s">
        <v>33</v>
      </c>
      <c r="I1069" t="s">
        <v>34</v>
      </c>
      <c r="J1069" t="s">
        <v>29</v>
      </c>
      <c r="K1069">
        <v>0.1</v>
      </c>
      <c r="L106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069">
        <f>GhanaStream[[#This Row],[Subscription Fee]]-(GhanaStream[[#This Row],[Discount]]*GhanaStream[[#This Row],[Subscription Fee]])</f>
        <v>4860</v>
      </c>
      <c r="N1069" t="str">
        <f>IF(GhanaStream[[#This Row],[Churn Flag]]="Yes","Churned","Retained")</f>
        <v>Retained</v>
      </c>
    </row>
    <row r="1070" spans="1:14" x14ac:dyDescent="0.25">
      <c r="A1070" t="s">
        <v>1108</v>
      </c>
      <c r="B1070" s="1">
        <v>45147</v>
      </c>
      <c r="C1070" t="s">
        <v>12</v>
      </c>
      <c r="D1070" t="s">
        <v>13</v>
      </c>
      <c r="E1070">
        <v>1500</v>
      </c>
      <c r="F1070" t="s">
        <v>49</v>
      </c>
      <c r="G1070" t="s">
        <v>15</v>
      </c>
      <c r="H1070" t="s">
        <v>33</v>
      </c>
      <c r="I1070" t="s">
        <v>34</v>
      </c>
      <c r="J1070" t="s">
        <v>58</v>
      </c>
      <c r="K1070">
        <v>0</v>
      </c>
      <c r="L107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070">
        <f>GhanaStream[[#This Row],[Subscription Fee]]-(GhanaStream[[#This Row],[Discount]]*GhanaStream[[#This Row],[Subscription Fee]])</f>
        <v>1500</v>
      </c>
      <c r="N1070" t="str">
        <f>IF(GhanaStream[[#This Row],[Churn Flag]]="Yes","Churned","Retained")</f>
        <v>Retained</v>
      </c>
    </row>
    <row r="1071" spans="1:14" x14ac:dyDescent="0.25">
      <c r="A1071" t="s">
        <v>1109</v>
      </c>
      <c r="B1071" s="1">
        <v>45515</v>
      </c>
      <c r="C1071" t="s">
        <v>31</v>
      </c>
      <c r="D1071" t="s">
        <v>13</v>
      </c>
      <c r="E1071">
        <v>1000</v>
      </c>
      <c r="F1071" t="s">
        <v>32</v>
      </c>
      <c r="G1071" t="s">
        <v>28</v>
      </c>
      <c r="H1071" t="s">
        <v>16</v>
      </c>
      <c r="I1071" t="s">
        <v>17</v>
      </c>
      <c r="J1071" t="s">
        <v>25</v>
      </c>
      <c r="K1071">
        <v>0</v>
      </c>
      <c r="L107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071">
        <f>GhanaStream[[#This Row],[Subscription Fee]]-(GhanaStream[[#This Row],[Discount]]*GhanaStream[[#This Row],[Subscription Fee]])</f>
        <v>1000</v>
      </c>
      <c r="N1071" t="str">
        <f>IF(GhanaStream[[#This Row],[Churn Flag]]="Yes","Churned","Retained")</f>
        <v>Churned</v>
      </c>
    </row>
    <row r="1072" spans="1:14" x14ac:dyDescent="0.25">
      <c r="A1072" t="s">
        <v>1110</v>
      </c>
      <c r="B1072" s="1">
        <v>45255</v>
      </c>
      <c r="C1072" t="s">
        <v>20</v>
      </c>
      <c r="D1072" t="s">
        <v>27</v>
      </c>
      <c r="E1072">
        <v>5400</v>
      </c>
      <c r="F1072" t="s">
        <v>14</v>
      </c>
      <c r="G1072" t="s">
        <v>28</v>
      </c>
      <c r="H1072" t="s">
        <v>33</v>
      </c>
      <c r="I1072" t="s">
        <v>34</v>
      </c>
      <c r="J1072" t="s">
        <v>18</v>
      </c>
      <c r="K1072">
        <v>0.1</v>
      </c>
      <c r="L107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072">
        <f>GhanaStream[[#This Row],[Subscription Fee]]-(GhanaStream[[#This Row],[Discount]]*GhanaStream[[#This Row],[Subscription Fee]])</f>
        <v>4860</v>
      </c>
      <c r="N1072" t="str">
        <f>IF(GhanaStream[[#This Row],[Churn Flag]]="Yes","Churned","Retained")</f>
        <v>Retained</v>
      </c>
    </row>
    <row r="1073" spans="1:14" x14ac:dyDescent="0.25">
      <c r="A1073" t="s">
        <v>1111</v>
      </c>
      <c r="B1073" s="1">
        <v>45447</v>
      </c>
      <c r="C1073" t="s">
        <v>12</v>
      </c>
      <c r="D1073" t="s">
        <v>27</v>
      </c>
      <c r="E1073">
        <v>16200</v>
      </c>
      <c r="F1073" t="s">
        <v>49</v>
      </c>
      <c r="G1073" t="s">
        <v>24</v>
      </c>
      <c r="H1073" t="s">
        <v>33</v>
      </c>
      <c r="I1073" t="s">
        <v>34</v>
      </c>
      <c r="J1073" t="s">
        <v>18</v>
      </c>
      <c r="K1073">
        <v>0.1</v>
      </c>
      <c r="L107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073">
        <f>GhanaStream[[#This Row],[Subscription Fee]]-(GhanaStream[[#This Row],[Discount]]*GhanaStream[[#This Row],[Subscription Fee]])</f>
        <v>14580</v>
      </c>
      <c r="N1073" t="str">
        <f>IF(GhanaStream[[#This Row],[Churn Flag]]="Yes","Churned","Retained")</f>
        <v>Retained</v>
      </c>
    </row>
    <row r="1074" spans="1:14" x14ac:dyDescent="0.25">
      <c r="A1074" t="s">
        <v>1112</v>
      </c>
      <c r="B1074" s="1">
        <v>45539</v>
      </c>
      <c r="C1074" t="s">
        <v>20</v>
      </c>
      <c r="D1074" t="s">
        <v>27</v>
      </c>
      <c r="E1074">
        <v>5400</v>
      </c>
      <c r="F1074" t="s">
        <v>49</v>
      </c>
      <c r="G1074" t="s">
        <v>15</v>
      </c>
      <c r="H1074" t="s">
        <v>33</v>
      </c>
      <c r="I1074" t="s">
        <v>34</v>
      </c>
      <c r="J1074" t="s">
        <v>58</v>
      </c>
      <c r="K1074">
        <v>0.1</v>
      </c>
      <c r="L107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074">
        <f>GhanaStream[[#This Row],[Subscription Fee]]-(GhanaStream[[#This Row],[Discount]]*GhanaStream[[#This Row],[Subscription Fee]])</f>
        <v>4860</v>
      </c>
      <c r="N1074" t="str">
        <f>IF(GhanaStream[[#This Row],[Churn Flag]]="Yes","Churned","Retained")</f>
        <v>Retained</v>
      </c>
    </row>
    <row r="1075" spans="1:14" x14ac:dyDescent="0.25">
      <c r="A1075" t="s">
        <v>1113</v>
      </c>
      <c r="B1075" s="1">
        <v>45192</v>
      </c>
      <c r="C1075" t="s">
        <v>31</v>
      </c>
      <c r="D1075" t="s">
        <v>13</v>
      </c>
      <c r="E1075">
        <v>1000</v>
      </c>
      <c r="F1075" t="s">
        <v>49</v>
      </c>
      <c r="G1075" t="s">
        <v>28</v>
      </c>
      <c r="H1075" t="s">
        <v>33</v>
      </c>
      <c r="I1075" t="s">
        <v>34</v>
      </c>
      <c r="J1075" t="s">
        <v>22</v>
      </c>
      <c r="K1075">
        <v>0</v>
      </c>
      <c r="L107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075">
        <f>GhanaStream[[#This Row],[Subscription Fee]]-(GhanaStream[[#This Row],[Discount]]*GhanaStream[[#This Row],[Subscription Fee]])</f>
        <v>1000</v>
      </c>
      <c r="N1075" t="str">
        <f>IF(GhanaStream[[#This Row],[Churn Flag]]="Yes","Churned","Retained")</f>
        <v>Retained</v>
      </c>
    </row>
    <row r="1076" spans="1:14" x14ac:dyDescent="0.25">
      <c r="A1076" t="s">
        <v>1114</v>
      </c>
      <c r="B1076" s="1">
        <v>45369</v>
      </c>
      <c r="C1076" t="s">
        <v>31</v>
      </c>
      <c r="D1076" t="s">
        <v>13</v>
      </c>
      <c r="E1076">
        <v>1000</v>
      </c>
      <c r="F1076" t="s">
        <v>21</v>
      </c>
      <c r="G1076" t="s">
        <v>24</v>
      </c>
      <c r="H1076" t="s">
        <v>16</v>
      </c>
      <c r="I1076" t="s">
        <v>17</v>
      </c>
      <c r="J1076" t="s">
        <v>18</v>
      </c>
      <c r="K1076">
        <v>0</v>
      </c>
      <c r="L107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076">
        <f>GhanaStream[[#This Row],[Subscription Fee]]-(GhanaStream[[#This Row],[Discount]]*GhanaStream[[#This Row],[Subscription Fee]])</f>
        <v>1000</v>
      </c>
      <c r="N1076" t="str">
        <f>IF(GhanaStream[[#This Row],[Churn Flag]]="Yes","Churned","Retained")</f>
        <v>Churned</v>
      </c>
    </row>
    <row r="1077" spans="1:14" x14ac:dyDescent="0.25">
      <c r="A1077" t="s">
        <v>1115</v>
      </c>
      <c r="B1077" s="1">
        <v>45642</v>
      </c>
      <c r="C1077" t="s">
        <v>31</v>
      </c>
      <c r="D1077" t="s">
        <v>13</v>
      </c>
      <c r="E1077">
        <v>1000</v>
      </c>
      <c r="F1077" t="s">
        <v>32</v>
      </c>
      <c r="G1077" t="s">
        <v>28</v>
      </c>
      <c r="H1077" t="s">
        <v>16</v>
      </c>
      <c r="I1077" t="s">
        <v>17</v>
      </c>
      <c r="J1077" t="s">
        <v>39</v>
      </c>
      <c r="K1077">
        <v>0</v>
      </c>
      <c r="L107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077">
        <f>GhanaStream[[#This Row],[Subscription Fee]]-(GhanaStream[[#This Row],[Discount]]*GhanaStream[[#This Row],[Subscription Fee]])</f>
        <v>1000</v>
      </c>
      <c r="N1077" t="str">
        <f>IF(GhanaStream[[#This Row],[Churn Flag]]="Yes","Churned","Retained")</f>
        <v>Churned</v>
      </c>
    </row>
    <row r="1078" spans="1:14" x14ac:dyDescent="0.25">
      <c r="A1078" t="s">
        <v>1116</v>
      </c>
      <c r="B1078" s="1">
        <v>44947</v>
      </c>
      <c r="C1078" t="s">
        <v>31</v>
      </c>
      <c r="D1078" t="s">
        <v>13</v>
      </c>
      <c r="E1078">
        <v>1000</v>
      </c>
      <c r="F1078" t="s">
        <v>14</v>
      </c>
      <c r="G1078" t="s">
        <v>15</v>
      </c>
      <c r="H1078" t="s">
        <v>16</v>
      </c>
      <c r="I1078" t="s">
        <v>17</v>
      </c>
      <c r="J1078" t="s">
        <v>22</v>
      </c>
      <c r="K1078">
        <v>0</v>
      </c>
      <c r="L107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078">
        <f>GhanaStream[[#This Row],[Subscription Fee]]-(GhanaStream[[#This Row],[Discount]]*GhanaStream[[#This Row],[Subscription Fee]])</f>
        <v>1000</v>
      </c>
      <c r="N1078" t="str">
        <f>IF(GhanaStream[[#This Row],[Churn Flag]]="Yes","Churned","Retained")</f>
        <v>Churned</v>
      </c>
    </row>
    <row r="1079" spans="1:14" x14ac:dyDescent="0.25">
      <c r="A1079" t="s">
        <v>1117</v>
      </c>
      <c r="B1079" s="1">
        <v>45374</v>
      </c>
      <c r="C1079" t="s">
        <v>31</v>
      </c>
      <c r="D1079" t="s">
        <v>13</v>
      </c>
      <c r="E1079">
        <v>1000</v>
      </c>
      <c r="F1079" t="s">
        <v>14</v>
      </c>
      <c r="G1079" t="s">
        <v>24</v>
      </c>
      <c r="H1079" t="s">
        <v>33</v>
      </c>
      <c r="I1079" t="s">
        <v>34</v>
      </c>
      <c r="J1079" t="s">
        <v>18</v>
      </c>
      <c r="K1079">
        <v>0</v>
      </c>
      <c r="L107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079">
        <f>GhanaStream[[#This Row],[Subscription Fee]]-(GhanaStream[[#This Row],[Discount]]*GhanaStream[[#This Row],[Subscription Fee]])</f>
        <v>1000</v>
      </c>
      <c r="N1079" t="str">
        <f>IF(GhanaStream[[#This Row],[Churn Flag]]="Yes","Churned","Retained")</f>
        <v>Retained</v>
      </c>
    </row>
    <row r="1080" spans="1:14" x14ac:dyDescent="0.25">
      <c r="A1080" t="s">
        <v>1118</v>
      </c>
      <c r="B1080" s="1">
        <v>45491</v>
      </c>
      <c r="C1080" t="s">
        <v>12</v>
      </c>
      <c r="D1080" t="s">
        <v>13</v>
      </c>
      <c r="E1080">
        <v>1500</v>
      </c>
      <c r="F1080" t="s">
        <v>14</v>
      </c>
      <c r="G1080" t="s">
        <v>28</v>
      </c>
      <c r="H1080" t="s">
        <v>33</v>
      </c>
      <c r="I1080" t="s">
        <v>34</v>
      </c>
      <c r="J1080" t="s">
        <v>37</v>
      </c>
      <c r="K1080">
        <v>0</v>
      </c>
      <c r="L108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080">
        <f>GhanaStream[[#This Row],[Subscription Fee]]-(GhanaStream[[#This Row],[Discount]]*GhanaStream[[#This Row],[Subscription Fee]])</f>
        <v>1500</v>
      </c>
      <c r="N1080" t="str">
        <f>IF(GhanaStream[[#This Row],[Churn Flag]]="Yes","Churned","Retained")</f>
        <v>Retained</v>
      </c>
    </row>
    <row r="1081" spans="1:14" x14ac:dyDescent="0.25">
      <c r="A1081" t="s">
        <v>1119</v>
      </c>
      <c r="B1081" s="1">
        <v>45215</v>
      </c>
      <c r="C1081" t="s">
        <v>20</v>
      </c>
      <c r="D1081" t="s">
        <v>27</v>
      </c>
      <c r="E1081">
        <v>5400</v>
      </c>
      <c r="F1081" t="s">
        <v>32</v>
      </c>
      <c r="G1081" t="s">
        <v>15</v>
      </c>
      <c r="H1081" t="s">
        <v>33</v>
      </c>
      <c r="I1081" t="s">
        <v>34</v>
      </c>
      <c r="J1081" t="s">
        <v>25</v>
      </c>
      <c r="K1081">
        <v>0.1</v>
      </c>
      <c r="L108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081">
        <f>GhanaStream[[#This Row],[Subscription Fee]]-(GhanaStream[[#This Row],[Discount]]*GhanaStream[[#This Row],[Subscription Fee]])</f>
        <v>4860</v>
      </c>
      <c r="N1081" t="str">
        <f>IF(GhanaStream[[#This Row],[Churn Flag]]="Yes","Churned","Retained")</f>
        <v>Retained</v>
      </c>
    </row>
    <row r="1082" spans="1:14" x14ac:dyDescent="0.25">
      <c r="A1082" t="s">
        <v>1120</v>
      </c>
      <c r="B1082" s="1">
        <v>45359</v>
      </c>
      <c r="C1082" t="s">
        <v>31</v>
      </c>
      <c r="D1082" t="s">
        <v>27</v>
      </c>
      <c r="E1082">
        <v>10800</v>
      </c>
      <c r="F1082" t="s">
        <v>32</v>
      </c>
      <c r="G1082" t="s">
        <v>15</v>
      </c>
      <c r="H1082" t="s">
        <v>33</v>
      </c>
      <c r="I1082" t="s">
        <v>34</v>
      </c>
      <c r="J1082" t="s">
        <v>25</v>
      </c>
      <c r="K1082">
        <v>0.1</v>
      </c>
      <c r="L108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082">
        <f>GhanaStream[[#This Row],[Subscription Fee]]-(GhanaStream[[#This Row],[Discount]]*GhanaStream[[#This Row],[Subscription Fee]])</f>
        <v>9720</v>
      </c>
      <c r="N1082" t="str">
        <f>IF(GhanaStream[[#This Row],[Churn Flag]]="Yes","Churned","Retained")</f>
        <v>Retained</v>
      </c>
    </row>
    <row r="1083" spans="1:14" x14ac:dyDescent="0.25">
      <c r="A1083" t="s">
        <v>1121</v>
      </c>
      <c r="B1083" s="1">
        <v>45642</v>
      </c>
      <c r="C1083" t="s">
        <v>12</v>
      </c>
      <c r="D1083" t="s">
        <v>13</v>
      </c>
      <c r="E1083">
        <v>1500</v>
      </c>
      <c r="F1083" t="s">
        <v>14</v>
      </c>
      <c r="G1083" t="s">
        <v>24</v>
      </c>
      <c r="H1083" t="s">
        <v>33</v>
      </c>
      <c r="I1083" t="s">
        <v>34</v>
      </c>
      <c r="J1083" t="s">
        <v>37</v>
      </c>
      <c r="K1083">
        <v>0</v>
      </c>
      <c r="L108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083">
        <f>GhanaStream[[#This Row],[Subscription Fee]]-(GhanaStream[[#This Row],[Discount]]*GhanaStream[[#This Row],[Subscription Fee]])</f>
        <v>1500</v>
      </c>
      <c r="N1083" t="str">
        <f>IF(GhanaStream[[#This Row],[Churn Flag]]="Yes","Churned","Retained")</f>
        <v>Retained</v>
      </c>
    </row>
    <row r="1084" spans="1:14" x14ac:dyDescent="0.25">
      <c r="A1084" t="s">
        <v>1122</v>
      </c>
      <c r="B1084" s="1">
        <v>45360</v>
      </c>
      <c r="C1084" t="s">
        <v>12</v>
      </c>
      <c r="D1084" t="s">
        <v>13</v>
      </c>
      <c r="E1084">
        <v>1500</v>
      </c>
      <c r="F1084" t="s">
        <v>14</v>
      </c>
      <c r="G1084" t="s">
        <v>28</v>
      </c>
      <c r="H1084" t="s">
        <v>16</v>
      </c>
      <c r="I1084" t="s">
        <v>17</v>
      </c>
      <c r="J1084" t="s">
        <v>37</v>
      </c>
      <c r="K1084">
        <v>0</v>
      </c>
      <c r="L108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084">
        <f>GhanaStream[[#This Row],[Subscription Fee]]-(GhanaStream[[#This Row],[Discount]]*GhanaStream[[#This Row],[Subscription Fee]])</f>
        <v>1500</v>
      </c>
      <c r="N1084" t="str">
        <f>IF(GhanaStream[[#This Row],[Churn Flag]]="Yes","Churned","Retained")</f>
        <v>Churned</v>
      </c>
    </row>
    <row r="1085" spans="1:14" x14ac:dyDescent="0.25">
      <c r="A1085" t="s">
        <v>1123</v>
      </c>
      <c r="B1085" s="1">
        <v>45154</v>
      </c>
      <c r="C1085" t="s">
        <v>20</v>
      </c>
      <c r="D1085" t="s">
        <v>27</v>
      </c>
      <c r="E1085">
        <v>5400</v>
      </c>
      <c r="F1085" t="s">
        <v>49</v>
      </c>
      <c r="G1085" t="s">
        <v>28</v>
      </c>
      <c r="H1085" t="s">
        <v>33</v>
      </c>
      <c r="I1085" t="s">
        <v>34</v>
      </c>
      <c r="J1085" t="s">
        <v>18</v>
      </c>
      <c r="K1085">
        <v>0.1</v>
      </c>
      <c r="L108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085">
        <f>GhanaStream[[#This Row],[Subscription Fee]]-(GhanaStream[[#This Row],[Discount]]*GhanaStream[[#This Row],[Subscription Fee]])</f>
        <v>4860</v>
      </c>
      <c r="N1085" t="str">
        <f>IF(GhanaStream[[#This Row],[Churn Flag]]="Yes","Churned","Retained")</f>
        <v>Retained</v>
      </c>
    </row>
    <row r="1086" spans="1:14" x14ac:dyDescent="0.25">
      <c r="A1086" t="s">
        <v>1124</v>
      </c>
      <c r="B1086" s="1">
        <v>45126</v>
      </c>
      <c r="C1086" t="s">
        <v>12</v>
      </c>
      <c r="D1086" t="s">
        <v>27</v>
      </c>
      <c r="E1086">
        <v>16200</v>
      </c>
      <c r="F1086" t="s">
        <v>49</v>
      </c>
      <c r="G1086" t="s">
        <v>24</v>
      </c>
      <c r="H1086" t="s">
        <v>33</v>
      </c>
      <c r="I1086" t="s">
        <v>34</v>
      </c>
      <c r="J1086" t="s">
        <v>58</v>
      </c>
      <c r="K1086">
        <v>0.1</v>
      </c>
      <c r="L108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086">
        <f>GhanaStream[[#This Row],[Subscription Fee]]-(GhanaStream[[#This Row],[Discount]]*GhanaStream[[#This Row],[Subscription Fee]])</f>
        <v>14580</v>
      </c>
      <c r="N1086" t="str">
        <f>IF(GhanaStream[[#This Row],[Churn Flag]]="Yes","Churned","Retained")</f>
        <v>Retained</v>
      </c>
    </row>
    <row r="1087" spans="1:14" x14ac:dyDescent="0.25">
      <c r="A1087" t="s">
        <v>1125</v>
      </c>
      <c r="B1087" s="1">
        <v>45193</v>
      </c>
      <c r="C1087" t="s">
        <v>20</v>
      </c>
      <c r="D1087" t="s">
        <v>27</v>
      </c>
      <c r="E1087">
        <v>5400</v>
      </c>
      <c r="F1087" t="s">
        <v>21</v>
      </c>
      <c r="G1087" t="s">
        <v>28</v>
      </c>
      <c r="H1087" t="s">
        <v>16</v>
      </c>
      <c r="I1087" t="s">
        <v>17</v>
      </c>
      <c r="J1087" t="s">
        <v>29</v>
      </c>
      <c r="K1087">
        <v>0.1</v>
      </c>
      <c r="L108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087">
        <f>GhanaStream[[#This Row],[Subscription Fee]]-(GhanaStream[[#This Row],[Discount]]*GhanaStream[[#This Row],[Subscription Fee]])</f>
        <v>4860</v>
      </c>
      <c r="N1087" t="str">
        <f>IF(GhanaStream[[#This Row],[Churn Flag]]="Yes","Churned","Retained")</f>
        <v>Churned</v>
      </c>
    </row>
    <row r="1088" spans="1:14" x14ac:dyDescent="0.25">
      <c r="A1088" t="s">
        <v>1126</v>
      </c>
      <c r="B1088" s="1">
        <v>45074</v>
      </c>
      <c r="C1088" t="s">
        <v>12</v>
      </c>
      <c r="D1088" t="s">
        <v>13</v>
      </c>
      <c r="E1088">
        <v>1500</v>
      </c>
      <c r="F1088" t="s">
        <v>32</v>
      </c>
      <c r="G1088" t="s">
        <v>15</v>
      </c>
      <c r="H1088" t="s">
        <v>16</v>
      </c>
      <c r="I1088" t="s">
        <v>17</v>
      </c>
      <c r="J1088" t="s">
        <v>25</v>
      </c>
      <c r="K1088">
        <v>0</v>
      </c>
      <c r="L108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088">
        <f>GhanaStream[[#This Row],[Subscription Fee]]-(GhanaStream[[#This Row],[Discount]]*GhanaStream[[#This Row],[Subscription Fee]])</f>
        <v>1500</v>
      </c>
      <c r="N1088" t="str">
        <f>IF(GhanaStream[[#This Row],[Churn Flag]]="Yes","Churned","Retained")</f>
        <v>Churned</v>
      </c>
    </row>
    <row r="1089" spans="1:14" x14ac:dyDescent="0.25">
      <c r="A1089" t="s">
        <v>1127</v>
      </c>
      <c r="B1089" s="1">
        <v>45600</v>
      </c>
      <c r="C1089" t="s">
        <v>20</v>
      </c>
      <c r="D1089" t="s">
        <v>13</v>
      </c>
      <c r="E1089">
        <v>500</v>
      </c>
      <c r="F1089" t="s">
        <v>32</v>
      </c>
      <c r="G1089" t="s">
        <v>15</v>
      </c>
      <c r="H1089" t="s">
        <v>16</v>
      </c>
      <c r="I1089" t="s">
        <v>17</v>
      </c>
      <c r="J1089" t="s">
        <v>39</v>
      </c>
      <c r="K1089">
        <v>0</v>
      </c>
      <c r="L108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089">
        <f>GhanaStream[[#This Row],[Subscription Fee]]-(GhanaStream[[#This Row],[Discount]]*GhanaStream[[#This Row],[Subscription Fee]])</f>
        <v>500</v>
      </c>
      <c r="N1089" t="str">
        <f>IF(GhanaStream[[#This Row],[Churn Flag]]="Yes","Churned","Retained")</f>
        <v>Churned</v>
      </c>
    </row>
    <row r="1090" spans="1:14" x14ac:dyDescent="0.25">
      <c r="A1090" t="s">
        <v>1128</v>
      </c>
      <c r="B1090" s="1">
        <v>45207</v>
      </c>
      <c r="C1090" t="s">
        <v>20</v>
      </c>
      <c r="D1090" t="s">
        <v>13</v>
      </c>
      <c r="E1090">
        <v>500</v>
      </c>
      <c r="F1090" t="s">
        <v>14</v>
      </c>
      <c r="G1090" t="s">
        <v>24</v>
      </c>
      <c r="H1090" t="s">
        <v>33</v>
      </c>
      <c r="I1090" t="s">
        <v>34</v>
      </c>
      <c r="J1090" t="s">
        <v>55</v>
      </c>
      <c r="K1090">
        <v>0</v>
      </c>
      <c r="L109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090">
        <f>GhanaStream[[#This Row],[Subscription Fee]]-(GhanaStream[[#This Row],[Discount]]*GhanaStream[[#This Row],[Subscription Fee]])</f>
        <v>500</v>
      </c>
      <c r="N1090" t="str">
        <f>IF(GhanaStream[[#This Row],[Churn Flag]]="Yes","Churned","Retained")</f>
        <v>Retained</v>
      </c>
    </row>
    <row r="1091" spans="1:14" x14ac:dyDescent="0.25">
      <c r="A1091" t="s">
        <v>1129</v>
      </c>
      <c r="B1091" s="1">
        <v>44993</v>
      </c>
      <c r="C1091" t="s">
        <v>31</v>
      </c>
      <c r="D1091" t="s">
        <v>27</v>
      </c>
      <c r="E1091">
        <v>10800</v>
      </c>
      <c r="F1091" t="s">
        <v>32</v>
      </c>
      <c r="G1091" t="s">
        <v>28</v>
      </c>
      <c r="H1091" t="s">
        <v>33</v>
      </c>
      <c r="I1091" t="s">
        <v>34</v>
      </c>
      <c r="J1091" t="s">
        <v>25</v>
      </c>
      <c r="K1091">
        <v>0.1</v>
      </c>
      <c r="L109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091">
        <f>GhanaStream[[#This Row],[Subscription Fee]]-(GhanaStream[[#This Row],[Discount]]*GhanaStream[[#This Row],[Subscription Fee]])</f>
        <v>9720</v>
      </c>
      <c r="N1091" t="str">
        <f>IF(GhanaStream[[#This Row],[Churn Flag]]="Yes","Churned","Retained")</f>
        <v>Retained</v>
      </c>
    </row>
    <row r="1092" spans="1:14" x14ac:dyDescent="0.25">
      <c r="A1092" t="s">
        <v>1130</v>
      </c>
      <c r="B1092" s="1">
        <v>45401</v>
      </c>
      <c r="C1092" t="s">
        <v>31</v>
      </c>
      <c r="D1092" t="s">
        <v>13</v>
      </c>
      <c r="E1092">
        <v>1000</v>
      </c>
      <c r="F1092" t="s">
        <v>32</v>
      </c>
      <c r="G1092" t="s">
        <v>15</v>
      </c>
      <c r="H1092" t="s">
        <v>33</v>
      </c>
      <c r="I1092" t="s">
        <v>34</v>
      </c>
      <c r="J1092" t="s">
        <v>66</v>
      </c>
      <c r="K1092">
        <v>0</v>
      </c>
      <c r="L109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092">
        <f>GhanaStream[[#This Row],[Subscription Fee]]-(GhanaStream[[#This Row],[Discount]]*GhanaStream[[#This Row],[Subscription Fee]])</f>
        <v>1000</v>
      </c>
      <c r="N1092" t="str">
        <f>IF(GhanaStream[[#This Row],[Churn Flag]]="Yes","Churned","Retained")</f>
        <v>Retained</v>
      </c>
    </row>
    <row r="1093" spans="1:14" x14ac:dyDescent="0.25">
      <c r="A1093" t="s">
        <v>1131</v>
      </c>
      <c r="B1093" s="1">
        <v>45162</v>
      </c>
      <c r="C1093" t="s">
        <v>20</v>
      </c>
      <c r="D1093" t="s">
        <v>27</v>
      </c>
      <c r="E1093">
        <v>5400</v>
      </c>
      <c r="F1093" t="s">
        <v>21</v>
      </c>
      <c r="G1093" t="s">
        <v>15</v>
      </c>
      <c r="H1093" t="s">
        <v>33</v>
      </c>
      <c r="I1093" t="s">
        <v>34</v>
      </c>
      <c r="J1093" t="s">
        <v>29</v>
      </c>
      <c r="K1093">
        <v>0.1</v>
      </c>
      <c r="L109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093">
        <f>GhanaStream[[#This Row],[Subscription Fee]]-(GhanaStream[[#This Row],[Discount]]*GhanaStream[[#This Row],[Subscription Fee]])</f>
        <v>4860</v>
      </c>
      <c r="N1093" t="str">
        <f>IF(GhanaStream[[#This Row],[Churn Flag]]="Yes","Churned","Retained")</f>
        <v>Retained</v>
      </c>
    </row>
    <row r="1094" spans="1:14" x14ac:dyDescent="0.25">
      <c r="A1094" t="s">
        <v>1132</v>
      </c>
      <c r="B1094" s="1">
        <v>44930</v>
      </c>
      <c r="C1094" t="s">
        <v>31</v>
      </c>
      <c r="D1094" t="s">
        <v>13</v>
      </c>
      <c r="E1094">
        <v>1000</v>
      </c>
      <c r="F1094" t="s">
        <v>32</v>
      </c>
      <c r="G1094" t="s">
        <v>28</v>
      </c>
      <c r="H1094" t="s">
        <v>33</v>
      </c>
      <c r="I1094" t="s">
        <v>34</v>
      </c>
      <c r="J1094" t="s">
        <v>35</v>
      </c>
      <c r="K1094">
        <v>0</v>
      </c>
      <c r="L109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094">
        <f>GhanaStream[[#This Row],[Subscription Fee]]-(GhanaStream[[#This Row],[Discount]]*GhanaStream[[#This Row],[Subscription Fee]])</f>
        <v>1000</v>
      </c>
      <c r="N1094" t="str">
        <f>IF(GhanaStream[[#This Row],[Churn Flag]]="Yes","Churned","Retained")</f>
        <v>Retained</v>
      </c>
    </row>
    <row r="1095" spans="1:14" x14ac:dyDescent="0.25">
      <c r="A1095" t="s">
        <v>1133</v>
      </c>
      <c r="B1095" s="1">
        <v>45529</v>
      </c>
      <c r="C1095" t="s">
        <v>20</v>
      </c>
      <c r="D1095" t="s">
        <v>13</v>
      </c>
      <c r="E1095">
        <v>500</v>
      </c>
      <c r="F1095" t="s">
        <v>21</v>
      </c>
      <c r="G1095" t="s">
        <v>24</v>
      </c>
      <c r="H1095" t="s">
        <v>33</v>
      </c>
      <c r="I1095" t="s">
        <v>34</v>
      </c>
      <c r="J1095" t="s">
        <v>25</v>
      </c>
      <c r="K1095">
        <v>0</v>
      </c>
      <c r="L109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095">
        <f>GhanaStream[[#This Row],[Subscription Fee]]-(GhanaStream[[#This Row],[Discount]]*GhanaStream[[#This Row],[Subscription Fee]])</f>
        <v>500</v>
      </c>
      <c r="N1095" t="str">
        <f>IF(GhanaStream[[#This Row],[Churn Flag]]="Yes","Churned","Retained")</f>
        <v>Retained</v>
      </c>
    </row>
    <row r="1096" spans="1:14" x14ac:dyDescent="0.25">
      <c r="A1096" t="s">
        <v>1134</v>
      </c>
      <c r="B1096" s="1">
        <v>45456</v>
      </c>
      <c r="C1096" t="s">
        <v>31</v>
      </c>
      <c r="D1096" t="s">
        <v>27</v>
      </c>
      <c r="E1096">
        <v>10800</v>
      </c>
      <c r="F1096" t="s">
        <v>49</v>
      </c>
      <c r="G1096" t="s">
        <v>28</v>
      </c>
      <c r="H1096" t="s">
        <v>16</v>
      </c>
      <c r="I1096" t="s">
        <v>17</v>
      </c>
      <c r="J1096" t="s">
        <v>22</v>
      </c>
      <c r="K1096">
        <v>0.1</v>
      </c>
      <c r="L109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096">
        <f>GhanaStream[[#This Row],[Subscription Fee]]-(GhanaStream[[#This Row],[Discount]]*GhanaStream[[#This Row],[Subscription Fee]])</f>
        <v>9720</v>
      </c>
      <c r="N1096" t="str">
        <f>IF(GhanaStream[[#This Row],[Churn Flag]]="Yes","Churned","Retained")</f>
        <v>Churned</v>
      </c>
    </row>
    <row r="1097" spans="1:14" x14ac:dyDescent="0.25">
      <c r="A1097" t="s">
        <v>1135</v>
      </c>
      <c r="B1097" s="1">
        <v>44966</v>
      </c>
      <c r="C1097" t="s">
        <v>20</v>
      </c>
      <c r="D1097" t="s">
        <v>27</v>
      </c>
      <c r="E1097">
        <v>5400</v>
      </c>
      <c r="F1097" t="s">
        <v>14</v>
      </c>
      <c r="G1097" t="s">
        <v>15</v>
      </c>
      <c r="H1097" t="s">
        <v>16</v>
      </c>
      <c r="I1097" t="s">
        <v>17</v>
      </c>
      <c r="J1097" t="s">
        <v>41</v>
      </c>
      <c r="K1097">
        <v>0.1</v>
      </c>
      <c r="L109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097">
        <f>GhanaStream[[#This Row],[Subscription Fee]]-(GhanaStream[[#This Row],[Discount]]*GhanaStream[[#This Row],[Subscription Fee]])</f>
        <v>4860</v>
      </c>
      <c r="N1097" t="str">
        <f>IF(GhanaStream[[#This Row],[Churn Flag]]="Yes","Churned","Retained")</f>
        <v>Churned</v>
      </c>
    </row>
    <row r="1098" spans="1:14" x14ac:dyDescent="0.25">
      <c r="A1098" t="s">
        <v>1136</v>
      </c>
      <c r="B1098" s="1">
        <v>44969</v>
      </c>
      <c r="C1098" t="s">
        <v>31</v>
      </c>
      <c r="D1098" t="s">
        <v>13</v>
      </c>
      <c r="E1098">
        <v>1000</v>
      </c>
      <c r="F1098" t="s">
        <v>32</v>
      </c>
      <c r="G1098" t="s">
        <v>24</v>
      </c>
      <c r="H1098" t="s">
        <v>33</v>
      </c>
      <c r="I1098" t="s">
        <v>34</v>
      </c>
      <c r="J1098" t="s">
        <v>35</v>
      </c>
      <c r="K1098">
        <v>0</v>
      </c>
      <c r="L109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098">
        <f>GhanaStream[[#This Row],[Subscription Fee]]-(GhanaStream[[#This Row],[Discount]]*GhanaStream[[#This Row],[Subscription Fee]])</f>
        <v>1000</v>
      </c>
      <c r="N1098" t="str">
        <f>IF(GhanaStream[[#This Row],[Churn Flag]]="Yes","Churned","Retained")</f>
        <v>Retained</v>
      </c>
    </row>
    <row r="1099" spans="1:14" x14ac:dyDescent="0.25">
      <c r="A1099" t="s">
        <v>1137</v>
      </c>
      <c r="B1099" s="1">
        <v>45578</v>
      </c>
      <c r="C1099" t="s">
        <v>12</v>
      </c>
      <c r="D1099" t="s">
        <v>13</v>
      </c>
      <c r="E1099">
        <v>1500</v>
      </c>
      <c r="F1099" t="s">
        <v>14</v>
      </c>
      <c r="G1099" t="s">
        <v>24</v>
      </c>
      <c r="H1099" t="s">
        <v>33</v>
      </c>
      <c r="I1099" t="s">
        <v>34</v>
      </c>
      <c r="J1099" t="s">
        <v>37</v>
      </c>
      <c r="K1099">
        <v>0</v>
      </c>
      <c r="L109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099">
        <f>GhanaStream[[#This Row],[Subscription Fee]]-(GhanaStream[[#This Row],[Discount]]*GhanaStream[[#This Row],[Subscription Fee]])</f>
        <v>1500</v>
      </c>
      <c r="N1099" t="str">
        <f>IF(GhanaStream[[#This Row],[Churn Flag]]="Yes","Churned","Retained")</f>
        <v>Retained</v>
      </c>
    </row>
    <row r="1100" spans="1:14" x14ac:dyDescent="0.25">
      <c r="A1100" t="s">
        <v>1138</v>
      </c>
      <c r="B1100" s="1">
        <v>45410</v>
      </c>
      <c r="C1100" t="s">
        <v>12</v>
      </c>
      <c r="D1100" t="s">
        <v>13</v>
      </c>
      <c r="E1100">
        <v>1500</v>
      </c>
      <c r="F1100" t="s">
        <v>14</v>
      </c>
      <c r="G1100" t="s">
        <v>15</v>
      </c>
      <c r="H1100" t="s">
        <v>33</v>
      </c>
      <c r="I1100" t="s">
        <v>34</v>
      </c>
      <c r="J1100" t="s">
        <v>18</v>
      </c>
      <c r="K1100">
        <v>0</v>
      </c>
      <c r="L110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100">
        <f>GhanaStream[[#This Row],[Subscription Fee]]-(GhanaStream[[#This Row],[Discount]]*GhanaStream[[#This Row],[Subscription Fee]])</f>
        <v>1500</v>
      </c>
      <c r="N1100" t="str">
        <f>IF(GhanaStream[[#This Row],[Churn Flag]]="Yes","Churned","Retained")</f>
        <v>Retained</v>
      </c>
    </row>
    <row r="1101" spans="1:14" x14ac:dyDescent="0.25">
      <c r="A1101" t="s">
        <v>1139</v>
      </c>
      <c r="B1101" s="1">
        <v>44950</v>
      </c>
      <c r="C1101" t="s">
        <v>31</v>
      </c>
      <c r="D1101" t="s">
        <v>13</v>
      </c>
      <c r="E1101">
        <v>1000</v>
      </c>
      <c r="F1101" t="s">
        <v>49</v>
      </c>
      <c r="G1101" t="s">
        <v>28</v>
      </c>
      <c r="H1101" t="s">
        <v>33</v>
      </c>
      <c r="I1101" t="s">
        <v>34</v>
      </c>
      <c r="J1101" t="s">
        <v>35</v>
      </c>
      <c r="K1101">
        <v>0</v>
      </c>
      <c r="L110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101">
        <f>GhanaStream[[#This Row],[Subscription Fee]]-(GhanaStream[[#This Row],[Discount]]*GhanaStream[[#This Row],[Subscription Fee]])</f>
        <v>1000</v>
      </c>
      <c r="N1101" t="str">
        <f>IF(GhanaStream[[#This Row],[Churn Flag]]="Yes","Churned","Retained")</f>
        <v>Retained</v>
      </c>
    </row>
    <row r="1102" spans="1:14" x14ac:dyDescent="0.25">
      <c r="A1102" t="s">
        <v>1140</v>
      </c>
      <c r="B1102" s="1">
        <v>45061</v>
      </c>
      <c r="C1102" t="s">
        <v>12</v>
      </c>
      <c r="D1102" t="s">
        <v>27</v>
      </c>
      <c r="E1102">
        <v>16200</v>
      </c>
      <c r="F1102" t="s">
        <v>49</v>
      </c>
      <c r="G1102" t="s">
        <v>28</v>
      </c>
      <c r="H1102" t="s">
        <v>16</v>
      </c>
      <c r="I1102" t="s">
        <v>17</v>
      </c>
      <c r="J1102" t="s">
        <v>50</v>
      </c>
      <c r="K1102">
        <v>0.1</v>
      </c>
      <c r="L110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102">
        <f>GhanaStream[[#This Row],[Subscription Fee]]-(GhanaStream[[#This Row],[Discount]]*GhanaStream[[#This Row],[Subscription Fee]])</f>
        <v>14580</v>
      </c>
      <c r="N1102" t="str">
        <f>IF(GhanaStream[[#This Row],[Churn Flag]]="Yes","Churned","Retained")</f>
        <v>Churned</v>
      </c>
    </row>
    <row r="1103" spans="1:14" x14ac:dyDescent="0.25">
      <c r="A1103" t="s">
        <v>1141</v>
      </c>
      <c r="B1103" s="1">
        <v>45505</v>
      </c>
      <c r="C1103" t="s">
        <v>20</v>
      </c>
      <c r="D1103" t="s">
        <v>27</v>
      </c>
      <c r="E1103">
        <v>5400</v>
      </c>
      <c r="F1103" t="s">
        <v>14</v>
      </c>
      <c r="G1103" t="s">
        <v>28</v>
      </c>
      <c r="H1103" t="s">
        <v>33</v>
      </c>
      <c r="I1103" t="s">
        <v>34</v>
      </c>
      <c r="J1103" t="s">
        <v>55</v>
      </c>
      <c r="K1103">
        <v>0.1</v>
      </c>
      <c r="L110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103">
        <f>GhanaStream[[#This Row],[Subscription Fee]]-(GhanaStream[[#This Row],[Discount]]*GhanaStream[[#This Row],[Subscription Fee]])</f>
        <v>4860</v>
      </c>
      <c r="N1103" t="str">
        <f>IF(GhanaStream[[#This Row],[Churn Flag]]="Yes","Churned","Retained")</f>
        <v>Retained</v>
      </c>
    </row>
    <row r="1104" spans="1:14" x14ac:dyDescent="0.25">
      <c r="A1104" t="s">
        <v>1142</v>
      </c>
      <c r="B1104" s="1">
        <v>45058</v>
      </c>
      <c r="C1104" t="s">
        <v>12</v>
      </c>
      <c r="D1104" t="s">
        <v>27</v>
      </c>
      <c r="E1104">
        <v>16200</v>
      </c>
      <c r="F1104" t="s">
        <v>49</v>
      </c>
      <c r="G1104" t="s">
        <v>28</v>
      </c>
      <c r="H1104" t="s">
        <v>33</v>
      </c>
      <c r="I1104" t="s">
        <v>34</v>
      </c>
      <c r="J1104" t="s">
        <v>22</v>
      </c>
      <c r="K1104">
        <v>0.1</v>
      </c>
      <c r="L110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104">
        <f>GhanaStream[[#This Row],[Subscription Fee]]-(GhanaStream[[#This Row],[Discount]]*GhanaStream[[#This Row],[Subscription Fee]])</f>
        <v>14580</v>
      </c>
      <c r="N1104" t="str">
        <f>IF(GhanaStream[[#This Row],[Churn Flag]]="Yes","Churned","Retained")</f>
        <v>Retained</v>
      </c>
    </row>
    <row r="1105" spans="1:14" x14ac:dyDescent="0.25">
      <c r="A1105" t="s">
        <v>1143</v>
      </c>
      <c r="B1105" s="1">
        <v>45518</v>
      </c>
      <c r="C1105" t="s">
        <v>12</v>
      </c>
      <c r="D1105" t="s">
        <v>27</v>
      </c>
      <c r="E1105">
        <v>16200</v>
      </c>
      <c r="F1105" t="s">
        <v>49</v>
      </c>
      <c r="G1105" t="s">
        <v>24</v>
      </c>
      <c r="H1105" t="s">
        <v>16</v>
      </c>
      <c r="I1105" t="s">
        <v>17</v>
      </c>
      <c r="J1105" t="s">
        <v>18</v>
      </c>
      <c r="K1105">
        <v>0.1</v>
      </c>
      <c r="L110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105">
        <f>GhanaStream[[#This Row],[Subscription Fee]]-(GhanaStream[[#This Row],[Discount]]*GhanaStream[[#This Row],[Subscription Fee]])</f>
        <v>14580</v>
      </c>
      <c r="N1105" t="str">
        <f>IF(GhanaStream[[#This Row],[Churn Flag]]="Yes","Churned","Retained")</f>
        <v>Churned</v>
      </c>
    </row>
    <row r="1106" spans="1:14" x14ac:dyDescent="0.25">
      <c r="A1106" t="s">
        <v>1144</v>
      </c>
      <c r="B1106" s="1">
        <v>45449</v>
      </c>
      <c r="C1106" t="s">
        <v>31</v>
      </c>
      <c r="D1106" t="s">
        <v>27</v>
      </c>
      <c r="E1106">
        <v>10800</v>
      </c>
      <c r="F1106" t="s">
        <v>32</v>
      </c>
      <c r="G1106" t="s">
        <v>28</v>
      </c>
      <c r="H1106" t="s">
        <v>33</v>
      </c>
      <c r="I1106" t="s">
        <v>34</v>
      </c>
      <c r="J1106" t="s">
        <v>35</v>
      </c>
      <c r="K1106">
        <v>0.1</v>
      </c>
      <c r="L110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106">
        <f>GhanaStream[[#This Row],[Subscription Fee]]-(GhanaStream[[#This Row],[Discount]]*GhanaStream[[#This Row],[Subscription Fee]])</f>
        <v>9720</v>
      </c>
      <c r="N1106" t="str">
        <f>IF(GhanaStream[[#This Row],[Churn Flag]]="Yes","Churned","Retained")</f>
        <v>Retained</v>
      </c>
    </row>
    <row r="1107" spans="1:14" x14ac:dyDescent="0.25">
      <c r="A1107" t="s">
        <v>1145</v>
      </c>
      <c r="B1107" s="1">
        <v>45619</v>
      </c>
      <c r="C1107" t="s">
        <v>31</v>
      </c>
      <c r="D1107" t="s">
        <v>27</v>
      </c>
      <c r="E1107">
        <v>10800</v>
      </c>
      <c r="F1107" t="s">
        <v>49</v>
      </c>
      <c r="G1107" t="s">
        <v>24</v>
      </c>
      <c r="H1107" t="s">
        <v>16</v>
      </c>
      <c r="I1107" t="s">
        <v>17</v>
      </c>
      <c r="J1107" t="s">
        <v>18</v>
      </c>
      <c r="K1107">
        <v>0.1</v>
      </c>
      <c r="L110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107">
        <f>GhanaStream[[#This Row],[Subscription Fee]]-(GhanaStream[[#This Row],[Discount]]*GhanaStream[[#This Row],[Subscription Fee]])</f>
        <v>9720</v>
      </c>
      <c r="N1107" t="str">
        <f>IF(GhanaStream[[#This Row],[Churn Flag]]="Yes","Churned","Retained")</f>
        <v>Churned</v>
      </c>
    </row>
    <row r="1108" spans="1:14" x14ac:dyDescent="0.25">
      <c r="A1108" t="s">
        <v>1146</v>
      </c>
      <c r="B1108" s="1">
        <v>45499</v>
      </c>
      <c r="C1108" t="s">
        <v>20</v>
      </c>
      <c r="D1108" t="s">
        <v>13</v>
      </c>
      <c r="E1108">
        <v>500</v>
      </c>
      <c r="F1108" t="s">
        <v>14</v>
      </c>
      <c r="G1108" t="s">
        <v>24</v>
      </c>
      <c r="H1108" t="s">
        <v>16</v>
      </c>
      <c r="I1108" t="s">
        <v>17</v>
      </c>
      <c r="J1108" t="s">
        <v>37</v>
      </c>
      <c r="K1108">
        <v>0</v>
      </c>
      <c r="L110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108">
        <f>GhanaStream[[#This Row],[Subscription Fee]]-(GhanaStream[[#This Row],[Discount]]*GhanaStream[[#This Row],[Subscription Fee]])</f>
        <v>500</v>
      </c>
      <c r="N1108" t="str">
        <f>IF(GhanaStream[[#This Row],[Churn Flag]]="Yes","Churned","Retained")</f>
        <v>Churned</v>
      </c>
    </row>
    <row r="1109" spans="1:14" x14ac:dyDescent="0.25">
      <c r="A1109" t="s">
        <v>1147</v>
      </c>
      <c r="B1109" s="1">
        <v>45339</v>
      </c>
      <c r="C1109" t="s">
        <v>31</v>
      </c>
      <c r="D1109" t="s">
        <v>13</v>
      </c>
      <c r="E1109">
        <v>1000</v>
      </c>
      <c r="F1109" t="s">
        <v>21</v>
      </c>
      <c r="G1109" t="s">
        <v>24</v>
      </c>
      <c r="H1109" t="s">
        <v>16</v>
      </c>
      <c r="I1109" t="s">
        <v>17</v>
      </c>
      <c r="J1109" t="s">
        <v>29</v>
      </c>
      <c r="K1109">
        <v>0</v>
      </c>
      <c r="L110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109">
        <f>GhanaStream[[#This Row],[Subscription Fee]]-(GhanaStream[[#This Row],[Discount]]*GhanaStream[[#This Row],[Subscription Fee]])</f>
        <v>1000</v>
      </c>
      <c r="N1109" t="str">
        <f>IF(GhanaStream[[#This Row],[Churn Flag]]="Yes","Churned","Retained")</f>
        <v>Churned</v>
      </c>
    </row>
    <row r="1110" spans="1:14" x14ac:dyDescent="0.25">
      <c r="A1110" t="s">
        <v>1148</v>
      </c>
      <c r="B1110" s="1">
        <v>44964</v>
      </c>
      <c r="C1110" t="s">
        <v>12</v>
      </c>
      <c r="D1110" t="s">
        <v>27</v>
      </c>
      <c r="E1110">
        <v>16200</v>
      </c>
      <c r="F1110" t="s">
        <v>14</v>
      </c>
      <c r="G1110" t="s">
        <v>28</v>
      </c>
      <c r="H1110" t="s">
        <v>33</v>
      </c>
      <c r="I1110" t="s">
        <v>34</v>
      </c>
      <c r="J1110" t="s">
        <v>22</v>
      </c>
      <c r="K1110">
        <v>0.1</v>
      </c>
      <c r="L111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110">
        <f>GhanaStream[[#This Row],[Subscription Fee]]-(GhanaStream[[#This Row],[Discount]]*GhanaStream[[#This Row],[Subscription Fee]])</f>
        <v>14580</v>
      </c>
      <c r="N1110" t="str">
        <f>IF(GhanaStream[[#This Row],[Churn Flag]]="Yes","Churned","Retained")</f>
        <v>Retained</v>
      </c>
    </row>
    <row r="1111" spans="1:14" x14ac:dyDescent="0.25">
      <c r="A1111" t="s">
        <v>1149</v>
      </c>
      <c r="B1111" s="1">
        <v>45418</v>
      </c>
      <c r="C1111" t="s">
        <v>31</v>
      </c>
      <c r="D1111" t="s">
        <v>13</v>
      </c>
      <c r="E1111">
        <v>1000</v>
      </c>
      <c r="F1111" t="s">
        <v>21</v>
      </c>
      <c r="G1111" t="s">
        <v>15</v>
      </c>
      <c r="H1111" t="s">
        <v>33</v>
      </c>
      <c r="I1111" t="s">
        <v>34</v>
      </c>
      <c r="J1111" t="s">
        <v>18</v>
      </c>
      <c r="K1111">
        <v>0</v>
      </c>
      <c r="L111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111">
        <f>GhanaStream[[#This Row],[Subscription Fee]]-(GhanaStream[[#This Row],[Discount]]*GhanaStream[[#This Row],[Subscription Fee]])</f>
        <v>1000</v>
      </c>
      <c r="N1111" t="str">
        <f>IF(GhanaStream[[#This Row],[Churn Flag]]="Yes","Churned","Retained")</f>
        <v>Retained</v>
      </c>
    </row>
    <row r="1112" spans="1:14" x14ac:dyDescent="0.25">
      <c r="A1112" t="s">
        <v>1150</v>
      </c>
      <c r="B1112" s="1">
        <v>45547</v>
      </c>
      <c r="C1112" t="s">
        <v>12</v>
      </c>
      <c r="D1112" t="s">
        <v>13</v>
      </c>
      <c r="E1112">
        <v>1500</v>
      </c>
      <c r="F1112" t="s">
        <v>21</v>
      </c>
      <c r="G1112" t="s">
        <v>15</v>
      </c>
      <c r="H1112" t="s">
        <v>33</v>
      </c>
      <c r="I1112" t="s">
        <v>34</v>
      </c>
      <c r="J1112" t="s">
        <v>29</v>
      </c>
      <c r="K1112">
        <v>0</v>
      </c>
      <c r="L111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112">
        <f>GhanaStream[[#This Row],[Subscription Fee]]-(GhanaStream[[#This Row],[Discount]]*GhanaStream[[#This Row],[Subscription Fee]])</f>
        <v>1500</v>
      </c>
      <c r="N1112" t="str">
        <f>IF(GhanaStream[[#This Row],[Churn Flag]]="Yes","Churned","Retained")</f>
        <v>Retained</v>
      </c>
    </row>
    <row r="1113" spans="1:14" x14ac:dyDescent="0.25">
      <c r="A1113" t="s">
        <v>1151</v>
      </c>
      <c r="B1113" s="1">
        <v>45427</v>
      </c>
      <c r="C1113" t="s">
        <v>12</v>
      </c>
      <c r="D1113" t="s">
        <v>13</v>
      </c>
      <c r="E1113">
        <v>1500</v>
      </c>
      <c r="F1113" t="s">
        <v>32</v>
      </c>
      <c r="G1113" t="s">
        <v>28</v>
      </c>
      <c r="H1113" t="s">
        <v>16</v>
      </c>
      <c r="I1113" t="s">
        <v>17</v>
      </c>
      <c r="J1113" t="s">
        <v>39</v>
      </c>
      <c r="K1113">
        <v>0</v>
      </c>
      <c r="L111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113">
        <f>GhanaStream[[#This Row],[Subscription Fee]]-(GhanaStream[[#This Row],[Discount]]*GhanaStream[[#This Row],[Subscription Fee]])</f>
        <v>1500</v>
      </c>
      <c r="N1113" t="str">
        <f>IF(GhanaStream[[#This Row],[Churn Flag]]="Yes","Churned","Retained")</f>
        <v>Churned</v>
      </c>
    </row>
    <row r="1114" spans="1:14" x14ac:dyDescent="0.25">
      <c r="A1114" t="s">
        <v>1152</v>
      </c>
      <c r="B1114" s="1">
        <v>45424</v>
      </c>
      <c r="C1114" t="s">
        <v>20</v>
      </c>
      <c r="D1114" t="s">
        <v>13</v>
      </c>
      <c r="E1114">
        <v>500</v>
      </c>
      <c r="F1114" t="s">
        <v>14</v>
      </c>
      <c r="G1114" t="s">
        <v>24</v>
      </c>
      <c r="H1114" t="s">
        <v>33</v>
      </c>
      <c r="I1114" t="s">
        <v>34</v>
      </c>
      <c r="J1114" t="s">
        <v>37</v>
      </c>
      <c r="K1114">
        <v>0</v>
      </c>
      <c r="L111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114">
        <f>GhanaStream[[#This Row],[Subscription Fee]]-(GhanaStream[[#This Row],[Discount]]*GhanaStream[[#This Row],[Subscription Fee]])</f>
        <v>500</v>
      </c>
      <c r="N1114" t="str">
        <f>IF(GhanaStream[[#This Row],[Churn Flag]]="Yes","Churned","Retained")</f>
        <v>Retained</v>
      </c>
    </row>
    <row r="1115" spans="1:14" x14ac:dyDescent="0.25">
      <c r="A1115" t="s">
        <v>1153</v>
      </c>
      <c r="B1115" s="1">
        <v>45279</v>
      </c>
      <c r="C1115" t="s">
        <v>12</v>
      </c>
      <c r="D1115" t="s">
        <v>13</v>
      </c>
      <c r="E1115">
        <v>1500</v>
      </c>
      <c r="F1115" t="s">
        <v>14</v>
      </c>
      <c r="G1115" t="s">
        <v>15</v>
      </c>
      <c r="H1115" t="s">
        <v>33</v>
      </c>
      <c r="I1115" t="s">
        <v>34</v>
      </c>
      <c r="J1115" t="s">
        <v>55</v>
      </c>
      <c r="K1115">
        <v>0</v>
      </c>
      <c r="L111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115">
        <f>GhanaStream[[#This Row],[Subscription Fee]]-(GhanaStream[[#This Row],[Discount]]*GhanaStream[[#This Row],[Subscription Fee]])</f>
        <v>1500</v>
      </c>
      <c r="N1115" t="str">
        <f>IF(GhanaStream[[#This Row],[Churn Flag]]="Yes","Churned","Retained")</f>
        <v>Retained</v>
      </c>
    </row>
    <row r="1116" spans="1:14" x14ac:dyDescent="0.25">
      <c r="A1116" t="s">
        <v>1154</v>
      </c>
      <c r="B1116" s="1">
        <v>45004</v>
      </c>
      <c r="C1116" t="s">
        <v>12</v>
      </c>
      <c r="D1116" t="s">
        <v>13</v>
      </c>
      <c r="E1116">
        <v>1500</v>
      </c>
      <c r="F1116" t="s">
        <v>49</v>
      </c>
      <c r="G1116" t="s">
        <v>28</v>
      </c>
      <c r="H1116" t="s">
        <v>16</v>
      </c>
      <c r="I1116" t="s">
        <v>17</v>
      </c>
      <c r="J1116" t="s">
        <v>58</v>
      </c>
      <c r="K1116">
        <v>0</v>
      </c>
      <c r="L111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116">
        <f>GhanaStream[[#This Row],[Subscription Fee]]-(GhanaStream[[#This Row],[Discount]]*GhanaStream[[#This Row],[Subscription Fee]])</f>
        <v>1500</v>
      </c>
      <c r="N1116" t="str">
        <f>IF(GhanaStream[[#This Row],[Churn Flag]]="Yes","Churned","Retained")</f>
        <v>Churned</v>
      </c>
    </row>
    <row r="1117" spans="1:14" x14ac:dyDescent="0.25">
      <c r="A1117" t="s">
        <v>1155</v>
      </c>
      <c r="B1117" s="1">
        <v>45458</v>
      </c>
      <c r="C1117" t="s">
        <v>12</v>
      </c>
      <c r="D1117" t="s">
        <v>27</v>
      </c>
      <c r="E1117">
        <v>16200</v>
      </c>
      <c r="F1117" t="s">
        <v>14</v>
      </c>
      <c r="G1117" t="s">
        <v>28</v>
      </c>
      <c r="H1117" t="s">
        <v>33</v>
      </c>
      <c r="I1117" t="s">
        <v>34</v>
      </c>
      <c r="J1117" t="s">
        <v>41</v>
      </c>
      <c r="K1117">
        <v>0.1</v>
      </c>
      <c r="L111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117">
        <f>GhanaStream[[#This Row],[Subscription Fee]]-(GhanaStream[[#This Row],[Discount]]*GhanaStream[[#This Row],[Subscription Fee]])</f>
        <v>14580</v>
      </c>
      <c r="N1117" t="str">
        <f>IF(GhanaStream[[#This Row],[Churn Flag]]="Yes","Churned","Retained")</f>
        <v>Retained</v>
      </c>
    </row>
    <row r="1118" spans="1:14" x14ac:dyDescent="0.25">
      <c r="A1118" t="s">
        <v>1156</v>
      </c>
      <c r="B1118" s="1">
        <v>45558</v>
      </c>
      <c r="C1118" t="s">
        <v>20</v>
      </c>
      <c r="D1118" t="s">
        <v>13</v>
      </c>
      <c r="E1118">
        <v>500</v>
      </c>
      <c r="F1118" t="s">
        <v>32</v>
      </c>
      <c r="G1118" t="s">
        <v>15</v>
      </c>
      <c r="H1118" t="s">
        <v>33</v>
      </c>
      <c r="I1118" t="s">
        <v>34</v>
      </c>
      <c r="J1118" t="s">
        <v>39</v>
      </c>
      <c r="K1118">
        <v>0</v>
      </c>
      <c r="L111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118">
        <f>GhanaStream[[#This Row],[Subscription Fee]]-(GhanaStream[[#This Row],[Discount]]*GhanaStream[[#This Row],[Subscription Fee]])</f>
        <v>500</v>
      </c>
      <c r="N1118" t="str">
        <f>IF(GhanaStream[[#This Row],[Churn Flag]]="Yes","Churned","Retained")</f>
        <v>Retained</v>
      </c>
    </row>
    <row r="1119" spans="1:14" x14ac:dyDescent="0.25">
      <c r="A1119" t="s">
        <v>1157</v>
      </c>
      <c r="B1119" s="1">
        <v>45211</v>
      </c>
      <c r="C1119" t="s">
        <v>31</v>
      </c>
      <c r="D1119" t="s">
        <v>13</v>
      </c>
      <c r="E1119">
        <v>1000</v>
      </c>
      <c r="F1119" t="s">
        <v>21</v>
      </c>
      <c r="G1119" t="s">
        <v>15</v>
      </c>
      <c r="H1119" t="s">
        <v>16</v>
      </c>
      <c r="I1119" t="s">
        <v>17</v>
      </c>
      <c r="J1119" t="s">
        <v>29</v>
      </c>
      <c r="K1119">
        <v>0</v>
      </c>
      <c r="L111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119">
        <f>GhanaStream[[#This Row],[Subscription Fee]]-(GhanaStream[[#This Row],[Discount]]*GhanaStream[[#This Row],[Subscription Fee]])</f>
        <v>1000</v>
      </c>
      <c r="N1119" t="str">
        <f>IF(GhanaStream[[#This Row],[Churn Flag]]="Yes","Churned","Retained")</f>
        <v>Churned</v>
      </c>
    </row>
    <row r="1120" spans="1:14" x14ac:dyDescent="0.25">
      <c r="A1120" t="s">
        <v>1158</v>
      </c>
      <c r="B1120" s="1">
        <v>45233</v>
      </c>
      <c r="C1120" t="s">
        <v>31</v>
      </c>
      <c r="D1120" t="s">
        <v>13</v>
      </c>
      <c r="E1120">
        <v>1000</v>
      </c>
      <c r="F1120" t="s">
        <v>14</v>
      </c>
      <c r="G1120" t="s">
        <v>15</v>
      </c>
      <c r="H1120" t="s">
        <v>16</v>
      </c>
      <c r="I1120" t="s">
        <v>17</v>
      </c>
      <c r="J1120" t="s">
        <v>55</v>
      </c>
      <c r="K1120">
        <v>0</v>
      </c>
      <c r="L112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120">
        <f>GhanaStream[[#This Row],[Subscription Fee]]-(GhanaStream[[#This Row],[Discount]]*GhanaStream[[#This Row],[Subscription Fee]])</f>
        <v>1000</v>
      </c>
      <c r="N1120" t="str">
        <f>IF(GhanaStream[[#This Row],[Churn Flag]]="Yes","Churned","Retained")</f>
        <v>Churned</v>
      </c>
    </row>
    <row r="1121" spans="1:14" x14ac:dyDescent="0.25">
      <c r="A1121" t="s">
        <v>1159</v>
      </c>
      <c r="B1121" s="1">
        <v>45030</v>
      </c>
      <c r="C1121" t="s">
        <v>20</v>
      </c>
      <c r="D1121" t="s">
        <v>27</v>
      </c>
      <c r="E1121">
        <v>5400</v>
      </c>
      <c r="F1121" t="s">
        <v>21</v>
      </c>
      <c r="G1121" t="s">
        <v>28</v>
      </c>
      <c r="H1121" t="s">
        <v>16</v>
      </c>
      <c r="I1121" t="s">
        <v>17</v>
      </c>
      <c r="J1121" t="s">
        <v>18</v>
      </c>
      <c r="K1121">
        <v>0.1</v>
      </c>
      <c r="L112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121">
        <f>GhanaStream[[#This Row],[Subscription Fee]]-(GhanaStream[[#This Row],[Discount]]*GhanaStream[[#This Row],[Subscription Fee]])</f>
        <v>4860</v>
      </c>
      <c r="N1121" t="str">
        <f>IF(GhanaStream[[#This Row],[Churn Flag]]="Yes","Churned","Retained")</f>
        <v>Churned</v>
      </c>
    </row>
    <row r="1122" spans="1:14" x14ac:dyDescent="0.25">
      <c r="A1122" t="s">
        <v>1160</v>
      </c>
      <c r="B1122" s="1">
        <v>45079</v>
      </c>
      <c r="C1122" t="s">
        <v>20</v>
      </c>
      <c r="D1122" t="s">
        <v>27</v>
      </c>
      <c r="E1122">
        <v>5400</v>
      </c>
      <c r="F1122" t="s">
        <v>32</v>
      </c>
      <c r="G1122" t="s">
        <v>24</v>
      </c>
      <c r="H1122" t="s">
        <v>16</v>
      </c>
      <c r="I1122" t="s">
        <v>17</v>
      </c>
      <c r="J1122" t="s">
        <v>25</v>
      </c>
      <c r="K1122">
        <v>0.1</v>
      </c>
      <c r="L112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122">
        <f>GhanaStream[[#This Row],[Subscription Fee]]-(GhanaStream[[#This Row],[Discount]]*GhanaStream[[#This Row],[Subscription Fee]])</f>
        <v>4860</v>
      </c>
      <c r="N1122" t="str">
        <f>IF(GhanaStream[[#This Row],[Churn Flag]]="Yes","Churned","Retained")</f>
        <v>Churned</v>
      </c>
    </row>
    <row r="1123" spans="1:14" x14ac:dyDescent="0.25">
      <c r="A1123" t="s">
        <v>1161</v>
      </c>
      <c r="B1123" s="1">
        <v>45143</v>
      </c>
      <c r="C1123" t="s">
        <v>31</v>
      </c>
      <c r="D1123" t="s">
        <v>27</v>
      </c>
      <c r="E1123">
        <v>10800</v>
      </c>
      <c r="F1123" t="s">
        <v>21</v>
      </c>
      <c r="G1123" t="s">
        <v>28</v>
      </c>
      <c r="H1123" t="s">
        <v>16</v>
      </c>
      <c r="I1123" t="s">
        <v>17</v>
      </c>
      <c r="J1123" t="s">
        <v>25</v>
      </c>
      <c r="K1123">
        <v>0.1</v>
      </c>
      <c r="L112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123">
        <f>GhanaStream[[#This Row],[Subscription Fee]]-(GhanaStream[[#This Row],[Discount]]*GhanaStream[[#This Row],[Subscription Fee]])</f>
        <v>9720</v>
      </c>
      <c r="N1123" t="str">
        <f>IF(GhanaStream[[#This Row],[Churn Flag]]="Yes","Churned","Retained")</f>
        <v>Churned</v>
      </c>
    </row>
    <row r="1124" spans="1:14" x14ac:dyDescent="0.25">
      <c r="A1124" t="s">
        <v>1162</v>
      </c>
      <c r="B1124" s="1">
        <v>45220</v>
      </c>
      <c r="C1124" t="s">
        <v>20</v>
      </c>
      <c r="D1124" t="s">
        <v>27</v>
      </c>
      <c r="E1124">
        <v>5400</v>
      </c>
      <c r="F1124" t="s">
        <v>21</v>
      </c>
      <c r="G1124" t="s">
        <v>24</v>
      </c>
      <c r="H1124" t="s">
        <v>16</v>
      </c>
      <c r="I1124" t="s">
        <v>17</v>
      </c>
      <c r="J1124" t="s">
        <v>22</v>
      </c>
      <c r="K1124">
        <v>0.1</v>
      </c>
      <c r="L112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124">
        <f>GhanaStream[[#This Row],[Subscription Fee]]-(GhanaStream[[#This Row],[Discount]]*GhanaStream[[#This Row],[Subscription Fee]])</f>
        <v>4860</v>
      </c>
      <c r="N1124" t="str">
        <f>IF(GhanaStream[[#This Row],[Churn Flag]]="Yes","Churned","Retained")</f>
        <v>Churned</v>
      </c>
    </row>
    <row r="1125" spans="1:14" x14ac:dyDescent="0.25">
      <c r="A1125" t="s">
        <v>1163</v>
      </c>
      <c r="B1125" s="1">
        <v>45278</v>
      </c>
      <c r="C1125" t="s">
        <v>12</v>
      </c>
      <c r="D1125" t="s">
        <v>13</v>
      </c>
      <c r="E1125">
        <v>1500</v>
      </c>
      <c r="F1125" t="s">
        <v>21</v>
      </c>
      <c r="G1125" t="s">
        <v>24</v>
      </c>
      <c r="H1125" t="s">
        <v>33</v>
      </c>
      <c r="I1125" t="s">
        <v>34</v>
      </c>
      <c r="J1125" t="s">
        <v>29</v>
      </c>
      <c r="K1125">
        <v>0</v>
      </c>
      <c r="L112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125">
        <f>GhanaStream[[#This Row],[Subscription Fee]]-(GhanaStream[[#This Row],[Discount]]*GhanaStream[[#This Row],[Subscription Fee]])</f>
        <v>1500</v>
      </c>
      <c r="N1125" t="str">
        <f>IF(GhanaStream[[#This Row],[Churn Flag]]="Yes","Churned","Retained")</f>
        <v>Retained</v>
      </c>
    </row>
    <row r="1126" spans="1:14" x14ac:dyDescent="0.25">
      <c r="A1126" t="s">
        <v>1164</v>
      </c>
      <c r="B1126" s="1">
        <v>45648</v>
      </c>
      <c r="C1126" t="s">
        <v>31</v>
      </c>
      <c r="D1126" t="s">
        <v>13</v>
      </c>
      <c r="E1126">
        <v>1000</v>
      </c>
      <c r="F1126" t="s">
        <v>14</v>
      </c>
      <c r="G1126" t="s">
        <v>28</v>
      </c>
      <c r="H1126" t="s">
        <v>16</v>
      </c>
      <c r="I1126" t="s">
        <v>17</v>
      </c>
      <c r="J1126" t="s">
        <v>37</v>
      </c>
      <c r="K1126">
        <v>0</v>
      </c>
      <c r="L112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126">
        <f>GhanaStream[[#This Row],[Subscription Fee]]-(GhanaStream[[#This Row],[Discount]]*GhanaStream[[#This Row],[Subscription Fee]])</f>
        <v>1000</v>
      </c>
      <c r="N1126" t="str">
        <f>IF(GhanaStream[[#This Row],[Churn Flag]]="Yes","Churned","Retained")</f>
        <v>Churned</v>
      </c>
    </row>
    <row r="1127" spans="1:14" x14ac:dyDescent="0.25">
      <c r="A1127" t="s">
        <v>1165</v>
      </c>
      <c r="B1127" s="1">
        <v>45459</v>
      </c>
      <c r="C1127" t="s">
        <v>12</v>
      </c>
      <c r="D1127" t="s">
        <v>13</v>
      </c>
      <c r="E1127">
        <v>1500</v>
      </c>
      <c r="F1127" t="s">
        <v>14</v>
      </c>
      <c r="G1127" t="s">
        <v>15</v>
      </c>
      <c r="H1127" t="s">
        <v>33</v>
      </c>
      <c r="I1127" t="s">
        <v>34</v>
      </c>
      <c r="J1127" t="s">
        <v>37</v>
      </c>
      <c r="K1127">
        <v>0</v>
      </c>
      <c r="L112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127">
        <f>GhanaStream[[#This Row],[Subscription Fee]]-(GhanaStream[[#This Row],[Discount]]*GhanaStream[[#This Row],[Subscription Fee]])</f>
        <v>1500</v>
      </c>
      <c r="N1127" t="str">
        <f>IF(GhanaStream[[#This Row],[Churn Flag]]="Yes","Churned","Retained")</f>
        <v>Retained</v>
      </c>
    </row>
    <row r="1128" spans="1:14" x14ac:dyDescent="0.25">
      <c r="A1128" t="s">
        <v>1166</v>
      </c>
      <c r="B1128" s="1">
        <v>45488</v>
      </c>
      <c r="C1128" t="s">
        <v>31</v>
      </c>
      <c r="D1128" t="s">
        <v>27</v>
      </c>
      <c r="E1128">
        <v>10800</v>
      </c>
      <c r="F1128" t="s">
        <v>14</v>
      </c>
      <c r="G1128" t="s">
        <v>15</v>
      </c>
      <c r="H1128" t="s">
        <v>16</v>
      </c>
      <c r="I1128" t="s">
        <v>17</v>
      </c>
      <c r="J1128" t="s">
        <v>41</v>
      </c>
      <c r="K1128">
        <v>0.1</v>
      </c>
      <c r="L112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128">
        <f>GhanaStream[[#This Row],[Subscription Fee]]-(GhanaStream[[#This Row],[Discount]]*GhanaStream[[#This Row],[Subscription Fee]])</f>
        <v>9720</v>
      </c>
      <c r="N1128" t="str">
        <f>IF(GhanaStream[[#This Row],[Churn Flag]]="Yes","Churned","Retained")</f>
        <v>Churned</v>
      </c>
    </row>
    <row r="1129" spans="1:14" x14ac:dyDescent="0.25">
      <c r="A1129" t="s">
        <v>1167</v>
      </c>
      <c r="B1129" s="1">
        <v>45415</v>
      </c>
      <c r="C1129" t="s">
        <v>31</v>
      </c>
      <c r="D1129" t="s">
        <v>13</v>
      </c>
      <c r="E1129">
        <v>1000</v>
      </c>
      <c r="F1129" t="s">
        <v>32</v>
      </c>
      <c r="G1129" t="s">
        <v>24</v>
      </c>
      <c r="H1129" t="s">
        <v>33</v>
      </c>
      <c r="I1129" t="s">
        <v>34</v>
      </c>
      <c r="J1129" t="s">
        <v>25</v>
      </c>
      <c r="K1129">
        <v>0</v>
      </c>
      <c r="L112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129">
        <f>GhanaStream[[#This Row],[Subscription Fee]]-(GhanaStream[[#This Row],[Discount]]*GhanaStream[[#This Row],[Subscription Fee]])</f>
        <v>1000</v>
      </c>
      <c r="N1129" t="str">
        <f>IF(GhanaStream[[#This Row],[Churn Flag]]="Yes","Churned","Retained")</f>
        <v>Retained</v>
      </c>
    </row>
    <row r="1130" spans="1:14" x14ac:dyDescent="0.25">
      <c r="A1130" t="s">
        <v>1168</v>
      </c>
      <c r="B1130" s="1">
        <v>45024</v>
      </c>
      <c r="C1130" t="s">
        <v>20</v>
      </c>
      <c r="D1130" t="s">
        <v>13</v>
      </c>
      <c r="E1130">
        <v>500</v>
      </c>
      <c r="F1130" t="s">
        <v>32</v>
      </c>
      <c r="G1130" t="s">
        <v>24</v>
      </c>
      <c r="H1130" t="s">
        <v>33</v>
      </c>
      <c r="I1130" t="s">
        <v>34</v>
      </c>
      <c r="J1130" t="s">
        <v>39</v>
      </c>
      <c r="K1130">
        <v>0</v>
      </c>
      <c r="L113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130">
        <f>GhanaStream[[#This Row],[Subscription Fee]]-(GhanaStream[[#This Row],[Discount]]*GhanaStream[[#This Row],[Subscription Fee]])</f>
        <v>500</v>
      </c>
      <c r="N1130" t="str">
        <f>IF(GhanaStream[[#This Row],[Churn Flag]]="Yes","Churned","Retained")</f>
        <v>Retained</v>
      </c>
    </row>
    <row r="1131" spans="1:14" x14ac:dyDescent="0.25">
      <c r="A1131" t="s">
        <v>1169</v>
      </c>
      <c r="B1131" s="1">
        <v>45506</v>
      </c>
      <c r="C1131" t="s">
        <v>31</v>
      </c>
      <c r="D1131" t="s">
        <v>13</v>
      </c>
      <c r="E1131">
        <v>1000</v>
      </c>
      <c r="F1131" t="s">
        <v>21</v>
      </c>
      <c r="G1131" t="s">
        <v>15</v>
      </c>
      <c r="H1131" t="s">
        <v>33</v>
      </c>
      <c r="I1131" t="s">
        <v>34</v>
      </c>
      <c r="J1131" t="s">
        <v>18</v>
      </c>
      <c r="K1131">
        <v>0</v>
      </c>
      <c r="L113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131">
        <f>GhanaStream[[#This Row],[Subscription Fee]]-(GhanaStream[[#This Row],[Discount]]*GhanaStream[[#This Row],[Subscription Fee]])</f>
        <v>1000</v>
      </c>
      <c r="N1131" t="str">
        <f>IF(GhanaStream[[#This Row],[Churn Flag]]="Yes","Churned","Retained")</f>
        <v>Retained</v>
      </c>
    </row>
    <row r="1132" spans="1:14" x14ac:dyDescent="0.25">
      <c r="A1132" t="s">
        <v>1170</v>
      </c>
      <c r="B1132" s="1">
        <v>45318</v>
      </c>
      <c r="C1132" t="s">
        <v>20</v>
      </c>
      <c r="D1132" t="s">
        <v>13</v>
      </c>
      <c r="E1132">
        <v>500</v>
      </c>
      <c r="F1132" t="s">
        <v>21</v>
      </c>
      <c r="G1132" t="s">
        <v>24</v>
      </c>
      <c r="H1132" t="s">
        <v>33</v>
      </c>
      <c r="I1132" t="s">
        <v>34</v>
      </c>
      <c r="J1132" t="s">
        <v>25</v>
      </c>
      <c r="K1132">
        <v>0</v>
      </c>
      <c r="L113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132">
        <f>GhanaStream[[#This Row],[Subscription Fee]]-(GhanaStream[[#This Row],[Discount]]*GhanaStream[[#This Row],[Subscription Fee]])</f>
        <v>500</v>
      </c>
      <c r="N1132" t="str">
        <f>IF(GhanaStream[[#This Row],[Churn Flag]]="Yes","Churned","Retained")</f>
        <v>Retained</v>
      </c>
    </row>
    <row r="1133" spans="1:14" x14ac:dyDescent="0.25">
      <c r="A1133" t="s">
        <v>1171</v>
      </c>
      <c r="B1133" s="1">
        <v>45557</v>
      </c>
      <c r="C1133" t="s">
        <v>12</v>
      </c>
      <c r="D1133" t="s">
        <v>27</v>
      </c>
      <c r="E1133">
        <v>16200</v>
      </c>
      <c r="F1133" t="s">
        <v>14</v>
      </c>
      <c r="G1133" t="s">
        <v>28</v>
      </c>
      <c r="H1133" t="s">
        <v>33</v>
      </c>
      <c r="I1133" t="s">
        <v>34</v>
      </c>
      <c r="J1133" t="s">
        <v>18</v>
      </c>
      <c r="K1133">
        <v>0.1</v>
      </c>
      <c r="L113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133">
        <f>GhanaStream[[#This Row],[Subscription Fee]]-(GhanaStream[[#This Row],[Discount]]*GhanaStream[[#This Row],[Subscription Fee]])</f>
        <v>14580</v>
      </c>
      <c r="N1133" t="str">
        <f>IF(GhanaStream[[#This Row],[Churn Flag]]="Yes","Churned","Retained")</f>
        <v>Retained</v>
      </c>
    </row>
    <row r="1134" spans="1:14" x14ac:dyDescent="0.25">
      <c r="A1134" t="s">
        <v>1172</v>
      </c>
      <c r="B1134" s="1">
        <v>45189</v>
      </c>
      <c r="C1134" t="s">
        <v>20</v>
      </c>
      <c r="D1134" t="s">
        <v>13</v>
      </c>
      <c r="E1134">
        <v>500</v>
      </c>
      <c r="F1134" t="s">
        <v>49</v>
      </c>
      <c r="G1134" t="s">
        <v>24</v>
      </c>
      <c r="H1134" t="s">
        <v>16</v>
      </c>
      <c r="I1134" t="s">
        <v>17</v>
      </c>
      <c r="J1134" t="s">
        <v>25</v>
      </c>
      <c r="K1134">
        <v>0</v>
      </c>
      <c r="L113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134">
        <f>GhanaStream[[#This Row],[Subscription Fee]]-(GhanaStream[[#This Row],[Discount]]*GhanaStream[[#This Row],[Subscription Fee]])</f>
        <v>500</v>
      </c>
      <c r="N1134" t="str">
        <f>IF(GhanaStream[[#This Row],[Churn Flag]]="Yes","Churned","Retained")</f>
        <v>Churned</v>
      </c>
    </row>
    <row r="1135" spans="1:14" x14ac:dyDescent="0.25">
      <c r="A1135" t="s">
        <v>1173</v>
      </c>
      <c r="B1135" s="1">
        <v>45272</v>
      </c>
      <c r="C1135" t="s">
        <v>20</v>
      </c>
      <c r="D1135" t="s">
        <v>27</v>
      </c>
      <c r="E1135">
        <v>5400</v>
      </c>
      <c r="F1135" t="s">
        <v>14</v>
      </c>
      <c r="G1135" t="s">
        <v>28</v>
      </c>
      <c r="H1135" t="s">
        <v>33</v>
      </c>
      <c r="I1135" t="s">
        <v>34</v>
      </c>
      <c r="J1135" t="s">
        <v>37</v>
      </c>
      <c r="K1135">
        <v>0.1</v>
      </c>
      <c r="L113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135">
        <f>GhanaStream[[#This Row],[Subscription Fee]]-(GhanaStream[[#This Row],[Discount]]*GhanaStream[[#This Row],[Subscription Fee]])</f>
        <v>4860</v>
      </c>
      <c r="N1135" t="str">
        <f>IF(GhanaStream[[#This Row],[Churn Flag]]="Yes","Churned","Retained")</f>
        <v>Retained</v>
      </c>
    </row>
    <row r="1136" spans="1:14" x14ac:dyDescent="0.25">
      <c r="A1136" t="s">
        <v>1174</v>
      </c>
      <c r="B1136" s="1">
        <v>45280</v>
      </c>
      <c r="C1136" t="s">
        <v>31</v>
      </c>
      <c r="D1136" t="s">
        <v>27</v>
      </c>
      <c r="E1136">
        <v>10800</v>
      </c>
      <c r="F1136" t="s">
        <v>21</v>
      </c>
      <c r="G1136" t="s">
        <v>24</v>
      </c>
      <c r="H1136" t="s">
        <v>16</v>
      </c>
      <c r="I1136" t="s">
        <v>17</v>
      </c>
      <c r="J1136" t="s">
        <v>18</v>
      </c>
      <c r="K1136">
        <v>0.1</v>
      </c>
      <c r="L113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136">
        <f>GhanaStream[[#This Row],[Subscription Fee]]-(GhanaStream[[#This Row],[Discount]]*GhanaStream[[#This Row],[Subscription Fee]])</f>
        <v>9720</v>
      </c>
      <c r="N1136" t="str">
        <f>IF(GhanaStream[[#This Row],[Churn Flag]]="Yes","Churned","Retained")</f>
        <v>Churned</v>
      </c>
    </row>
    <row r="1137" spans="1:14" x14ac:dyDescent="0.25">
      <c r="A1137" t="s">
        <v>1175</v>
      </c>
      <c r="B1137" s="1">
        <v>45615</v>
      </c>
      <c r="C1137" t="s">
        <v>20</v>
      </c>
      <c r="D1137" t="s">
        <v>27</v>
      </c>
      <c r="E1137">
        <v>5400</v>
      </c>
      <c r="F1137" t="s">
        <v>49</v>
      </c>
      <c r="G1137" t="s">
        <v>24</v>
      </c>
      <c r="H1137" t="s">
        <v>33</v>
      </c>
      <c r="I1137" t="s">
        <v>34</v>
      </c>
      <c r="J1137" t="s">
        <v>25</v>
      </c>
      <c r="K1137">
        <v>0.1</v>
      </c>
      <c r="L113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137">
        <f>GhanaStream[[#This Row],[Subscription Fee]]-(GhanaStream[[#This Row],[Discount]]*GhanaStream[[#This Row],[Subscription Fee]])</f>
        <v>4860</v>
      </c>
      <c r="N1137" t="str">
        <f>IF(GhanaStream[[#This Row],[Churn Flag]]="Yes","Churned","Retained")</f>
        <v>Retained</v>
      </c>
    </row>
    <row r="1138" spans="1:14" x14ac:dyDescent="0.25">
      <c r="A1138" t="s">
        <v>1176</v>
      </c>
      <c r="B1138" s="1">
        <v>45120</v>
      </c>
      <c r="C1138" t="s">
        <v>20</v>
      </c>
      <c r="D1138" t="s">
        <v>13</v>
      </c>
      <c r="E1138">
        <v>500</v>
      </c>
      <c r="F1138" t="s">
        <v>21</v>
      </c>
      <c r="G1138" t="s">
        <v>24</v>
      </c>
      <c r="H1138" t="s">
        <v>16</v>
      </c>
      <c r="I1138" t="s">
        <v>17</v>
      </c>
      <c r="J1138" t="s">
        <v>18</v>
      </c>
      <c r="K1138">
        <v>0</v>
      </c>
      <c r="L113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138">
        <f>GhanaStream[[#This Row],[Subscription Fee]]-(GhanaStream[[#This Row],[Discount]]*GhanaStream[[#This Row],[Subscription Fee]])</f>
        <v>500</v>
      </c>
      <c r="N1138" t="str">
        <f>IF(GhanaStream[[#This Row],[Churn Flag]]="Yes","Churned","Retained")</f>
        <v>Churned</v>
      </c>
    </row>
    <row r="1139" spans="1:14" x14ac:dyDescent="0.25">
      <c r="A1139" t="s">
        <v>1177</v>
      </c>
      <c r="B1139" s="1">
        <v>45483</v>
      </c>
      <c r="C1139" t="s">
        <v>31</v>
      </c>
      <c r="D1139" t="s">
        <v>27</v>
      </c>
      <c r="E1139">
        <v>10800</v>
      </c>
      <c r="F1139" t="s">
        <v>32</v>
      </c>
      <c r="G1139" t="s">
        <v>28</v>
      </c>
      <c r="H1139" t="s">
        <v>16</v>
      </c>
      <c r="I1139" t="s">
        <v>17</v>
      </c>
      <c r="J1139" t="s">
        <v>25</v>
      </c>
      <c r="K1139">
        <v>0.1</v>
      </c>
      <c r="L113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139">
        <f>GhanaStream[[#This Row],[Subscription Fee]]-(GhanaStream[[#This Row],[Discount]]*GhanaStream[[#This Row],[Subscription Fee]])</f>
        <v>9720</v>
      </c>
      <c r="N1139" t="str">
        <f>IF(GhanaStream[[#This Row],[Churn Flag]]="Yes","Churned","Retained")</f>
        <v>Churned</v>
      </c>
    </row>
    <row r="1140" spans="1:14" x14ac:dyDescent="0.25">
      <c r="A1140" t="s">
        <v>1178</v>
      </c>
      <c r="B1140" s="1">
        <v>45311</v>
      </c>
      <c r="C1140" t="s">
        <v>20</v>
      </c>
      <c r="D1140" t="s">
        <v>27</v>
      </c>
      <c r="E1140">
        <v>5400</v>
      </c>
      <c r="F1140" t="s">
        <v>14</v>
      </c>
      <c r="G1140" t="s">
        <v>24</v>
      </c>
      <c r="H1140" t="s">
        <v>16</v>
      </c>
      <c r="I1140" t="s">
        <v>17</v>
      </c>
      <c r="J1140" t="s">
        <v>41</v>
      </c>
      <c r="K1140">
        <v>0.1</v>
      </c>
      <c r="L114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140">
        <f>GhanaStream[[#This Row],[Subscription Fee]]-(GhanaStream[[#This Row],[Discount]]*GhanaStream[[#This Row],[Subscription Fee]])</f>
        <v>4860</v>
      </c>
      <c r="N1140" t="str">
        <f>IF(GhanaStream[[#This Row],[Churn Flag]]="Yes","Churned","Retained")</f>
        <v>Churned</v>
      </c>
    </row>
    <row r="1141" spans="1:14" x14ac:dyDescent="0.25">
      <c r="A1141" t="s">
        <v>1179</v>
      </c>
      <c r="B1141" s="1">
        <v>45354</v>
      </c>
      <c r="C1141" t="s">
        <v>12</v>
      </c>
      <c r="D1141" t="s">
        <v>27</v>
      </c>
      <c r="E1141">
        <v>16200</v>
      </c>
      <c r="F1141" t="s">
        <v>21</v>
      </c>
      <c r="G1141" t="s">
        <v>28</v>
      </c>
      <c r="H1141" t="s">
        <v>33</v>
      </c>
      <c r="I1141" t="s">
        <v>34</v>
      </c>
      <c r="J1141" t="s">
        <v>29</v>
      </c>
      <c r="K1141">
        <v>0.1</v>
      </c>
      <c r="L114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141">
        <f>GhanaStream[[#This Row],[Subscription Fee]]-(GhanaStream[[#This Row],[Discount]]*GhanaStream[[#This Row],[Subscription Fee]])</f>
        <v>14580</v>
      </c>
      <c r="N1141" t="str">
        <f>IF(GhanaStream[[#This Row],[Churn Flag]]="Yes","Churned","Retained")</f>
        <v>Retained</v>
      </c>
    </row>
    <row r="1142" spans="1:14" x14ac:dyDescent="0.25">
      <c r="A1142" t="s">
        <v>1180</v>
      </c>
      <c r="B1142" s="1">
        <v>45611</v>
      </c>
      <c r="C1142" t="s">
        <v>20</v>
      </c>
      <c r="D1142" t="s">
        <v>27</v>
      </c>
      <c r="E1142">
        <v>5400</v>
      </c>
      <c r="F1142" t="s">
        <v>21</v>
      </c>
      <c r="G1142" t="s">
        <v>24</v>
      </c>
      <c r="H1142" t="s">
        <v>16</v>
      </c>
      <c r="I1142" t="s">
        <v>17</v>
      </c>
      <c r="J1142" t="s">
        <v>18</v>
      </c>
      <c r="K1142">
        <v>0.1</v>
      </c>
      <c r="L114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142">
        <f>GhanaStream[[#This Row],[Subscription Fee]]-(GhanaStream[[#This Row],[Discount]]*GhanaStream[[#This Row],[Subscription Fee]])</f>
        <v>4860</v>
      </c>
      <c r="N1142" t="str">
        <f>IF(GhanaStream[[#This Row],[Churn Flag]]="Yes","Churned","Retained")</f>
        <v>Churned</v>
      </c>
    </row>
    <row r="1143" spans="1:14" x14ac:dyDescent="0.25">
      <c r="A1143" t="s">
        <v>1181</v>
      </c>
      <c r="B1143" s="1">
        <v>45037</v>
      </c>
      <c r="C1143" t="s">
        <v>20</v>
      </c>
      <c r="D1143" t="s">
        <v>27</v>
      </c>
      <c r="E1143">
        <v>5400</v>
      </c>
      <c r="F1143" t="s">
        <v>21</v>
      </c>
      <c r="G1143" t="s">
        <v>24</v>
      </c>
      <c r="H1143" t="s">
        <v>16</v>
      </c>
      <c r="I1143" t="s">
        <v>17</v>
      </c>
      <c r="J1143" t="s">
        <v>22</v>
      </c>
      <c r="K1143">
        <v>0.1</v>
      </c>
      <c r="L114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143">
        <f>GhanaStream[[#This Row],[Subscription Fee]]-(GhanaStream[[#This Row],[Discount]]*GhanaStream[[#This Row],[Subscription Fee]])</f>
        <v>4860</v>
      </c>
      <c r="N1143" t="str">
        <f>IF(GhanaStream[[#This Row],[Churn Flag]]="Yes","Churned","Retained")</f>
        <v>Churned</v>
      </c>
    </row>
    <row r="1144" spans="1:14" x14ac:dyDescent="0.25">
      <c r="A1144" t="s">
        <v>1182</v>
      </c>
      <c r="B1144" s="1">
        <v>45551</v>
      </c>
      <c r="C1144" t="s">
        <v>20</v>
      </c>
      <c r="D1144" t="s">
        <v>13</v>
      </c>
      <c r="E1144">
        <v>500</v>
      </c>
      <c r="F1144" t="s">
        <v>49</v>
      </c>
      <c r="G1144" t="s">
        <v>28</v>
      </c>
      <c r="H1144" t="s">
        <v>16</v>
      </c>
      <c r="I1144" t="s">
        <v>17</v>
      </c>
      <c r="J1144" t="s">
        <v>35</v>
      </c>
      <c r="K1144">
        <v>0</v>
      </c>
      <c r="L114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144">
        <f>GhanaStream[[#This Row],[Subscription Fee]]-(GhanaStream[[#This Row],[Discount]]*GhanaStream[[#This Row],[Subscription Fee]])</f>
        <v>500</v>
      </c>
      <c r="N1144" t="str">
        <f>IF(GhanaStream[[#This Row],[Churn Flag]]="Yes","Churned","Retained")</f>
        <v>Churned</v>
      </c>
    </row>
    <row r="1145" spans="1:14" x14ac:dyDescent="0.25">
      <c r="A1145" t="s">
        <v>1183</v>
      </c>
      <c r="B1145" s="1">
        <v>45606</v>
      </c>
      <c r="C1145" t="s">
        <v>31</v>
      </c>
      <c r="D1145" t="s">
        <v>27</v>
      </c>
      <c r="E1145">
        <v>10800</v>
      </c>
      <c r="F1145" t="s">
        <v>49</v>
      </c>
      <c r="G1145" t="s">
        <v>15</v>
      </c>
      <c r="H1145" t="s">
        <v>33</v>
      </c>
      <c r="I1145" t="s">
        <v>34</v>
      </c>
      <c r="J1145" t="s">
        <v>35</v>
      </c>
      <c r="K1145">
        <v>0.1</v>
      </c>
      <c r="L114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145">
        <f>GhanaStream[[#This Row],[Subscription Fee]]-(GhanaStream[[#This Row],[Discount]]*GhanaStream[[#This Row],[Subscription Fee]])</f>
        <v>9720</v>
      </c>
      <c r="N1145" t="str">
        <f>IF(GhanaStream[[#This Row],[Churn Flag]]="Yes","Churned","Retained")</f>
        <v>Retained</v>
      </c>
    </row>
    <row r="1146" spans="1:14" x14ac:dyDescent="0.25">
      <c r="A1146" t="s">
        <v>1184</v>
      </c>
      <c r="B1146" s="1">
        <v>45283</v>
      </c>
      <c r="C1146" t="s">
        <v>12</v>
      </c>
      <c r="D1146" t="s">
        <v>13</v>
      </c>
      <c r="E1146">
        <v>1500</v>
      </c>
      <c r="F1146" t="s">
        <v>49</v>
      </c>
      <c r="G1146" t="s">
        <v>15</v>
      </c>
      <c r="H1146" t="s">
        <v>33</v>
      </c>
      <c r="I1146" t="s">
        <v>34</v>
      </c>
      <c r="J1146" t="s">
        <v>58</v>
      </c>
      <c r="K1146">
        <v>0</v>
      </c>
      <c r="L114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146">
        <f>GhanaStream[[#This Row],[Subscription Fee]]-(GhanaStream[[#This Row],[Discount]]*GhanaStream[[#This Row],[Subscription Fee]])</f>
        <v>1500</v>
      </c>
      <c r="N1146" t="str">
        <f>IF(GhanaStream[[#This Row],[Churn Flag]]="Yes","Churned","Retained")</f>
        <v>Retained</v>
      </c>
    </row>
    <row r="1147" spans="1:14" x14ac:dyDescent="0.25">
      <c r="A1147" t="s">
        <v>1185</v>
      </c>
      <c r="B1147" s="1">
        <v>45555</v>
      </c>
      <c r="C1147" t="s">
        <v>12</v>
      </c>
      <c r="D1147" t="s">
        <v>27</v>
      </c>
      <c r="E1147">
        <v>16200</v>
      </c>
      <c r="F1147" t="s">
        <v>21</v>
      </c>
      <c r="G1147" t="s">
        <v>24</v>
      </c>
      <c r="H1147" t="s">
        <v>33</v>
      </c>
      <c r="I1147" t="s">
        <v>34</v>
      </c>
      <c r="J1147" t="s">
        <v>29</v>
      </c>
      <c r="K1147">
        <v>0.1</v>
      </c>
      <c r="L114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147">
        <f>GhanaStream[[#This Row],[Subscription Fee]]-(GhanaStream[[#This Row],[Discount]]*GhanaStream[[#This Row],[Subscription Fee]])</f>
        <v>14580</v>
      </c>
      <c r="N1147" t="str">
        <f>IF(GhanaStream[[#This Row],[Churn Flag]]="Yes","Churned","Retained")</f>
        <v>Retained</v>
      </c>
    </row>
    <row r="1148" spans="1:14" x14ac:dyDescent="0.25">
      <c r="A1148" t="s">
        <v>1186</v>
      </c>
      <c r="B1148" s="1">
        <v>45354</v>
      </c>
      <c r="C1148" t="s">
        <v>12</v>
      </c>
      <c r="D1148" t="s">
        <v>27</v>
      </c>
      <c r="E1148">
        <v>16200</v>
      </c>
      <c r="F1148" t="s">
        <v>14</v>
      </c>
      <c r="G1148" t="s">
        <v>24</v>
      </c>
      <c r="H1148" t="s">
        <v>16</v>
      </c>
      <c r="I1148" t="s">
        <v>17</v>
      </c>
      <c r="J1148" t="s">
        <v>18</v>
      </c>
      <c r="K1148">
        <v>0.1</v>
      </c>
      <c r="L114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148">
        <f>GhanaStream[[#This Row],[Subscription Fee]]-(GhanaStream[[#This Row],[Discount]]*GhanaStream[[#This Row],[Subscription Fee]])</f>
        <v>14580</v>
      </c>
      <c r="N1148" t="str">
        <f>IF(GhanaStream[[#This Row],[Churn Flag]]="Yes","Churned","Retained")</f>
        <v>Churned</v>
      </c>
    </row>
    <row r="1149" spans="1:14" x14ac:dyDescent="0.25">
      <c r="A1149" t="s">
        <v>1187</v>
      </c>
      <c r="B1149" s="1">
        <v>45495</v>
      </c>
      <c r="C1149" t="s">
        <v>20</v>
      </c>
      <c r="D1149" t="s">
        <v>13</v>
      </c>
      <c r="E1149">
        <v>500</v>
      </c>
      <c r="F1149" t="s">
        <v>32</v>
      </c>
      <c r="G1149" t="s">
        <v>28</v>
      </c>
      <c r="H1149" t="s">
        <v>33</v>
      </c>
      <c r="I1149" t="s">
        <v>34</v>
      </c>
      <c r="J1149" t="s">
        <v>39</v>
      </c>
      <c r="K1149">
        <v>0</v>
      </c>
      <c r="L114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149">
        <f>GhanaStream[[#This Row],[Subscription Fee]]-(GhanaStream[[#This Row],[Discount]]*GhanaStream[[#This Row],[Subscription Fee]])</f>
        <v>500</v>
      </c>
      <c r="N1149" t="str">
        <f>IF(GhanaStream[[#This Row],[Churn Flag]]="Yes","Churned","Retained")</f>
        <v>Retained</v>
      </c>
    </row>
    <row r="1150" spans="1:14" x14ac:dyDescent="0.25">
      <c r="A1150" t="s">
        <v>1188</v>
      </c>
      <c r="B1150" s="1">
        <v>45108</v>
      </c>
      <c r="C1150" t="s">
        <v>12</v>
      </c>
      <c r="D1150" t="s">
        <v>13</v>
      </c>
      <c r="E1150">
        <v>1500</v>
      </c>
      <c r="F1150" t="s">
        <v>49</v>
      </c>
      <c r="G1150" t="s">
        <v>15</v>
      </c>
      <c r="H1150" t="s">
        <v>33</v>
      </c>
      <c r="I1150" t="s">
        <v>34</v>
      </c>
      <c r="J1150" t="s">
        <v>50</v>
      </c>
      <c r="K1150">
        <v>0</v>
      </c>
      <c r="L115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150">
        <f>GhanaStream[[#This Row],[Subscription Fee]]-(GhanaStream[[#This Row],[Discount]]*GhanaStream[[#This Row],[Subscription Fee]])</f>
        <v>1500</v>
      </c>
      <c r="N1150" t="str">
        <f>IF(GhanaStream[[#This Row],[Churn Flag]]="Yes","Churned","Retained")</f>
        <v>Retained</v>
      </c>
    </row>
    <row r="1151" spans="1:14" x14ac:dyDescent="0.25">
      <c r="A1151" t="s">
        <v>1189</v>
      </c>
      <c r="B1151" s="1">
        <v>45121</v>
      </c>
      <c r="C1151" t="s">
        <v>12</v>
      </c>
      <c r="D1151" t="s">
        <v>13</v>
      </c>
      <c r="E1151">
        <v>1500</v>
      </c>
      <c r="F1151" t="s">
        <v>49</v>
      </c>
      <c r="G1151" t="s">
        <v>15</v>
      </c>
      <c r="H1151" t="s">
        <v>33</v>
      </c>
      <c r="I1151" t="s">
        <v>34</v>
      </c>
      <c r="J1151" t="s">
        <v>58</v>
      </c>
      <c r="K1151">
        <v>0</v>
      </c>
      <c r="L115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151">
        <f>GhanaStream[[#This Row],[Subscription Fee]]-(GhanaStream[[#This Row],[Discount]]*GhanaStream[[#This Row],[Subscription Fee]])</f>
        <v>1500</v>
      </c>
      <c r="N1151" t="str">
        <f>IF(GhanaStream[[#This Row],[Churn Flag]]="Yes","Churned","Retained")</f>
        <v>Retained</v>
      </c>
    </row>
    <row r="1152" spans="1:14" x14ac:dyDescent="0.25">
      <c r="A1152" t="s">
        <v>1190</v>
      </c>
      <c r="B1152" s="1">
        <v>44985</v>
      </c>
      <c r="C1152" t="s">
        <v>31</v>
      </c>
      <c r="D1152" t="s">
        <v>13</v>
      </c>
      <c r="E1152">
        <v>1000</v>
      </c>
      <c r="F1152" t="s">
        <v>21</v>
      </c>
      <c r="G1152" t="s">
        <v>15</v>
      </c>
      <c r="H1152" t="s">
        <v>16</v>
      </c>
      <c r="I1152" t="s">
        <v>17</v>
      </c>
      <c r="J1152" t="s">
        <v>25</v>
      </c>
      <c r="K1152">
        <v>0</v>
      </c>
      <c r="L115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152">
        <f>GhanaStream[[#This Row],[Subscription Fee]]-(GhanaStream[[#This Row],[Discount]]*GhanaStream[[#This Row],[Subscription Fee]])</f>
        <v>1000</v>
      </c>
      <c r="N1152" t="str">
        <f>IF(GhanaStream[[#This Row],[Churn Flag]]="Yes","Churned","Retained")</f>
        <v>Churned</v>
      </c>
    </row>
    <row r="1153" spans="1:14" x14ac:dyDescent="0.25">
      <c r="A1153" t="s">
        <v>1191</v>
      </c>
      <c r="B1153" s="1">
        <v>45173</v>
      </c>
      <c r="C1153" t="s">
        <v>20</v>
      </c>
      <c r="D1153" t="s">
        <v>27</v>
      </c>
      <c r="E1153">
        <v>5400</v>
      </c>
      <c r="F1153" t="s">
        <v>32</v>
      </c>
      <c r="G1153" t="s">
        <v>24</v>
      </c>
      <c r="H1153" t="s">
        <v>33</v>
      </c>
      <c r="I1153" t="s">
        <v>34</v>
      </c>
      <c r="J1153" t="s">
        <v>39</v>
      </c>
      <c r="K1153">
        <v>0.1</v>
      </c>
      <c r="L115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153">
        <f>GhanaStream[[#This Row],[Subscription Fee]]-(GhanaStream[[#This Row],[Discount]]*GhanaStream[[#This Row],[Subscription Fee]])</f>
        <v>4860</v>
      </c>
      <c r="N1153" t="str">
        <f>IF(GhanaStream[[#This Row],[Churn Flag]]="Yes","Churned","Retained")</f>
        <v>Retained</v>
      </c>
    </row>
    <row r="1154" spans="1:14" x14ac:dyDescent="0.25">
      <c r="A1154" t="s">
        <v>1192</v>
      </c>
      <c r="B1154" s="1">
        <v>45188</v>
      </c>
      <c r="C1154" t="s">
        <v>31</v>
      </c>
      <c r="D1154" t="s">
        <v>13</v>
      </c>
      <c r="E1154">
        <v>1000</v>
      </c>
      <c r="F1154" t="s">
        <v>49</v>
      </c>
      <c r="G1154" t="s">
        <v>24</v>
      </c>
      <c r="H1154" t="s">
        <v>16</v>
      </c>
      <c r="I1154" t="s">
        <v>17</v>
      </c>
      <c r="J1154" t="s">
        <v>22</v>
      </c>
      <c r="K1154">
        <v>0</v>
      </c>
      <c r="L115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154">
        <f>GhanaStream[[#This Row],[Subscription Fee]]-(GhanaStream[[#This Row],[Discount]]*GhanaStream[[#This Row],[Subscription Fee]])</f>
        <v>1000</v>
      </c>
      <c r="N1154" t="str">
        <f>IF(GhanaStream[[#This Row],[Churn Flag]]="Yes","Churned","Retained")</f>
        <v>Churned</v>
      </c>
    </row>
    <row r="1155" spans="1:14" x14ac:dyDescent="0.25">
      <c r="A1155" t="s">
        <v>1193</v>
      </c>
      <c r="B1155" s="1">
        <v>45015</v>
      </c>
      <c r="C1155" t="s">
        <v>12</v>
      </c>
      <c r="D1155" t="s">
        <v>13</v>
      </c>
      <c r="E1155">
        <v>1500</v>
      </c>
      <c r="F1155" t="s">
        <v>32</v>
      </c>
      <c r="G1155" t="s">
        <v>15</v>
      </c>
      <c r="H1155" t="s">
        <v>33</v>
      </c>
      <c r="I1155" t="s">
        <v>34</v>
      </c>
      <c r="J1155" t="s">
        <v>39</v>
      </c>
      <c r="K1155">
        <v>0</v>
      </c>
      <c r="L115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155">
        <f>GhanaStream[[#This Row],[Subscription Fee]]-(GhanaStream[[#This Row],[Discount]]*GhanaStream[[#This Row],[Subscription Fee]])</f>
        <v>1500</v>
      </c>
      <c r="N1155" t="str">
        <f>IF(GhanaStream[[#This Row],[Churn Flag]]="Yes","Churned","Retained")</f>
        <v>Retained</v>
      </c>
    </row>
    <row r="1156" spans="1:14" x14ac:dyDescent="0.25">
      <c r="A1156" t="s">
        <v>1194</v>
      </c>
      <c r="B1156" s="1">
        <v>45441</v>
      </c>
      <c r="C1156" t="s">
        <v>12</v>
      </c>
      <c r="D1156" t="s">
        <v>13</v>
      </c>
      <c r="E1156">
        <v>1500</v>
      </c>
      <c r="F1156" t="s">
        <v>49</v>
      </c>
      <c r="G1156" t="s">
        <v>28</v>
      </c>
      <c r="H1156" t="s">
        <v>16</v>
      </c>
      <c r="I1156" t="s">
        <v>17</v>
      </c>
      <c r="J1156" t="s">
        <v>58</v>
      </c>
      <c r="K1156">
        <v>0</v>
      </c>
      <c r="L115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156">
        <f>GhanaStream[[#This Row],[Subscription Fee]]-(GhanaStream[[#This Row],[Discount]]*GhanaStream[[#This Row],[Subscription Fee]])</f>
        <v>1500</v>
      </c>
      <c r="N1156" t="str">
        <f>IF(GhanaStream[[#This Row],[Churn Flag]]="Yes","Churned","Retained")</f>
        <v>Churned</v>
      </c>
    </row>
    <row r="1157" spans="1:14" x14ac:dyDescent="0.25">
      <c r="A1157" t="s">
        <v>1195</v>
      </c>
      <c r="B1157" s="1">
        <v>45656</v>
      </c>
      <c r="C1157" t="s">
        <v>31</v>
      </c>
      <c r="D1157" t="s">
        <v>27</v>
      </c>
      <c r="E1157">
        <v>10800</v>
      </c>
      <c r="F1157" t="s">
        <v>14</v>
      </c>
      <c r="G1157" t="s">
        <v>15</v>
      </c>
      <c r="H1157" t="s">
        <v>16</v>
      </c>
      <c r="I1157" t="s">
        <v>17</v>
      </c>
      <c r="J1157" t="s">
        <v>41</v>
      </c>
      <c r="K1157">
        <v>0.1</v>
      </c>
      <c r="L115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157">
        <f>GhanaStream[[#This Row],[Subscription Fee]]-(GhanaStream[[#This Row],[Discount]]*GhanaStream[[#This Row],[Subscription Fee]])</f>
        <v>9720</v>
      </c>
      <c r="N1157" t="str">
        <f>IF(GhanaStream[[#This Row],[Churn Flag]]="Yes","Churned","Retained")</f>
        <v>Churned</v>
      </c>
    </row>
    <row r="1158" spans="1:14" x14ac:dyDescent="0.25">
      <c r="A1158" t="s">
        <v>1196</v>
      </c>
      <c r="B1158" s="1">
        <v>45413</v>
      </c>
      <c r="C1158" t="s">
        <v>20</v>
      </c>
      <c r="D1158" t="s">
        <v>27</v>
      </c>
      <c r="E1158">
        <v>5400</v>
      </c>
      <c r="F1158" t="s">
        <v>32</v>
      </c>
      <c r="G1158" t="s">
        <v>15</v>
      </c>
      <c r="H1158" t="s">
        <v>33</v>
      </c>
      <c r="I1158" t="s">
        <v>34</v>
      </c>
      <c r="J1158" t="s">
        <v>44</v>
      </c>
      <c r="K1158">
        <v>0.1</v>
      </c>
      <c r="L115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158">
        <f>GhanaStream[[#This Row],[Subscription Fee]]-(GhanaStream[[#This Row],[Discount]]*GhanaStream[[#This Row],[Subscription Fee]])</f>
        <v>4860</v>
      </c>
      <c r="N1158" t="str">
        <f>IF(GhanaStream[[#This Row],[Churn Flag]]="Yes","Churned","Retained")</f>
        <v>Retained</v>
      </c>
    </row>
    <row r="1159" spans="1:14" x14ac:dyDescent="0.25">
      <c r="A1159" t="s">
        <v>1197</v>
      </c>
      <c r="B1159" s="1">
        <v>45077</v>
      </c>
      <c r="C1159" t="s">
        <v>12</v>
      </c>
      <c r="D1159" t="s">
        <v>13</v>
      </c>
      <c r="E1159">
        <v>1500</v>
      </c>
      <c r="F1159" t="s">
        <v>21</v>
      </c>
      <c r="G1159" t="s">
        <v>15</v>
      </c>
      <c r="H1159" t="s">
        <v>16</v>
      </c>
      <c r="I1159" t="s">
        <v>17</v>
      </c>
      <c r="J1159" t="s">
        <v>22</v>
      </c>
      <c r="K1159">
        <v>0</v>
      </c>
      <c r="L115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159">
        <f>GhanaStream[[#This Row],[Subscription Fee]]-(GhanaStream[[#This Row],[Discount]]*GhanaStream[[#This Row],[Subscription Fee]])</f>
        <v>1500</v>
      </c>
      <c r="N1159" t="str">
        <f>IF(GhanaStream[[#This Row],[Churn Flag]]="Yes","Churned","Retained")</f>
        <v>Churned</v>
      </c>
    </row>
    <row r="1160" spans="1:14" x14ac:dyDescent="0.25">
      <c r="A1160" t="s">
        <v>1198</v>
      </c>
      <c r="B1160" s="1">
        <v>45638</v>
      </c>
      <c r="C1160" t="s">
        <v>12</v>
      </c>
      <c r="D1160" t="s">
        <v>13</v>
      </c>
      <c r="E1160">
        <v>1500</v>
      </c>
      <c r="F1160" t="s">
        <v>49</v>
      </c>
      <c r="G1160" t="s">
        <v>24</v>
      </c>
      <c r="H1160" t="s">
        <v>16</v>
      </c>
      <c r="I1160" t="s">
        <v>17</v>
      </c>
      <c r="J1160" t="s">
        <v>18</v>
      </c>
      <c r="K1160">
        <v>0</v>
      </c>
      <c r="L116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160">
        <f>GhanaStream[[#This Row],[Subscription Fee]]-(GhanaStream[[#This Row],[Discount]]*GhanaStream[[#This Row],[Subscription Fee]])</f>
        <v>1500</v>
      </c>
      <c r="N1160" t="str">
        <f>IF(GhanaStream[[#This Row],[Churn Flag]]="Yes","Churned","Retained")</f>
        <v>Churned</v>
      </c>
    </row>
    <row r="1161" spans="1:14" x14ac:dyDescent="0.25">
      <c r="A1161" t="s">
        <v>1199</v>
      </c>
      <c r="B1161" s="1">
        <v>45514</v>
      </c>
      <c r="C1161" t="s">
        <v>20</v>
      </c>
      <c r="D1161" t="s">
        <v>13</v>
      </c>
      <c r="E1161">
        <v>500</v>
      </c>
      <c r="F1161" t="s">
        <v>32</v>
      </c>
      <c r="G1161" t="s">
        <v>28</v>
      </c>
      <c r="H1161" t="s">
        <v>16</v>
      </c>
      <c r="I1161" t="s">
        <v>17</v>
      </c>
      <c r="J1161" t="s">
        <v>25</v>
      </c>
      <c r="K1161">
        <v>0</v>
      </c>
      <c r="L116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161">
        <f>GhanaStream[[#This Row],[Subscription Fee]]-(GhanaStream[[#This Row],[Discount]]*GhanaStream[[#This Row],[Subscription Fee]])</f>
        <v>500</v>
      </c>
      <c r="N1161" t="str">
        <f>IF(GhanaStream[[#This Row],[Churn Flag]]="Yes","Churned","Retained")</f>
        <v>Churned</v>
      </c>
    </row>
    <row r="1162" spans="1:14" x14ac:dyDescent="0.25">
      <c r="A1162" t="s">
        <v>1200</v>
      </c>
      <c r="B1162" s="1">
        <v>45397</v>
      </c>
      <c r="C1162" t="s">
        <v>31</v>
      </c>
      <c r="D1162" t="s">
        <v>27</v>
      </c>
      <c r="E1162">
        <v>10800</v>
      </c>
      <c r="F1162" t="s">
        <v>49</v>
      </c>
      <c r="G1162" t="s">
        <v>24</v>
      </c>
      <c r="H1162" t="s">
        <v>16</v>
      </c>
      <c r="I1162" t="s">
        <v>17</v>
      </c>
      <c r="J1162" t="s">
        <v>50</v>
      </c>
      <c r="K1162">
        <v>0.1</v>
      </c>
      <c r="L116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162">
        <f>GhanaStream[[#This Row],[Subscription Fee]]-(GhanaStream[[#This Row],[Discount]]*GhanaStream[[#This Row],[Subscription Fee]])</f>
        <v>9720</v>
      </c>
      <c r="N1162" t="str">
        <f>IF(GhanaStream[[#This Row],[Churn Flag]]="Yes","Churned","Retained")</f>
        <v>Churned</v>
      </c>
    </row>
    <row r="1163" spans="1:14" x14ac:dyDescent="0.25">
      <c r="A1163" t="s">
        <v>1201</v>
      </c>
      <c r="B1163" s="1">
        <v>45056</v>
      </c>
      <c r="C1163" t="s">
        <v>20</v>
      </c>
      <c r="D1163" t="s">
        <v>27</v>
      </c>
      <c r="E1163">
        <v>5400</v>
      </c>
      <c r="F1163" t="s">
        <v>49</v>
      </c>
      <c r="G1163" t="s">
        <v>28</v>
      </c>
      <c r="H1163" t="s">
        <v>16</v>
      </c>
      <c r="I1163" t="s">
        <v>17</v>
      </c>
      <c r="J1163" t="s">
        <v>50</v>
      </c>
      <c r="K1163">
        <v>0.1</v>
      </c>
      <c r="L116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163">
        <f>GhanaStream[[#This Row],[Subscription Fee]]-(GhanaStream[[#This Row],[Discount]]*GhanaStream[[#This Row],[Subscription Fee]])</f>
        <v>4860</v>
      </c>
      <c r="N1163" t="str">
        <f>IF(GhanaStream[[#This Row],[Churn Flag]]="Yes","Churned","Retained")</f>
        <v>Churned</v>
      </c>
    </row>
    <row r="1164" spans="1:14" x14ac:dyDescent="0.25">
      <c r="A1164" t="s">
        <v>1202</v>
      </c>
      <c r="B1164" s="1">
        <v>45458</v>
      </c>
      <c r="C1164" t="s">
        <v>12</v>
      </c>
      <c r="D1164" t="s">
        <v>13</v>
      </c>
      <c r="E1164">
        <v>1500</v>
      </c>
      <c r="F1164" t="s">
        <v>14</v>
      </c>
      <c r="G1164" t="s">
        <v>15</v>
      </c>
      <c r="H1164" t="s">
        <v>33</v>
      </c>
      <c r="I1164" t="s">
        <v>34</v>
      </c>
      <c r="J1164" t="s">
        <v>22</v>
      </c>
      <c r="K1164">
        <v>0</v>
      </c>
      <c r="L116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164">
        <f>GhanaStream[[#This Row],[Subscription Fee]]-(GhanaStream[[#This Row],[Discount]]*GhanaStream[[#This Row],[Subscription Fee]])</f>
        <v>1500</v>
      </c>
      <c r="N1164" t="str">
        <f>IF(GhanaStream[[#This Row],[Churn Flag]]="Yes","Churned","Retained")</f>
        <v>Retained</v>
      </c>
    </row>
    <row r="1165" spans="1:14" x14ac:dyDescent="0.25">
      <c r="A1165" t="s">
        <v>1203</v>
      </c>
      <c r="B1165" s="1">
        <v>45539</v>
      </c>
      <c r="C1165" t="s">
        <v>31</v>
      </c>
      <c r="D1165" t="s">
        <v>13</v>
      </c>
      <c r="E1165">
        <v>1000</v>
      </c>
      <c r="F1165" t="s">
        <v>21</v>
      </c>
      <c r="G1165" t="s">
        <v>28</v>
      </c>
      <c r="H1165" t="s">
        <v>16</v>
      </c>
      <c r="I1165" t="s">
        <v>17</v>
      </c>
      <c r="J1165" t="s">
        <v>25</v>
      </c>
      <c r="K1165">
        <v>0</v>
      </c>
      <c r="L116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165">
        <f>GhanaStream[[#This Row],[Subscription Fee]]-(GhanaStream[[#This Row],[Discount]]*GhanaStream[[#This Row],[Subscription Fee]])</f>
        <v>1000</v>
      </c>
      <c r="N1165" t="str">
        <f>IF(GhanaStream[[#This Row],[Churn Flag]]="Yes","Churned","Retained")</f>
        <v>Churned</v>
      </c>
    </row>
    <row r="1166" spans="1:14" x14ac:dyDescent="0.25">
      <c r="A1166" t="s">
        <v>1204</v>
      </c>
      <c r="B1166" s="1">
        <v>45221</v>
      </c>
      <c r="C1166" t="s">
        <v>31</v>
      </c>
      <c r="D1166" t="s">
        <v>13</v>
      </c>
      <c r="E1166">
        <v>1000</v>
      </c>
      <c r="F1166" t="s">
        <v>14</v>
      </c>
      <c r="G1166" t="s">
        <v>28</v>
      </c>
      <c r="H1166" t="s">
        <v>33</v>
      </c>
      <c r="I1166" t="s">
        <v>34</v>
      </c>
      <c r="J1166" t="s">
        <v>37</v>
      </c>
      <c r="K1166">
        <v>0</v>
      </c>
      <c r="L116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166">
        <f>GhanaStream[[#This Row],[Subscription Fee]]-(GhanaStream[[#This Row],[Discount]]*GhanaStream[[#This Row],[Subscription Fee]])</f>
        <v>1000</v>
      </c>
      <c r="N1166" t="str">
        <f>IF(GhanaStream[[#This Row],[Churn Flag]]="Yes","Churned","Retained")</f>
        <v>Retained</v>
      </c>
    </row>
    <row r="1167" spans="1:14" x14ac:dyDescent="0.25">
      <c r="A1167" t="s">
        <v>1205</v>
      </c>
      <c r="B1167" s="1">
        <v>45244</v>
      </c>
      <c r="C1167" t="s">
        <v>12</v>
      </c>
      <c r="D1167" t="s">
        <v>27</v>
      </c>
      <c r="E1167">
        <v>16200</v>
      </c>
      <c r="F1167" t="s">
        <v>14</v>
      </c>
      <c r="G1167" t="s">
        <v>28</v>
      </c>
      <c r="H1167" t="s">
        <v>33</v>
      </c>
      <c r="I1167" t="s">
        <v>34</v>
      </c>
      <c r="J1167" t="s">
        <v>18</v>
      </c>
      <c r="K1167">
        <v>0.1</v>
      </c>
      <c r="L116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167">
        <f>GhanaStream[[#This Row],[Subscription Fee]]-(GhanaStream[[#This Row],[Discount]]*GhanaStream[[#This Row],[Subscription Fee]])</f>
        <v>14580</v>
      </c>
      <c r="N1167" t="str">
        <f>IF(GhanaStream[[#This Row],[Churn Flag]]="Yes","Churned","Retained")</f>
        <v>Retained</v>
      </c>
    </row>
    <row r="1168" spans="1:14" x14ac:dyDescent="0.25">
      <c r="A1168" t="s">
        <v>1206</v>
      </c>
      <c r="B1168" s="1">
        <v>45373</v>
      </c>
      <c r="C1168" t="s">
        <v>31</v>
      </c>
      <c r="D1168" t="s">
        <v>13</v>
      </c>
      <c r="E1168">
        <v>1000</v>
      </c>
      <c r="F1168" t="s">
        <v>32</v>
      </c>
      <c r="G1168" t="s">
        <v>24</v>
      </c>
      <c r="H1168" t="s">
        <v>33</v>
      </c>
      <c r="I1168" t="s">
        <v>34</v>
      </c>
      <c r="J1168" t="s">
        <v>39</v>
      </c>
      <c r="K1168">
        <v>0</v>
      </c>
      <c r="L116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168">
        <f>GhanaStream[[#This Row],[Subscription Fee]]-(GhanaStream[[#This Row],[Discount]]*GhanaStream[[#This Row],[Subscription Fee]])</f>
        <v>1000</v>
      </c>
      <c r="N1168" t="str">
        <f>IF(GhanaStream[[#This Row],[Churn Flag]]="Yes","Churned","Retained")</f>
        <v>Retained</v>
      </c>
    </row>
    <row r="1169" spans="1:14" x14ac:dyDescent="0.25">
      <c r="A1169" t="s">
        <v>1207</v>
      </c>
      <c r="B1169" s="1">
        <v>45302</v>
      </c>
      <c r="C1169" t="s">
        <v>20</v>
      </c>
      <c r="D1169" t="s">
        <v>27</v>
      </c>
      <c r="E1169">
        <v>5400</v>
      </c>
      <c r="F1169" t="s">
        <v>32</v>
      </c>
      <c r="G1169" t="s">
        <v>24</v>
      </c>
      <c r="H1169" t="s">
        <v>33</v>
      </c>
      <c r="I1169" t="s">
        <v>34</v>
      </c>
      <c r="J1169" t="s">
        <v>66</v>
      </c>
      <c r="K1169">
        <v>0.1</v>
      </c>
      <c r="L116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169">
        <f>GhanaStream[[#This Row],[Subscription Fee]]-(GhanaStream[[#This Row],[Discount]]*GhanaStream[[#This Row],[Subscription Fee]])</f>
        <v>4860</v>
      </c>
      <c r="N1169" t="str">
        <f>IF(GhanaStream[[#This Row],[Churn Flag]]="Yes","Churned","Retained")</f>
        <v>Retained</v>
      </c>
    </row>
    <row r="1170" spans="1:14" x14ac:dyDescent="0.25">
      <c r="A1170" t="s">
        <v>1208</v>
      </c>
      <c r="B1170" s="1">
        <v>45347</v>
      </c>
      <c r="C1170" t="s">
        <v>20</v>
      </c>
      <c r="D1170" t="s">
        <v>27</v>
      </c>
      <c r="E1170">
        <v>5400</v>
      </c>
      <c r="F1170" t="s">
        <v>14</v>
      </c>
      <c r="G1170" t="s">
        <v>28</v>
      </c>
      <c r="H1170" t="s">
        <v>16</v>
      </c>
      <c r="I1170" t="s">
        <v>17</v>
      </c>
      <c r="J1170" t="s">
        <v>41</v>
      </c>
      <c r="K1170">
        <v>0.1</v>
      </c>
      <c r="L117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170">
        <f>GhanaStream[[#This Row],[Subscription Fee]]-(GhanaStream[[#This Row],[Discount]]*GhanaStream[[#This Row],[Subscription Fee]])</f>
        <v>4860</v>
      </c>
      <c r="N1170" t="str">
        <f>IF(GhanaStream[[#This Row],[Churn Flag]]="Yes","Churned","Retained")</f>
        <v>Churned</v>
      </c>
    </row>
    <row r="1171" spans="1:14" x14ac:dyDescent="0.25">
      <c r="A1171" t="s">
        <v>1209</v>
      </c>
      <c r="B1171" s="1">
        <v>45117</v>
      </c>
      <c r="C1171" t="s">
        <v>20</v>
      </c>
      <c r="D1171" t="s">
        <v>27</v>
      </c>
      <c r="E1171">
        <v>5400</v>
      </c>
      <c r="F1171" t="s">
        <v>21</v>
      </c>
      <c r="G1171" t="s">
        <v>15</v>
      </c>
      <c r="H1171" t="s">
        <v>16</v>
      </c>
      <c r="I1171" t="s">
        <v>17</v>
      </c>
      <c r="J1171" t="s">
        <v>22</v>
      </c>
      <c r="K1171">
        <v>0.1</v>
      </c>
      <c r="L117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171">
        <f>GhanaStream[[#This Row],[Subscription Fee]]-(GhanaStream[[#This Row],[Discount]]*GhanaStream[[#This Row],[Subscription Fee]])</f>
        <v>4860</v>
      </c>
      <c r="N1171" t="str">
        <f>IF(GhanaStream[[#This Row],[Churn Flag]]="Yes","Churned","Retained")</f>
        <v>Churned</v>
      </c>
    </row>
    <row r="1172" spans="1:14" x14ac:dyDescent="0.25">
      <c r="A1172" t="s">
        <v>1210</v>
      </c>
      <c r="B1172" s="1">
        <v>45475</v>
      </c>
      <c r="C1172" t="s">
        <v>31</v>
      </c>
      <c r="D1172" t="s">
        <v>27</v>
      </c>
      <c r="E1172">
        <v>10800</v>
      </c>
      <c r="F1172" t="s">
        <v>49</v>
      </c>
      <c r="G1172" t="s">
        <v>15</v>
      </c>
      <c r="H1172" t="s">
        <v>33</v>
      </c>
      <c r="I1172" t="s">
        <v>34</v>
      </c>
      <c r="J1172" t="s">
        <v>25</v>
      </c>
      <c r="K1172">
        <v>0.1</v>
      </c>
      <c r="L117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172">
        <f>GhanaStream[[#This Row],[Subscription Fee]]-(GhanaStream[[#This Row],[Discount]]*GhanaStream[[#This Row],[Subscription Fee]])</f>
        <v>9720</v>
      </c>
      <c r="N1172" t="str">
        <f>IF(GhanaStream[[#This Row],[Churn Flag]]="Yes","Churned","Retained")</f>
        <v>Retained</v>
      </c>
    </row>
    <row r="1173" spans="1:14" x14ac:dyDescent="0.25">
      <c r="A1173" t="s">
        <v>1211</v>
      </c>
      <c r="B1173" s="1">
        <v>45468</v>
      </c>
      <c r="C1173" t="s">
        <v>31</v>
      </c>
      <c r="D1173" t="s">
        <v>13</v>
      </c>
      <c r="E1173">
        <v>1000</v>
      </c>
      <c r="F1173" t="s">
        <v>14</v>
      </c>
      <c r="G1173" t="s">
        <v>15</v>
      </c>
      <c r="H1173" t="s">
        <v>16</v>
      </c>
      <c r="I1173" t="s">
        <v>17</v>
      </c>
      <c r="J1173" t="s">
        <v>37</v>
      </c>
      <c r="K1173">
        <v>0</v>
      </c>
      <c r="L117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173">
        <f>GhanaStream[[#This Row],[Subscription Fee]]-(GhanaStream[[#This Row],[Discount]]*GhanaStream[[#This Row],[Subscription Fee]])</f>
        <v>1000</v>
      </c>
      <c r="N1173" t="str">
        <f>IF(GhanaStream[[#This Row],[Churn Flag]]="Yes","Churned","Retained")</f>
        <v>Churned</v>
      </c>
    </row>
    <row r="1174" spans="1:14" x14ac:dyDescent="0.25">
      <c r="A1174" t="s">
        <v>1212</v>
      </c>
      <c r="B1174" s="1">
        <v>45560</v>
      </c>
      <c r="C1174" t="s">
        <v>12</v>
      </c>
      <c r="D1174" t="s">
        <v>13</v>
      </c>
      <c r="E1174">
        <v>1500</v>
      </c>
      <c r="F1174" t="s">
        <v>21</v>
      </c>
      <c r="G1174" t="s">
        <v>15</v>
      </c>
      <c r="H1174" t="s">
        <v>16</v>
      </c>
      <c r="I1174" t="s">
        <v>17</v>
      </c>
      <c r="J1174" t="s">
        <v>29</v>
      </c>
      <c r="K1174">
        <v>0</v>
      </c>
      <c r="L117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174">
        <f>GhanaStream[[#This Row],[Subscription Fee]]-(GhanaStream[[#This Row],[Discount]]*GhanaStream[[#This Row],[Subscription Fee]])</f>
        <v>1500</v>
      </c>
      <c r="N1174" t="str">
        <f>IF(GhanaStream[[#This Row],[Churn Flag]]="Yes","Churned","Retained")</f>
        <v>Churned</v>
      </c>
    </row>
    <row r="1175" spans="1:14" x14ac:dyDescent="0.25">
      <c r="A1175" t="s">
        <v>1213</v>
      </c>
      <c r="B1175" s="1">
        <v>45224</v>
      </c>
      <c r="C1175" t="s">
        <v>20</v>
      </c>
      <c r="D1175" t="s">
        <v>13</v>
      </c>
      <c r="E1175">
        <v>500</v>
      </c>
      <c r="F1175" t="s">
        <v>21</v>
      </c>
      <c r="G1175" t="s">
        <v>28</v>
      </c>
      <c r="H1175" t="s">
        <v>33</v>
      </c>
      <c r="I1175" t="s">
        <v>34</v>
      </c>
      <c r="J1175" t="s">
        <v>18</v>
      </c>
      <c r="K1175">
        <v>0</v>
      </c>
      <c r="L117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175">
        <f>GhanaStream[[#This Row],[Subscription Fee]]-(GhanaStream[[#This Row],[Discount]]*GhanaStream[[#This Row],[Subscription Fee]])</f>
        <v>500</v>
      </c>
      <c r="N1175" t="str">
        <f>IF(GhanaStream[[#This Row],[Churn Flag]]="Yes","Churned","Retained")</f>
        <v>Retained</v>
      </c>
    </row>
    <row r="1176" spans="1:14" x14ac:dyDescent="0.25">
      <c r="A1176" t="s">
        <v>1214</v>
      </c>
      <c r="B1176" s="1">
        <v>45237</v>
      </c>
      <c r="C1176" t="s">
        <v>31</v>
      </c>
      <c r="D1176" t="s">
        <v>27</v>
      </c>
      <c r="E1176">
        <v>10800</v>
      </c>
      <c r="F1176" t="s">
        <v>21</v>
      </c>
      <c r="G1176" t="s">
        <v>28</v>
      </c>
      <c r="H1176" t="s">
        <v>33</v>
      </c>
      <c r="I1176" t="s">
        <v>34</v>
      </c>
      <c r="J1176" t="s">
        <v>18</v>
      </c>
      <c r="K1176">
        <v>0.1</v>
      </c>
      <c r="L117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176">
        <f>GhanaStream[[#This Row],[Subscription Fee]]-(GhanaStream[[#This Row],[Discount]]*GhanaStream[[#This Row],[Subscription Fee]])</f>
        <v>9720</v>
      </c>
      <c r="N1176" t="str">
        <f>IF(GhanaStream[[#This Row],[Churn Flag]]="Yes","Churned","Retained")</f>
        <v>Retained</v>
      </c>
    </row>
    <row r="1177" spans="1:14" x14ac:dyDescent="0.25">
      <c r="A1177" t="s">
        <v>1215</v>
      </c>
      <c r="B1177" s="1">
        <v>45206</v>
      </c>
      <c r="C1177" t="s">
        <v>20</v>
      </c>
      <c r="D1177" t="s">
        <v>27</v>
      </c>
      <c r="E1177">
        <v>5400</v>
      </c>
      <c r="F1177" t="s">
        <v>14</v>
      </c>
      <c r="G1177" t="s">
        <v>24</v>
      </c>
      <c r="H1177" t="s">
        <v>16</v>
      </c>
      <c r="I1177" t="s">
        <v>17</v>
      </c>
      <c r="J1177" t="s">
        <v>37</v>
      </c>
      <c r="K1177">
        <v>0.1</v>
      </c>
      <c r="L117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177">
        <f>GhanaStream[[#This Row],[Subscription Fee]]-(GhanaStream[[#This Row],[Discount]]*GhanaStream[[#This Row],[Subscription Fee]])</f>
        <v>4860</v>
      </c>
      <c r="N1177" t="str">
        <f>IF(GhanaStream[[#This Row],[Churn Flag]]="Yes","Churned","Retained")</f>
        <v>Churned</v>
      </c>
    </row>
    <row r="1178" spans="1:14" x14ac:dyDescent="0.25">
      <c r="A1178" t="s">
        <v>1216</v>
      </c>
      <c r="B1178" s="1">
        <v>45397</v>
      </c>
      <c r="C1178" t="s">
        <v>31</v>
      </c>
      <c r="D1178" t="s">
        <v>27</v>
      </c>
      <c r="E1178">
        <v>10800</v>
      </c>
      <c r="F1178" t="s">
        <v>14</v>
      </c>
      <c r="G1178" t="s">
        <v>24</v>
      </c>
      <c r="H1178" t="s">
        <v>16</v>
      </c>
      <c r="I1178" t="s">
        <v>17</v>
      </c>
      <c r="J1178" t="s">
        <v>37</v>
      </c>
      <c r="K1178">
        <v>0.1</v>
      </c>
      <c r="L117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178">
        <f>GhanaStream[[#This Row],[Subscription Fee]]-(GhanaStream[[#This Row],[Discount]]*GhanaStream[[#This Row],[Subscription Fee]])</f>
        <v>9720</v>
      </c>
      <c r="N1178" t="str">
        <f>IF(GhanaStream[[#This Row],[Churn Flag]]="Yes","Churned","Retained")</f>
        <v>Churned</v>
      </c>
    </row>
    <row r="1179" spans="1:14" x14ac:dyDescent="0.25">
      <c r="A1179" t="s">
        <v>1217</v>
      </c>
      <c r="B1179" s="1">
        <v>45267</v>
      </c>
      <c r="C1179" t="s">
        <v>12</v>
      </c>
      <c r="D1179" t="s">
        <v>27</v>
      </c>
      <c r="E1179">
        <v>16200</v>
      </c>
      <c r="F1179" t="s">
        <v>32</v>
      </c>
      <c r="G1179" t="s">
        <v>28</v>
      </c>
      <c r="H1179" t="s">
        <v>16</v>
      </c>
      <c r="I1179" t="s">
        <v>17</v>
      </c>
      <c r="J1179" t="s">
        <v>25</v>
      </c>
      <c r="K1179">
        <v>0.1</v>
      </c>
      <c r="L117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179">
        <f>GhanaStream[[#This Row],[Subscription Fee]]-(GhanaStream[[#This Row],[Discount]]*GhanaStream[[#This Row],[Subscription Fee]])</f>
        <v>14580</v>
      </c>
      <c r="N1179" t="str">
        <f>IF(GhanaStream[[#This Row],[Churn Flag]]="Yes","Churned","Retained")</f>
        <v>Churned</v>
      </c>
    </row>
    <row r="1180" spans="1:14" x14ac:dyDescent="0.25">
      <c r="A1180" t="s">
        <v>1218</v>
      </c>
      <c r="B1180" s="1">
        <v>45522</v>
      </c>
      <c r="C1180" t="s">
        <v>12</v>
      </c>
      <c r="D1180" t="s">
        <v>13</v>
      </c>
      <c r="E1180">
        <v>1500</v>
      </c>
      <c r="F1180" t="s">
        <v>32</v>
      </c>
      <c r="G1180" t="s">
        <v>28</v>
      </c>
      <c r="H1180" t="s">
        <v>16</v>
      </c>
      <c r="I1180" t="s">
        <v>17</v>
      </c>
      <c r="J1180" t="s">
        <v>25</v>
      </c>
      <c r="K1180">
        <v>0</v>
      </c>
      <c r="L118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180">
        <f>GhanaStream[[#This Row],[Subscription Fee]]-(GhanaStream[[#This Row],[Discount]]*GhanaStream[[#This Row],[Subscription Fee]])</f>
        <v>1500</v>
      </c>
      <c r="N1180" t="str">
        <f>IF(GhanaStream[[#This Row],[Churn Flag]]="Yes","Churned","Retained")</f>
        <v>Churned</v>
      </c>
    </row>
    <row r="1181" spans="1:14" x14ac:dyDescent="0.25">
      <c r="A1181" t="s">
        <v>1219</v>
      </c>
      <c r="B1181" s="1">
        <v>45084</v>
      </c>
      <c r="C1181" t="s">
        <v>12</v>
      </c>
      <c r="D1181" t="s">
        <v>13</v>
      </c>
      <c r="E1181">
        <v>1500</v>
      </c>
      <c r="F1181" t="s">
        <v>14</v>
      </c>
      <c r="G1181" t="s">
        <v>28</v>
      </c>
      <c r="H1181" t="s">
        <v>33</v>
      </c>
      <c r="I1181" t="s">
        <v>34</v>
      </c>
      <c r="J1181" t="s">
        <v>37</v>
      </c>
      <c r="K1181">
        <v>0</v>
      </c>
      <c r="L118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181">
        <f>GhanaStream[[#This Row],[Subscription Fee]]-(GhanaStream[[#This Row],[Discount]]*GhanaStream[[#This Row],[Subscription Fee]])</f>
        <v>1500</v>
      </c>
      <c r="N1181" t="str">
        <f>IF(GhanaStream[[#This Row],[Churn Flag]]="Yes","Churned","Retained")</f>
        <v>Retained</v>
      </c>
    </row>
    <row r="1182" spans="1:14" x14ac:dyDescent="0.25">
      <c r="A1182" t="s">
        <v>1220</v>
      </c>
      <c r="B1182" s="1">
        <v>45267</v>
      </c>
      <c r="C1182" t="s">
        <v>12</v>
      </c>
      <c r="D1182" t="s">
        <v>13</v>
      </c>
      <c r="E1182">
        <v>1500</v>
      </c>
      <c r="F1182" t="s">
        <v>32</v>
      </c>
      <c r="G1182" t="s">
        <v>15</v>
      </c>
      <c r="H1182" t="s">
        <v>16</v>
      </c>
      <c r="I1182" t="s">
        <v>17</v>
      </c>
      <c r="J1182" t="s">
        <v>66</v>
      </c>
      <c r="K1182">
        <v>0</v>
      </c>
      <c r="L118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182">
        <f>GhanaStream[[#This Row],[Subscription Fee]]-(GhanaStream[[#This Row],[Discount]]*GhanaStream[[#This Row],[Subscription Fee]])</f>
        <v>1500</v>
      </c>
      <c r="N1182" t="str">
        <f>IF(GhanaStream[[#This Row],[Churn Flag]]="Yes","Churned","Retained")</f>
        <v>Churned</v>
      </c>
    </row>
    <row r="1183" spans="1:14" x14ac:dyDescent="0.25">
      <c r="A1183" t="s">
        <v>1221</v>
      </c>
      <c r="B1183" s="1">
        <v>45478</v>
      </c>
      <c r="C1183" t="s">
        <v>20</v>
      </c>
      <c r="D1183" t="s">
        <v>13</v>
      </c>
      <c r="E1183">
        <v>500</v>
      </c>
      <c r="F1183" t="s">
        <v>14</v>
      </c>
      <c r="G1183" t="s">
        <v>24</v>
      </c>
      <c r="H1183" t="s">
        <v>16</v>
      </c>
      <c r="I1183" t="s">
        <v>17</v>
      </c>
      <c r="J1183" t="s">
        <v>55</v>
      </c>
      <c r="K1183">
        <v>0</v>
      </c>
      <c r="L118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183">
        <f>GhanaStream[[#This Row],[Subscription Fee]]-(GhanaStream[[#This Row],[Discount]]*GhanaStream[[#This Row],[Subscription Fee]])</f>
        <v>500</v>
      </c>
      <c r="N1183" t="str">
        <f>IF(GhanaStream[[#This Row],[Churn Flag]]="Yes","Churned","Retained")</f>
        <v>Churned</v>
      </c>
    </row>
    <row r="1184" spans="1:14" x14ac:dyDescent="0.25">
      <c r="A1184" t="s">
        <v>1222</v>
      </c>
      <c r="B1184" s="1">
        <v>45186</v>
      </c>
      <c r="C1184" t="s">
        <v>12</v>
      </c>
      <c r="D1184" t="s">
        <v>13</v>
      </c>
      <c r="E1184">
        <v>1500</v>
      </c>
      <c r="F1184" t="s">
        <v>21</v>
      </c>
      <c r="G1184" t="s">
        <v>15</v>
      </c>
      <c r="H1184" t="s">
        <v>33</v>
      </c>
      <c r="I1184" t="s">
        <v>34</v>
      </c>
      <c r="J1184" t="s">
        <v>29</v>
      </c>
      <c r="K1184">
        <v>0</v>
      </c>
      <c r="L118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184">
        <f>GhanaStream[[#This Row],[Subscription Fee]]-(GhanaStream[[#This Row],[Discount]]*GhanaStream[[#This Row],[Subscription Fee]])</f>
        <v>1500</v>
      </c>
      <c r="N1184" t="str">
        <f>IF(GhanaStream[[#This Row],[Churn Flag]]="Yes","Churned","Retained")</f>
        <v>Retained</v>
      </c>
    </row>
    <row r="1185" spans="1:14" x14ac:dyDescent="0.25">
      <c r="A1185" t="s">
        <v>1223</v>
      </c>
      <c r="B1185" s="1">
        <v>45339</v>
      </c>
      <c r="C1185" t="s">
        <v>31</v>
      </c>
      <c r="D1185" t="s">
        <v>13</v>
      </c>
      <c r="E1185">
        <v>1000</v>
      </c>
      <c r="F1185" t="s">
        <v>32</v>
      </c>
      <c r="G1185" t="s">
        <v>28</v>
      </c>
      <c r="H1185" t="s">
        <v>33</v>
      </c>
      <c r="I1185" t="s">
        <v>34</v>
      </c>
      <c r="J1185" t="s">
        <v>66</v>
      </c>
      <c r="K1185">
        <v>0</v>
      </c>
      <c r="L118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185">
        <f>GhanaStream[[#This Row],[Subscription Fee]]-(GhanaStream[[#This Row],[Discount]]*GhanaStream[[#This Row],[Subscription Fee]])</f>
        <v>1000</v>
      </c>
      <c r="N1185" t="str">
        <f>IF(GhanaStream[[#This Row],[Churn Flag]]="Yes","Churned","Retained")</f>
        <v>Retained</v>
      </c>
    </row>
    <row r="1186" spans="1:14" x14ac:dyDescent="0.25">
      <c r="A1186" t="s">
        <v>1224</v>
      </c>
      <c r="B1186" s="1">
        <v>45189</v>
      </c>
      <c r="C1186" t="s">
        <v>20</v>
      </c>
      <c r="D1186" t="s">
        <v>13</v>
      </c>
      <c r="E1186">
        <v>500</v>
      </c>
      <c r="F1186" t="s">
        <v>32</v>
      </c>
      <c r="G1186" t="s">
        <v>28</v>
      </c>
      <c r="H1186" t="s">
        <v>33</v>
      </c>
      <c r="I1186" t="s">
        <v>34</v>
      </c>
      <c r="J1186" t="s">
        <v>25</v>
      </c>
      <c r="K1186">
        <v>0</v>
      </c>
      <c r="L118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186">
        <f>GhanaStream[[#This Row],[Subscription Fee]]-(GhanaStream[[#This Row],[Discount]]*GhanaStream[[#This Row],[Subscription Fee]])</f>
        <v>500</v>
      </c>
      <c r="N1186" t="str">
        <f>IF(GhanaStream[[#This Row],[Churn Flag]]="Yes","Churned","Retained")</f>
        <v>Retained</v>
      </c>
    </row>
    <row r="1187" spans="1:14" x14ac:dyDescent="0.25">
      <c r="A1187" t="s">
        <v>1225</v>
      </c>
      <c r="B1187" s="1">
        <v>45271</v>
      </c>
      <c r="C1187" t="s">
        <v>20</v>
      </c>
      <c r="D1187" t="s">
        <v>13</v>
      </c>
      <c r="E1187">
        <v>500</v>
      </c>
      <c r="F1187" t="s">
        <v>21</v>
      </c>
      <c r="G1187" t="s">
        <v>15</v>
      </c>
      <c r="H1187" t="s">
        <v>33</v>
      </c>
      <c r="I1187" t="s">
        <v>34</v>
      </c>
      <c r="J1187" t="s">
        <v>25</v>
      </c>
      <c r="K1187">
        <v>0</v>
      </c>
      <c r="L118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187">
        <f>GhanaStream[[#This Row],[Subscription Fee]]-(GhanaStream[[#This Row],[Discount]]*GhanaStream[[#This Row],[Subscription Fee]])</f>
        <v>500</v>
      </c>
      <c r="N1187" t="str">
        <f>IF(GhanaStream[[#This Row],[Churn Flag]]="Yes","Churned","Retained")</f>
        <v>Retained</v>
      </c>
    </row>
    <row r="1188" spans="1:14" x14ac:dyDescent="0.25">
      <c r="A1188" t="s">
        <v>1226</v>
      </c>
      <c r="B1188" s="1">
        <v>45283</v>
      </c>
      <c r="C1188" t="s">
        <v>31</v>
      </c>
      <c r="D1188" t="s">
        <v>13</v>
      </c>
      <c r="E1188">
        <v>1000</v>
      </c>
      <c r="F1188" t="s">
        <v>49</v>
      </c>
      <c r="G1188" t="s">
        <v>15</v>
      </c>
      <c r="H1188" t="s">
        <v>16</v>
      </c>
      <c r="I1188" t="s">
        <v>17</v>
      </c>
      <c r="J1188" t="s">
        <v>58</v>
      </c>
      <c r="K1188">
        <v>0</v>
      </c>
      <c r="L118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188">
        <f>GhanaStream[[#This Row],[Subscription Fee]]-(GhanaStream[[#This Row],[Discount]]*GhanaStream[[#This Row],[Subscription Fee]])</f>
        <v>1000</v>
      </c>
      <c r="N1188" t="str">
        <f>IF(GhanaStream[[#This Row],[Churn Flag]]="Yes","Churned","Retained")</f>
        <v>Churned</v>
      </c>
    </row>
    <row r="1189" spans="1:14" x14ac:dyDescent="0.25">
      <c r="A1189" t="s">
        <v>1227</v>
      </c>
      <c r="B1189" s="1">
        <v>45571</v>
      </c>
      <c r="C1189" t="s">
        <v>20</v>
      </c>
      <c r="D1189" t="s">
        <v>13</v>
      </c>
      <c r="E1189">
        <v>500</v>
      </c>
      <c r="F1189" t="s">
        <v>21</v>
      </c>
      <c r="G1189" t="s">
        <v>24</v>
      </c>
      <c r="H1189" t="s">
        <v>33</v>
      </c>
      <c r="I1189" t="s">
        <v>34</v>
      </c>
      <c r="J1189" t="s">
        <v>22</v>
      </c>
      <c r="K1189">
        <v>0</v>
      </c>
      <c r="L118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189">
        <f>GhanaStream[[#This Row],[Subscription Fee]]-(GhanaStream[[#This Row],[Discount]]*GhanaStream[[#This Row],[Subscription Fee]])</f>
        <v>500</v>
      </c>
      <c r="N1189" t="str">
        <f>IF(GhanaStream[[#This Row],[Churn Flag]]="Yes","Churned","Retained")</f>
        <v>Retained</v>
      </c>
    </row>
    <row r="1190" spans="1:14" x14ac:dyDescent="0.25">
      <c r="A1190" t="s">
        <v>1228</v>
      </c>
      <c r="B1190" s="1">
        <v>45454</v>
      </c>
      <c r="C1190" t="s">
        <v>20</v>
      </c>
      <c r="D1190" t="s">
        <v>27</v>
      </c>
      <c r="E1190">
        <v>5400</v>
      </c>
      <c r="F1190" t="s">
        <v>14</v>
      </c>
      <c r="G1190" t="s">
        <v>28</v>
      </c>
      <c r="H1190" t="s">
        <v>33</v>
      </c>
      <c r="I1190" t="s">
        <v>34</v>
      </c>
      <c r="J1190" t="s">
        <v>55</v>
      </c>
      <c r="K1190">
        <v>0.1</v>
      </c>
      <c r="L119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190">
        <f>GhanaStream[[#This Row],[Subscription Fee]]-(GhanaStream[[#This Row],[Discount]]*GhanaStream[[#This Row],[Subscription Fee]])</f>
        <v>4860</v>
      </c>
      <c r="N1190" t="str">
        <f>IF(GhanaStream[[#This Row],[Churn Flag]]="Yes","Churned","Retained")</f>
        <v>Retained</v>
      </c>
    </row>
    <row r="1191" spans="1:14" x14ac:dyDescent="0.25">
      <c r="A1191" t="s">
        <v>1229</v>
      </c>
      <c r="B1191" s="1">
        <v>45496</v>
      </c>
      <c r="C1191" t="s">
        <v>12</v>
      </c>
      <c r="D1191" t="s">
        <v>27</v>
      </c>
      <c r="E1191">
        <v>16200</v>
      </c>
      <c r="F1191" t="s">
        <v>21</v>
      </c>
      <c r="G1191" t="s">
        <v>28</v>
      </c>
      <c r="H1191" t="s">
        <v>33</v>
      </c>
      <c r="I1191" t="s">
        <v>34</v>
      </c>
      <c r="J1191" t="s">
        <v>29</v>
      </c>
      <c r="K1191">
        <v>0.1</v>
      </c>
      <c r="L119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191">
        <f>GhanaStream[[#This Row],[Subscription Fee]]-(GhanaStream[[#This Row],[Discount]]*GhanaStream[[#This Row],[Subscription Fee]])</f>
        <v>14580</v>
      </c>
      <c r="N1191" t="str">
        <f>IF(GhanaStream[[#This Row],[Churn Flag]]="Yes","Churned","Retained")</f>
        <v>Retained</v>
      </c>
    </row>
    <row r="1192" spans="1:14" x14ac:dyDescent="0.25">
      <c r="A1192" t="s">
        <v>1230</v>
      </c>
      <c r="B1192" s="1">
        <v>45552</v>
      </c>
      <c r="C1192" t="s">
        <v>12</v>
      </c>
      <c r="D1192" t="s">
        <v>13</v>
      </c>
      <c r="E1192">
        <v>1500</v>
      </c>
      <c r="F1192" t="s">
        <v>14</v>
      </c>
      <c r="G1192" t="s">
        <v>15</v>
      </c>
      <c r="H1192" t="s">
        <v>16</v>
      </c>
      <c r="I1192" t="s">
        <v>17</v>
      </c>
      <c r="J1192" t="s">
        <v>55</v>
      </c>
      <c r="K1192">
        <v>0</v>
      </c>
      <c r="L119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192">
        <f>GhanaStream[[#This Row],[Subscription Fee]]-(GhanaStream[[#This Row],[Discount]]*GhanaStream[[#This Row],[Subscription Fee]])</f>
        <v>1500</v>
      </c>
      <c r="N1192" t="str">
        <f>IF(GhanaStream[[#This Row],[Churn Flag]]="Yes","Churned","Retained")</f>
        <v>Churned</v>
      </c>
    </row>
    <row r="1193" spans="1:14" x14ac:dyDescent="0.25">
      <c r="A1193" t="s">
        <v>1231</v>
      </c>
      <c r="B1193" s="1">
        <v>45220</v>
      </c>
      <c r="C1193" t="s">
        <v>20</v>
      </c>
      <c r="D1193" t="s">
        <v>13</v>
      </c>
      <c r="E1193">
        <v>500</v>
      </c>
      <c r="F1193" t="s">
        <v>49</v>
      </c>
      <c r="G1193" t="s">
        <v>28</v>
      </c>
      <c r="H1193" t="s">
        <v>33</v>
      </c>
      <c r="I1193" t="s">
        <v>34</v>
      </c>
      <c r="J1193" t="s">
        <v>25</v>
      </c>
      <c r="K1193">
        <v>0</v>
      </c>
      <c r="L119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193">
        <f>GhanaStream[[#This Row],[Subscription Fee]]-(GhanaStream[[#This Row],[Discount]]*GhanaStream[[#This Row],[Subscription Fee]])</f>
        <v>500</v>
      </c>
      <c r="N1193" t="str">
        <f>IF(GhanaStream[[#This Row],[Churn Flag]]="Yes","Churned","Retained")</f>
        <v>Retained</v>
      </c>
    </row>
    <row r="1194" spans="1:14" x14ac:dyDescent="0.25">
      <c r="A1194" t="s">
        <v>1232</v>
      </c>
      <c r="B1194" s="1">
        <v>45605</v>
      </c>
      <c r="C1194" t="s">
        <v>31</v>
      </c>
      <c r="D1194" t="s">
        <v>27</v>
      </c>
      <c r="E1194">
        <v>10800</v>
      </c>
      <c r="F1194" t="s">
        <v>32</v>
      </c>
      <c r="G1194" t="s">
        <v>24</v>
      </c>
      <c r="H1194" t="s">
        <v>33</v>
      </c>
      <c r="I1194" t="s">
        <v>34</v>
      </c>
      <c r="J1194" t="s">
        <v>44</v>
      </c>
      <c r="K1194">
        <v>0.1</v>
      </c>
      <c r="L119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194">
        <f>GhanaStream[[#This Row],[Subscription Fee]]-(GhanaStream[[#This Row],[Discount]]*GhanaStream[[#This Row],[Subscription Fee]])</f>
        <v>9720</v>
      </c>
      <c r="N1194" t="str">
        <f>IF(GhanaStream[[#This Row],[Churn Flag]]="Yes","Churned","Retained")</f>
        <v>Retained</v>
      </c>
    </row>
    <row r="1195" spans="1:14" x14ac:dyDescent="0.25">
      <c r="A1195" t="s">
        <v>1233</v>
      </c>
      <c r="B1195" s="1">
        <v>45148</v>
      </c>
      <c r="C1195" t="s">
        <v>12</v>
      </c>
      <c r="D1195" t="s">
        <v>13</v>
      </c>
      <c r="E1195">
        <v>1500</v>
      </c>
      <c r="F1195" t="s">
        <v>49</v>
      </c>
      <c r="G1195" t="s">
        <v>15</v>
      </c>
      <c r="H1195" t="s">
        <v>16</v>
      </c>
      <c r="I1195" t="s">
        <v>17</v>
      </c>
      <c r="J1195" t="s">
        <v>25</v>
      </c>
      <c r="K1195">
        <v>0</v>
      </c>
      <c r="L119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195">
        <f>GhanaStream[[#This Row],[Subscription Fee]]-(GhanaStream[[#This Row],[Discount]]*GhanaStream[[#This Row],[Subscription Fee]])</f>
        <v>1500</v>
      </c>
      <c r="N1195" t="str">
        <f>IF(GhanaStream[[#This Row],[Churn Flag]]="Yes","Churned","Retained")</f>
        <v>Churned</v>
      </c>
    </row>
    <row r="1196" spans="1:14" x14ac:dyDescent="0.25">
      <c r="A1196" t="s">
        <v>1234</v>
      </c>
      <c r="B1196" s="1">
        <v>45650</v>
      </c>
      <c r="C1196" t="s">
        <v>31</v>
      </c>
      <c r="D1196" t="s">
        <v>27</v>
      </c>
      <c r="E1196">
        <v>10800</v>
      </c>
      <c r="F1196" t="s">
        <v>32</v>
      </c>
      <c r="G1196" t="s">
        <v>28</v>
      </c>
      <c r="H1196" t="s">
        <v>16</v>
      </c>
      <c r="I1196" t="s">
        <v>17</v>
      </c>
      <c r="J1196" t="s">
        <v>39</v>
      </c>
      <c r="K1196">
        <v>0.1</v>
      </c>
      <c r="L119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196">
        <f>GhanaStream[[#This Row],[Subscription Fee]]-(GhanaStream[[#This Row],[Discount]]*GhanaStream[[#This Row],[Subscription Fee]])</f>
        <v>9720</v>
      </c>
      <c r="N1196" t="str">
        <f>IF(GhanaStream[[#This Row],[Churn Flag]]="Yes","Churned","Retained")</f>
        <v>Churned</v>
      </c>
    </row>
    <row r="1197" spans="1:14" x14ac:dyDescent="0.25">
      <c r="A1197" t="s">
        <v>1235</v>
      </c>
      <c r="B1197" s="1">
        <v>45528</v>
      </c>
      <c r="C1197" t="s">
        <v>31</v>
      </c>
      <c r="D1197" t="s">
        <v>13</v>
      </c>
      <c r="E1197">
        <v>1000</v>
      </c>
      <c r="F1197" t="s">
        <v>21</v>
      </c>
      <c r="G1197" t="s">
        <v>24</v>
      </c>
      <c r="H1197" t="s">
        <v>33</v>
      </c>
      <c r="I1197" t="s">
        <v>34</v>
      </c>
      <c r="J1197" t="s">
        <v>29</v>
      </c>
      <c r="K1197">
        <v>0</v>
      </c>
      <c r="L119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197">
        <f>GhanaStream[[#This Row],[Subscription Fee]]-(GhanaStream[[#This Row],[Discount]]*GhanaStream[[#This Row],[Subscription Fee]])</f>
        <v>1000</v>
      </c>
      <c r="N1197" t="str">
        <f>IF(GhanaStream[[#This Row],[Churn Flag]]="Yes","Churned","Retained")</f>
        <v>Retained</v>
      </c>
    </row>
    <row r="1198" spans="1:14" x14ac:dyDescent="0.25">
      <c r="A1198" t="s">
        <v>1236</v>
      </c>
      <c r="B1198" s="1">
        <v>45583</v>
      </c>
      <c r="C1198" t="s">
        <v>31</v>
      </c>
      <c r="D1198" t="s">
        <v>27</v>
      </c>
      <c r="E1198">
        <v>10800</v>
      </c>
      <c r="F1198" t="s">
        <v>21</v>
      </c>
      <c r="G1198" t="s">
        <v>24</v>
      </c>
      <c r="H1198" t="s">
        <v>16</v>
      </c>
      <c r="I1198" t="s">
        <v>17</v>
      </c>
      <c r="J1198" t="s">
        <v>25</v>
      </c>
      <c r="K1198">
        <v>0.1</v>
      </c>
      <c r="L119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198">
        <f>GhanaStream[[#This Row],[Subscription Fee]]-(GhanaStream[[#This Row],[Discount]]*GhanaStream[[#This Row],[Subscription Fee]])</f>
        <v>9720</v>
      </c>
      <c r="N1198" t="str">
        <f>IF(GhanaStream[[#This Row],[Churn Flag]]="Yes","Churned","Retained")</f>
        <v>Churned</v>
      </c>
    </row>
    <row r="1199" spans="1:14" x14ac:dyDescent="0.25">
      <c r="A1199" t="s">
        <v>1237</v>
      </c>
      <c r="B1199" s="1">
        <v>45388</v>
      </c>
      <c r="C1199" t="s">
        <v>12</v>
      </c>
      <c r="D1199" t="s">
        <v>13</v>
      </c>
      <c r="E1199">
        <v>1500</v>
      </c>
      <c r="F1199" t="s">
        <v>14</v>
      </c>
      <c r="G1199" t="s">
        <v>24</v>
      </c>
      <c r="H1199" t="s">
        <v>33</v>
      </c>
      <c r="I1199" t="s">
        <v>34</v>
      </c>
      <c r="J1199" t="s">
        <v>55</v>
      </c>
      <c r="K1199">
        <v>0</v>
      </c>
      <c r="L119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199">
        <f>GhanaStream[[#This Row],[Subscription Fee]]-(GhanaStream[[#This Row],[Discount]]*GhanaStream[[#This Row],[Subscription Fee]])</f>
        <v>1500</v>
      </c>
      <c r="N1199" t="str">
        <f>IF(GhanaStream[[#This Row],[Churn Flag]]="Yes","Churned","Retained")</f>
        <v>Retained</v>
      </c>
    </row>
    <row r="1200" spans="1:14" x14ac:dyDescent="0.25">
      <c r="A1200" t="s">
        <v>1238</v>
      </c>
      <c r="B1200" s="1">
        <v>45604</v>
      </c>
      <c r="C1200" t="s">
        <v>31</v>
      </c>
      <c r="D1200" t="s">
        <v>27</v>
      </c>
      <c r="E1200">
        <v>10800</v>
      </c>
      <c r="F1200" t="s">
        <v>14</v>
      </c>
      <c r="G1200" t="s">
        <v>15</v>
      </c>
      <c r="H1200" t="s">
        <v>33</v>
      </c>
      <c r="I1200" t="s">
        <v>34</v>
      </c>
      <c r="J1200" t="s">
        <v>37</v>
      </c>
      <c r="K1200">
        <v>0.1</v>
      </c>
      <c r="L120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200">
        <f>GhanaStream[[#This Row],[Subscription Fee]]-(GhanaStream[[#This Row],[Discount]]*GhanaStream[[#This Row],[Subscription Fee]])</f>
        <v>9720</v>
      </c>
      <c r="N1200" t="str">
        <f>IF(GhanaStream[[#This Row],[Churn Flag]]="Yes","Churned","Retained")</f>
        <v>Retained</v>
      </c>
    </row>
    <row r="1201" spans="1:14" x14ac:dyDescent="0.25">
      <c r="A1201" t="s">
        <v>1239</v>
      </c>
      <c r="B1201" s="1">
        <v>45303</v>
      </c>
      <c r="C1201" t="s">
        <v>31</v>
      </c>
      <c r="D1201" t="s">
        <v>13</v>
      </c>
      <c r="E1201">
        <v>1000</v>
      </c>
      <c r="F1201" t="s">
        <v>21</v>
      </c>
      <c r="G1201" t="s">
        <v>28</v>
      </c>
      <c r="H1201" t="s">
        <v>33</v>
      </c>
      <c r="I1201" t="s">
        <v>34</v>
      </c>
      <c r="J1201" t="s">
        <v>29</v>
      </c>
      <c r="K1201">
        <v>0</v>
      </c>
      <c r="L120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201">
        <f>GhanaStream[[#This Row],[Subscription Fee]]-(GhanaStream[[#This Row],[Discount]]*GhanaStream[[#This Row],[Subscription Fee]])</f>
        <v>1000</v>
      </c>
      <c r="N1201" t="str">
        <f>IF(GhanaStream[[#This Row],[Churn Flag]]="Yes","Churned","Retained")</f>
        <v>Retained</v>
      </c>
    </row>
    <row r="1202" spans="1:14" x14ac:dyDescent="0.25">
      <c r="A1202" t="s">
        <v>1240</v>
      </c>
      <c r="B1202" s="1">
        <v>45512</v>
      </c>
      <c r="C1202" t="s">
        <v>31</v>
      </c>
      <c r="D1202" t="s">
        <v>27</v>
      </c>
      <c r="E1202">
        <v>10800</v>
      </c>
      <c r="F1202" t="s">
        <v>49</v>
      </c>
      <c r="G1202" t="s">
        <v>24</v>
      </c>
      <c r="H1202" t="s">
        <v>33</v>
      </c>
      <c r="I1202" t="s">
        <v>34</v>
      </c>
      <c r="J1202" t="s">
        <v>25</v>
      </c>
      <c r="K1202">
        <v>0.1</v>
      </c>
      <c r="L120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202">
        <f>GhanaStream[[#This Row],[Subscription Fee]]-(GhanaStream[[#This Row],[Discount]]*GhanaStream[[#This Row],[Subscription Fee]])</f>
        <v>9720</v>
      </c>
      <c r="N1202" t="str">
        <f>IF(GhanaStream[[#This Row],[Churn Flag]]="Yes","Churned","Retained")</f>
        <v>Retained</v>
      </c>
    </row>
    <row r="1203" spans="1:14" x14ac:dyDescent="0.25">
      <c r="A1203" t="s">
        <v>1241</v>
      </c>
      <c r="B1203" s="1">
        <v>45069</v>
      </c>
      <c r="C1203" t="s">
        <v>12</v>
      </c>
      <c r="D1203" t="s">
        <v>13</v>
      </c>
      <c r="E1203">
        <v>1500</v>
      </c>
      <c r="F1203" t="s">
        <v>21</v>
      </c>
      <c r="G1203" t="s">
        <v>15</v>
      </c>
      <c r="H1203" t="s">
        <v>33</v>
      </c>
      <c r="I1203" t="s">
        <v>34</v>
      </c>
      <c r="J1203" t="s">
        <v>29</v>
      </c>
      <c r="K1203">
        <v>0</v>
      </c>
      <c r="L120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203">
        <f>GhanaStream[[#This Row],[Subscription Fee]]-(GhanaStream[[#This Row],[Discount]]*GhanaStream[[#This Row],[Subscription Fee]])</f>
        <v>1500</v>
      </c>
      <c r="N1203" t="str">
        <f>IF(GhanaStream[[#This Row],[Churn Flag]]="Yes","Churned","Retained")</f>
        <v>Retained</v>
      </c>
    </row>
    <row r="1204" spans="1:14" x14ac:dyDescent="0.25">
      <c r="A1204" t="s">
        <v>1242</v>
      </c>
      <c r="B1204" s="1">
        <v>45116</v>
      </c>
      <c r="C1204" t="s">
        <v>20</v>
      </c>
      <c r="D1204" t="s">
        <v>27</v>
      </c>
      <c r="E1204">
        <v>5400</v>
      </c>
      <c r="F1204" t="s">
        <v>32</v>
      </c>
      <c r="G1204" t="s">
        <v>24</v>
      </c>
      <c r="H1204" t="s">
        <v>33</v>
      </c>
      <c r="I1204" t="s">
        <v>34</v>
      </c>
      <c r="J1204" t="s">
        <v>35</v>
      </c>
      <c r="K1204">
        <v>0.1</v>
      </c>
      <c r="L120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204">
        <f>GhanaStream[[#This Row],[Subscription Fee]]-(GhanaStream[[#This Row],[Discount]]*GhanaStream[[#This Row],[Subscription Fee]])</f>
        <v>4860</v>
      </c>
      <c r="N1204" t="str">
        <f>IF(GhanaStream[[#This Row],[Churn Flag]]="Yes","Churned","Retained")</f>
        <v>Retained</v>
      </c>
    </row>
    <row r="1205" spans="1:14" x14ac:dyDescent="0.25">
      <c r="A1205" t="s">
        <v>1243</v>
      </c>
      <c r="B1205" s="1">
        <v>45649</v>
      </c>
      <c r="C1205" t="s">
        <v>31</v>
      </c>
      <c r="D1205" t="s">
        <v>27</v>
      </c>
      <c r="E1205">
        <v>10800</v>
      </c>
      <c r="F1205" t="s">
        <v>32</v>
      </c>
      <c r="G1205" t="s">
        <v>28</v>
      </c>
      <c r="H1205" t="s">
        <v>33</v>
      </c>
      <c r="I1205" t="s">
        <v>34</v>
      </c>
      <c r="J1205" t="s">
        <v>25</v>
      </c>
      <c r="K1205">
        <v>0.1</v>
      </c>
      <c r="L120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205">
        <f>GhanaStream[[#This Row],[Subscription Fee]]-(GhanaStream[[#This Row],[Discount]]*GhanaStream[[#This Row],[Subscription Fee]])</f>
        <v>9720</v>
      </c>
      <c r="N1205" t="str">
        <f>IF(GhanaStream[[#This Row],[Churn Flag]]="Yes","Churned","Retained")</f>
        <v>Retained</v>
      </c>
    </row>
    <row r="1206" spans="1:14" x14ac:dyDescent="0.25">
      <c r="A1206" t="s">
        <v>1244</v>
      </c>
      <c r="B1206" s="1">
        <v>45217</v>
      </c>
      <c r="C1206" t="s">
        <v>31</v>
      </c>
      <c r="D1206" t="s">
        <v>27</v>
      </c>
      <c r="E1206">
        <v>10800</v>
      </c>
      <c r="F1206" t="s">
        <v>32</v>
      </c>
      <c r="G1206" t="s">
        <v>15</v>
      </c>
      <c r="H1206" t="s">
        <v>33</v>
      </c>
      <c r="I1206" t="s">
        <v>34</v>
      </c>
      <c r="J1206" t="s">
        <v>39</v>
      </c>
      <c r="K1206">
        <v>0.1</v>
      </c>
      <c r="L120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206">
        <f>GhanaStream[[#This Row],[Subscription Fee]]-(GhanaStream[[#This Row],[Discount]]*GhanaStream[[#This Row],[Subscription Fee]])</f>
        <v>9720</v>
      </c>
      <c r="N1206" t="str">
        <f>IF(GhanaStream[[#This Row],[Churn Flag]]="Yes","Churned","Retained")</f>
        <v>Retained</v>
      </c>
    </row>
    <row r="1207" spans="1:14" x14ac:dyDescent="0.25">
      <c r="A1207" t="s">
        <v>1245</v>
      </c>
      <c r="B1207" s="1">
        <v>45016</v>
      </c>
      <c r="C1207" t="s">
        <v>12</v>
      </c>
      <c r="D1207" t="s">
        <v>13</v>
      </c>
      <c r="E1207">
        <v>1500</v>
      </c>
      <c r="F1207" t="s">
        <v>49</v>
      </c>
      <c r="G1207" t="s">
        <v>24</v>
      </c>
      <c r="H1207" t="s">
        <v>33</v>
      </c>
      <c r="I1207" t="s">
        <v>34</v>
      </c>
      <c r="J1207" t="s">
        <v>22</v>
      </c>
      <c r="K1207">
        <v>0</v>
      </c>
      <c r="L120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207">
        <f>GhanaStream[[#This Row],[Subscription Fee]]-(GhanaStream[[#This Row],[Discount]]*GhanaStream[[#This Row],[Subscription Fee]])</f>
        <v>1500</v>
      </c>
      <c r="N1207" t="str">
        <f>IF(GhanaStream[[#This Row],[Churn Flag]]="Yes","Churned","Retained")</f>
        <v>Retained</v>
      </c>
    </row>
    <row r="1208" spans="1:14" x14ac:dyDescent="0.25">
      <c r="A1208" t="s">
        <v>1246</v>
      </c>
      <c r="B1208" s="1">
        <v>44945</v>
      </c>
      <c r="C1208" t="s">
        <v>31</v>
      </c>
      <c r="D1208" t="s">
        <v>27</v>
      </c>
      <c r="E1208">
        <v>10800</v>
      </c>
      <c r="F1208" t="s">
        <v>32</v>
      </c>
      <c r="G1208" t="s">
        <v>15</v>
      </c>
      <c r="H1208" t="s">
        <v>33</v>
      </c>
      <c r="I1208" t="s">
        <v>34</v>
      </c>
      <c r="J1208" t="s">
        <v>25</v>
      </c>
      <c r="K1208">
        <v>0.1</v>
      </c>
      <c r="L120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208">
        <f>GhanaStream[[#This Row],[Subscription Fee]]-(GhanaStream[[#This Row],[Discount]]*GhanaStream[[#This Row],[Subscription Fee]])</f>
        <v>9720</v>
      </c>
      <c r="N1208" t="str">
        <f>IF(GhanaStream[[#This Row],[Churn Flag]]="Yes","Churned","Retained")</f>
        <v>Retained</v>
      </c>
    </row>
    <row r="1209" spans="1:14" x14ac:dyDescent="0.25">
      <c r="A1209" t="s">
        <v>1247</v>
      </c>
      <c r="B1209" s="1">
        <v>45043</v>
      </c>
      <c r="C1209" t="s">
        <v>31</v>
      </c>
      <c r="D1209" t="s">
        <v>27</v>
      </c>
      <c r="E1209">
        <v>10800</v>
      </c>
      <c r="F1209" t="s">
        <v>49</v>
      </c>
      <c r="G1209" t="s">
        <v>28</v>
      </c>
      <c r="H1209" t="s">
        <v>33</v>
      </c>
      <c r="I1209" t="s">
        <v>34</v>
      </c>
      <c r="J1209" t="s">
        <v>22</v>
      </c>
      <c r="K1209">
        <v>0.1</v>
      </c>
      <c r="L120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209">
        <f>GhanaStream[[#This Row],[Subscription Fee]]-(GhanaStream[[#This Row],[Discount]]*GhanaStream[[#This Row],[Subscription Fee]])</f>
        <v>9720</v>
      </c>
      <c r="N1209" t="str">
        <f>IF(GhanaStream[[#This Row],[Churn Flag]]="Yes","Churned","Retained")</f>
        <v>Retained</v>
      </c>
    </row>
    <row r="1210" spans="1:14" x14ac:dyDescent="0.25">
      <c r="A1210" t="s">
        <v>1248</v>
      </c>
      <c r="B1210" s="1">
        <v>45633</v>
      </c>
      <c r="C1210" t="s">
        <v>31</v>
      </c>
      <c r="D1210" t="s">
        <v>13</v>
      </c>
      <c r="E1210">
        <v>1000</v>
      </c>
      <c r="F1210" t="s">
        <v>49</v>
      </c>
      <c r="G1210" t="s">
        <v>15</v>
      </c>
      <c r="H1210" t="s">
        <v>33</v>
      </c>
      <c r="I1210" t="s">
        <v>34</v>
      </c>
      <c r="J1210" t="s">
        <v>35</v>
      </c>
      <c r="K1210">
        <v>0</v>
      </c>
      <c r="L121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210">
        <f>GhanaStream[[#This Row],[Subscription Fee]]-(GhanaStream[[#This Row],[Discount]]*GhanaStream[[#This Row],[Subscription Fee]])</f>
        <v>1000</v>
      </c>
      <c r="N1210" t="str">
        <f>IF(GhanaStream[[#This Row],[Churn Flag]]="Yes","Churned","Retained")</f>
        <v>Retained</v>
      </c>
    </row>
    <row r="1211" spans="1:14" x14ac:dyDescent="0.25">
      <c r="A1211" t="s">
        <v>1249</v>
      </c>
      <c r="B1211" s="1">
        <v>45450</v>
      </c>
      <c r="C1211" t="s">
        <v>12</v>
      </c>
      <c r="D1211" t="s">
        <v>13</v>
      </c>
      <c r="E1211">
        <v>1500</v>
      </c>
      <c r="F1211" t="s">
        <v>14</v>
      </c>
      <c r="G1211" t="s">
        <v>28</v>
      </c>
      <c r="H1211" t="s">
        <v>33</v>
      </c>
      <c r="I1211" t="s">
        <v>34</v>
      </c>
      <c r="J1211" t="s">
        <v>22</v>
      </c>
      <c r="K1211">
        <v>0</v>
      </c>
      <c r="L121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211">
        <f>GhanaStream[[#This Row],[Subscription Fee]]-(GhanaStream[[#This Row],[Discount]]*GhanaStream[[#This Row],[Subscription Fee]])</f>
        <v>1500</v>
      </c>
      <c r="N1211" t="str">
        <f>IF(GhanaStream[[#This Row],[Churn Flag]]="Yes","Churned","Retained")</f>
        <v>Retained</v>
      </c>
    </row>
    <row r="1212" spans="1:14" x14ac:dyDescent="0.25">
      <c r="A1212" t="s">
        <v>1250</v>
      </c>
      <c r="B1212" s="1">
        <v>45249</v>
      </c>
      <c r="C1212" t="s">
        <v>31</v>
      </c>
      <c r="D1212" t="s">
        <v>27</v>
      </c>
      <c r="E1212">
        <v>10800</v>
      </c>
      <c r="F1212" t="s">
        <v>14</v>
      </c>
      <c r="G1212" t="s">
        <v>15</v>
      </c>
      <c r="H1212" t="s">
        <v>16</v>
      </c>
      <c r="I1212" t="s">
        <v>17</v>
      </c>
      <c r="J1212" t="s">
        <v>41</v>
      </c>
      <c r="K1212">
        <v>0.1</v>
      </c>
      <c r="L121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212">
        <f>GhanaStream[[#This Row],[Subscription Fee]]-(GhanaStream[[#This Row],[Discount]]*GhanaStream[[#This Row],[Subscription Fee]])</f>
        <v>9720</v>
      </c>
      <c r="N1212" t="str">
        <f>IF(GhanaStream[[#This Row],[Churn Flag]]="Yes","Churned","Retained")</f>
        <v>Churned</v>
      </c>
    </row>
    <row r="1213" spans="1:14" x14ac:dyDescent="0.25">
      <c r="A1213" t="s">
        <v>1251</v>
      </c>
      <c r="B1213" s="1">
        <v>45250</v>
      </c>
      <c r="C1213" t="s">
        <v>20</v>
      </c>
      <c r="D1213" t="s">
        <v>13</v>
      </c>
      <c r="E1213">
        <v>500</v>
      </c>
      <c r="F1213" t="s">
        <v>32</v>
      </c>
      <c r="G1213" t="s">
        <v>15</v>
      </c>
      <c r="H1213" t="s">
        <v>33</v>
      </c>
      <c r="I1213" t="s">
        <v>34</v>
      </c>
      <c r="J1213" t="s">
        <v>66</v>
      </c>
      <c r="K1213">
        <v>0</v>
      </c>
      <c r="L121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213">
        <f>GhanaStream[[#This Row],[Subscription Fee]]-(GhanaStream[[#This Row],[Discount]]*GhanaStream[[#This Row],[Subscription Fee]])</f>
        <v>500</v>
      </c>
      <c r="N1213" t="str">
        <f>IF(GhanaStream[[#This Row],[Churn Flag]]="Yes","Churned","Retained")</f>
        <v>Retained</v>
      </c>
    </row>
    <row r="1214" spans="1:14" x14ac:dyDescent="0.25">
      <c r="A1214" t="s">
        <v>1252</v>
      </c>
      <c r="B1214" s="1">
        <v>45526</v>
      </c>
      <c r="C1214" t="s">
        <v>31</v>
      </c>
      <c r="D1214" t="s">
        <v>27</v>
      </c>
      <c r="E1214">
        <v>10800</v>
      </c>
      <c r="F1214" t="s">
        <v>21</v>
      </c>
      <c r="G1214" t="s">
        <v>28</v>
      </c>
      <c r="H1214" t="s">
        <v>16</v>
      </c>
      <c r="I1214" t="s">
        <v>17</v>
      </c>
      <c r="J1214" t="s">
        <v>25</v>
      </c>
      <c r="K1214">
        <v>0.1</v>
      </c>
      <c r="L121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214">
        <f>GhanaStream[[#This Row],[Subscription Fee]]-(GhanaStream[[#This Row],[Discount]]*GhanaStream[[#This Row],[Subscription Fee]])</f>
        <v>9720</v>
      </c>
      <c r="N1214" t="str">
        <f>IF(GhanaStream[[#This Row],[Churn Flag]]="Yes","Churned","Retained")</f>
        <v>Churned</v>
      </c>
    </row>
    <row r="1215" spans="1:14" x14ac:dyDescent="0.25">
      <c r="A1215" t="s">
        <v>1253</v>
      </c>
      <c r="B1215" s="1">
        <v>45312</v>
      </c>
      <c r="C1215" t="s">
        <v>31</v>
      </c>
      <c r="D1215" t="s">
        <v>27</v>
      </c>
      <c r="E1215">
        <v>10800</v>
      </c>
      <c r="F1215" t="s">
        <v>21</v>
      </c>
      <c r="G1215" t="s">
        <v>15</v>
      </c>
      <c r="H1215" t="s">
        <v>16</v>
      </c>
      <c r="I1215" t="s">
        <v>17</v>
      </c>
      <c r="J1215" t="s">
        <v>29</v>
      </c>
      <c r="K1215">
        <v>0.1</v>
      </c>
      <c r="L121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215">
        <f>GhanaStream[[#This Row],[Subscription Fee]]-(GhanaStream[[#This Row],[Discount]]*GhanaStream[[#This Row],[Subscription Fee]])</f>
        <v>9720</v>
      </c>
      <c r="N1215" t="str">
        <f>IF(GhanaStream[[#This Row],[Churn Flag]]="Yes","Churned","Retained")</f>
        <v>Churned</v>
      </c>
    </row>
    <row r="1216" spans="1:14" x14ac:dyDescent="0.25">
      <c r="A1216" t="s">
        <v>1254</v>
      </c>
      <c r="B1216" s="1">
        <v>45581</v>
      </c>
      <c r="C1216" t="s">
        <v>12</v>
      </c>
      <c r="D1216" t="s">
        <v>27</v>
      </c>
      <c r="E1216">
        <v>16200</v>
      </c>
      <c r="F1216" t="s">
        <v>14</v>
      </c>
      <c r="G1216" t="s">
        <v>15</v>
      </c>
      <c r="H1216" t="s">
        <v>33</v>
      </c>
      <c r="I1216" t="s">
        <v>34</v>
      </c>
      <c r="J1216" t="s">
        <v>41</v>
      </c>
      <c r="K1216">
        <v>0.1</v>
      </c>
      <c r="L121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216">
        <f>GhanaStream[[#This Row],[Subscription Fee]]-(GhanaStream[[#This Row],[Discount]]*GhanaStream[[#This Row],[Subscription Fee]])</f>
        <v>14580</v>
      </c>
      <c r="N1216" t="str">
        <f>IF(GhanaStream[[#This Row],[Churn Flag]]="Yes","Churned","Retained")</f>
        <v>Retained</v>
      </c>
    </row>
    <row r="1217" spans="1:14" x14ac:dyDescent="0.25">
      <c r="A1217" t="s">
        <v>1255</v>
      </c>
      <c r="B1217" s="1">
        <v>44972</v>
      </c>
      <c r="C1217" t="s">
        <v>20</v>
      </c>
      <c r="D1217" t="s">
        <v>27</v>
      </c>
      <c r="E1217">
        <v>5400</v>
      </c>
      <c r="F1217" t="s">
        <v>14</v>
      </c>
      <c r="G1217" t="s">
        <v>24</v>
      </c>
      <c r="H1217" t="s">
        <v>16</v>
      </c>
      <c r="I1217" t="s">
        <v>17</v>
      </c>
      <c r="J1217" t="s">
        <v>18</v>
      </c>
      <c r="K1217">
        <v>0.1</v>
      </c>
      <c r="L121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217">
        <f>GhanaStream[[#This Row],[Subscription Fee]]-(GhanaStream[[#This Row],[Discount]]*GhanaStream[[#This Row],[Subscription Fee]])</f>
        <v>4860</v>
      </c>
      <c r="N1217" t="str">
        <f>IF(GhanaStream[[#This Row],[Churn Flag]]="Yes","Churned","Retained")</f>
        <v>Churned</v>
      </c>
    </row>
    <row r="1218" spans="1:14" x14ac:dyDescent="0.25">
      <c r="A1218" t="s">
        <v>1256</v>
      </c>
      <c r="B1218" s="1">
        <v>44962</v>
      </c>
      <c r="C1218" t="s">
        <v>31</v>
      </c>
      <c r="D1218" t="s">
        <v>13</v>
      </c>
      <c r="E1218">
        <v>1000</v>
      </c>
      <c r="F1218" t="s">
        <v>32</v>
      </c>
      <c r="G1218" t="s">
        <v>24</v>
      </c>
      <c r="H1218" t="s">
        <v>33</v>
      </c>
      <c r="I1218" t="s">
        <v>34</v>
      </c>
      <c r="J1218" t="s">
        <v>66</v>
      </c>
      <c r="K1218">
        <v>0</v>
      </c>
      <c r="L121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218">
        <f>GhanaStream[[#This Row],[Subscription Fee]]-(GhanaStream[[#This Row],[Discount]]*GhanaStream[[#This Row],[Subscription Fee]])</f>
        <v>1000</v>
      </c>
      <c r="N1218" t="str">
        <f>IF(GhanaStream[[#This Row],[Churn Flag]]="Yes","Churned","Retained")</f>
        <v>Retained</v>
      </c>
    </row>
    <row r="1219" spans="1:14" x14ac:dyDescent="0.25">
      <c r="A1219" t="s">
        <v>1257</v>
      </c>
      <c r="B1219" s="1">
        <v>45657</v>
      </c>
      <c r="C1219" t="s">
        <v>31</v>
      </c>
      <c r="D1219" t="s">
        <v>13</v>
      </c>
      <c r="E1219">
        <v>1000</v>
      </c>
      <c r="F1219" t="s">
        <v>32</v>
      </c>
      <c r="G1219" t="s">
        <v>24</v>
      </c>
      <c r="H1219" t="s">
        <v>16</v>
      </c>
      <c r="I1219" t="s">
        <v>17</v>
      </c>
      <c r="J1219" t="s">
        <v>44</v>
      </c>
      <c r="K1219">
        <v>0</v>
      </c>
      <c r="L121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219">
        <f>GhanaStream[[#This Row],[Subscription Fee]]-(GhanaStream[[#This Row],[Discount]]*GhanaStream[[#This Row],[Subscription Fee]])</f>
        <v>1000</v>
      </c>
      <c r="N1219" t="str">
        <f>IF(GhanaStream[[#This Row],[Churn Flag]]="Yes","Churned","Retained")</f>
        <v>Churned</v>
      </c>
    </row>
    <row r="1220" spans="1:14" x14ac:dyDescent="0.25">
      <c r="A1220" t="s">
        <v>1258</v>
      </c>
      <c r="B1220" s="1">
        <v>45095</v>
      </c>
      <c r="C1220" t="s">
        <v>12</v>
      </c>
      <c r="D1220" t="s">
        <v>27</v>
      </c>
      <c r="E1220">
        <v>16200</v>
      </c>
      <c r="F1220" t="s">
        <v>14</v>
      </c>
      <c r="G1220" t="s">
        <v>24</v>
      </c>
      <c r="H1220" t="s">
        <v>16</v>
      </c>
      <c r="I1220" t="s">
        <v>17</v>
      </c>
      <c r="J1220" t="s">
        <v>18</v>
      </c>
      <c r="K1220">
        <v>0.1</v>
      </c>
      <c r="L122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220">
        <f>GhanaStream[[#This Row],[Subscription Fee]]-(GhanaStream[[#This Row],[Discount]]*GhanaStream[[#This Row],[Subscription Fee]])</f>
        <v>14580</v>
      </c>
      <c r="N1220" t="str">
        <f>IF(GhanaStream[[#This Row],[Churn Flag]]="Yes","Churned","Retained")</f>
        <v>Churned</v>
      </c>
    </row>
    <row r="1221" spans="1:14" x14ac:dyDescent="0.25">
      <c r="A1221" t="s">
        <v>1259</v>
      </c>
      <c r="B1221" s="1">
        <v>45377</v>
      </c>
      <c r="C1221" t="s">
        <v>12</v>
      </c>
      <c r="D1221" t="s">
        <v>13</v>
      </c>
      <c r="E1221">
        <v>1500</v>
      </c>
      <c r="F1221" t="s">
        <v>21</v>
      </c>
      <c r="G1221" t="s">
        <v>15</v>
      </c>
      <c r="H1221" t="s">
        <v>33</v>
      </c>
      <c r="I1221" t="s">
        <v>34</v>
      </c>
      <c r="J1221" t="s">
        <v>29</v>
      </c>
      <c r="K1221">
        <v>0</v>
      </c>
      <c r="L122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221">
        <f>GhanaStream[[#This Row],[Subscription Fee]]-(GhanaStream[[#This Row],[Discount]]*GhanaStream[[#This Row],[Subscription Fee]])</f>
        <v>1500</v>
      </c>
      <c r="N1221" t="str">
        <f>IF(GhanaStream[[#This Row],[Churn Flag]]="Yes","Churned","Retained")</f>
        <v>Retained</v>
      </c>
    </row>
    <row r="1222" spans="1:14" x14ac:dyDescent="0.25">
      <c r="A1222" t="s">
        <v>1260</v>
      </c>
      <c r="B1222" s="1">
        <v>45144</v>
      </c>
      <c r="C1222" t="s">
        <v>12</v>
      </c>
      <c r="D1222" t="s">
        <v>13</v>
      </c>
      <c r="E1222">
        <v>1500</v>
      </c>
      <c r="F1222" t="s">
        <v>49</v>
      </c>
      <c r="G1222" t="s">
        <v>15</v>
      </c>
      <c r="H1222" t="s">
        <v>33</v>
      </c>
      <c r="I1222" t="s">
        <v>34</v>
      </c>
      <c r="J1222" t="s">
        <v>35</v>
      </c>
      <c r="K1222">
        <v>0</v>
      </c>
      <c r="L122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222">
        <f>GhanaStream[[#This Row],[Subscription Fee]]-(GhanaStream[[#This Row],[Discount]]*GhanaStream[[#This Row],[Subscription Fee]])</f>
        <v>1500</v>
      </c>
      <c r="N1222" t="str">
        <f>IF(GhanaStream[[#This Row],[Churn Flag]]="Yes","Churned","Retained")</f>
        <v>Retained</v>
      </c>
    </row>
    <row r="1223" spans="1:14" x14ac:dyDescent="0.25">
      <c r="A1223" t="s">
        <v>1261</v>
      </c>
      <c r="B1223" s="1">
        <v>45194</v>
      </c>
      <c r="C1223" t="s">
        <v>20</v>
      </c>
      <c r="D1223" t="s">
        <v>27</v>
      </c>
      <c r="E1223">
        <v>5400</v>
      </c>
      <c r="F1223" t="s">
        <v>14</v>
      </c>
      <c r="G1223" t="s">
        <v>24</v>
      </c>
      <c r="H1223" t="s">
        <v>33</v>
      </c>
      <c r="I1223" t="s">
        <v>34</v>
      </c>
      <c r="J1223" t="s">
        <v>18</v>
      </c>
      <c r="K1223">
        <v>0.1</v>
      </c>
      <c r="L122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223">
        <f>GhanaStream[[#This Row],[Subscription Fee]]-(GhanaStream[[#This Row],[Discount]]*GhanaStream[[#This Row],[Subscription Fee]])</f>
        <v>4860</v>
      </c>
      <c r="N1223" t="str">
        <f>IF(GhanaStream[[#This Row],[Churn Flag]]="Yes","Churned","Retained")</f>
        <v>Retained</v>
      </c>
    </row>
    <row r="1224" spans="1:14" x14ac:dyDescent="0.25">
      <c r="A1224" t="s">
        <v>1262</v>
      </c>
      <c r="B1224" s="1">
        <v>44962</v>
      </c>
      <c r="C1224" t="s">
        <v>31</v>
      </c>
      <c r="D1224" t="s">
        <v>27</v>
      </c>
      <c r="E1224">
        <v>10800</v>
      </c>
      <c r="F1224" t="s">
        <v>14</v>
      </c>
      <c r="G1224" t="s">
        <v>24</v>
      </c>
      <c r="H1224" t="s">
        <v>33</v>
      </c>
      <c r="I1224" t="s">
        <v>34</v>
      </c>
      <c r="J1224" t="s">
        <v>37</v>
      </c>
      <c r="K1224">
        <v>0.1</v>
      </c>
      <c r="L122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224">
        <f>GhanaStream[[#This Row],[Subscription Fee]]-(GhanaStream[[#This Row],[Discount]]*GhanaStream[[#This Row],[Subscription Fee]])</f>
        <v>9720</v>
      </c>
      <c r="N1224" t="str">
        <f>IF(GhanaStream[[#This Row],[Churn Flag]]="Yes","Churned","Retained")</f>
        <v>Retained</v>
      </c>
    </row>
    <row r="1225" spans="1:14" x14ac:dyDescent="0.25">
      <c r="A1225" t="s">
        <v>1263</v>
      </c>
      <c r="B1225" s="1">
        <v>45145</v>
      </c>
      <c r="C1225" t="s">
        <v>31</v>
      </c>
      <c r="D1225" t="s">
        <v>13</v>
      </c>
      <c r="E1225">
        <v>1000</v>
      </c>
      <c r="F1225" t="s">
        <v>21</v>
      </c>
      <c r="G1225" t="s">
        <v>24</v>
      </c>
      <c r="H1225" t="s">
        <v>16</v>
      </c>
      <c r="I1225" t="s">
        <v>17</v>
      </c>
      <c r="J1225" t="s">
        <v>25</v>
      </c>
      <c r="K1225">
        <v>0</v>
      </c>
      <c r="L122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225">
        <f>GhanaStream[[#This Row],[Subscription Fee]]-(GhanaStream[[#This Row],[Discount]]*GhanaStream[[#This Row],[Subscription Fee]])</f>
        <v>1000</v>
      </c>
      <c r="N1225" t="str">
        <f>IF(GhanaStream[[#This Row],[Churn Flag]]="Yes","Churned","Retained")</f>
        <v>Churned</v>
      </c>
    </row>
    <row r="1226" spans="1:14" x14ac:dyDescent="0.25">
      <c r="A1226" t="s">
        <v>1264</v>
      </c>
      <c r="B1226" s="1">
        <v>45603</v>
      </c>
      <c r="C1226" t="s">
        <v>31</v>
      </c>
      <c r="D1226" t="s">
        <v>27</v>
      </c>
      <c r="E1226">
        <v>10800</v>
      </c>
      <c r="F1226" t="s">
        <v>32</v>
      </c>
      <c r="G1226" t="s">
        <v>28</v>
      </c>
      <c r="H1226" t="s">
        <v>33</v>
      </c>
      <c r="I1226" t="s">
        <v>34</v>
      </c>
      <c r="J1226" t="s">
        <v>39</v>
      </c>
      <c r="K1226">
        <v>0.1</v>
      </c>
      <c r="L122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226">
        <f>GhanaStream[[#This Row],[Subscription Fee]]-(GhanaStream[[#This Row],[Discount]]*GhanaStream[[#This Row],[Subscription Fee]])</f>
        <v>9720</v>
      </c>
      <c r="N1226" t="str">
        <f>IF(GhanaStream[[#This Row],[Churn Flag]]="Yes","Churned","Retained")</f>
        <v>Retained</v>
      </c>
    </row>
    <row r="1227" spans="1:14" x14ac:dyDescent="0.25">
      <c r="A1227" t="s">
        <v>1265</v>
      </c>
      <c r="B1227" s="1">
        <v>45398</v>
      </c>
      <c r="C1227" t="s">
        <v>31</v>
      </c>
      <c r="D1227" t="s">
        <v>13</v>
      </c>
      <c r="E1227">
        <v>1000</v>
      </c>
      <c r="F1227" t="s">
        <v>49</v>
      </c>
      <c r="G1227" t="s">
        <v>24</v>
      </c>
      <c r="H1227" t="s">
        <v>16</v>
      </c>
      <c r="I1227" t="s">
        <v>17</v>
      </c>
      <c r="J1227" t="s">
        <v>50</v>
      </c>
      <c r="K1227">
        <v>0</v>
      </c>
      <c r="L122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227">
        <f>GhanaStream[[#This Row],[Subscription Fee]]-(GhanaStream[[#This Row],[Discount]]*GhanaStream[[#This Row],[Subscription Fee]])</f>
        <v>1000</v>
      </c>
      <c r="N1227" t="str">
        <f>IF(GhanaStream[[#This Row],[Churn Flag]]="Yes","Churned","Retained")</f>
        <v>Churned</v>
      </c>
    </row>
    <row r="1228" spans="1:14" x14ac:dyDescent="0.25">
      <c r="A1228" t="s">
        <v>1266</v>
      </c>
      <c r="B1228" s="1">
        <v>45065</v>
      </c>
      <c r="C1228" t="s">
        <v>20</v>
      </c>
      <c r="D1228" t="s">
        <v>13</v>
      </c>
      <c r="E1228">
        <v>500</v>
      </c>
      <c r="F1228" t="s">
        <v>32</v>
      </c>
      <c r="G1228" t="s">
        <v>15</v>
      </c>
      <c r="H1228" t="s">
        <v>16</v>
      </c>
      <c r="I1228" t="s">
        <v>17</v>
      </c>
      <c r="J1228" t="s">
        <v>25</v>
      </c>
      <c r="K1228">
        <v>0</v>
      </c>
      <c r="L122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228">
        <f>GhanaStream[[#This Row],[Subscription Fee]]-(GhanaStream[[#This Row],[Discount]]*GhanaStream[[#This Row],[Subscription Fee]])</f>
        <v>500</v>
      </c>
      <c r="N1228" t="str">
        <f>IF(GhanaStream[[#This Row],[Churn Flag]]="Yes","Churned","Retained")</f>
        <v>Churned</v>
      </c>
    </row>
    <row r="1229" spans="1:14" x14ac:dyDescent="0.25">
      <c r="A1229" t="s">
        <v>1267</v>
      </c>
      <c r="B1229" s="1">
        <v>45538</v>
      </c>
      <c r="C1229" t="s">
        <v>31</v>
      </c>
      <c r="D1229" t="s">
        <v>27</v>
      </c>
      <c r="E1229">
        <v>10800</v>
      </c>
      <c r="F1229" t="s">
        <v>14</v>
      </c>
      <c r="G1229" t="s">
        <v>15</v>
      </c>
      <c r="H1229" t="s">
        <v>33</v>
      </c>
      <c r="I1229" t="s">
        <v>34</v>
      </c>
      <c r="J1229" t="s">
        <v>18</v>
      </c>
      <c r="K1229">
        <v>0.1</v>
      </c>
      <c r="L122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229">
        <f>GhanaStream[[#This Row],[Subscription Fee]]-(GhanaStream[[#This Row],[Discount]]*GhanaStream[[#This Row],[Subscription Fee]])</f>
        <v>9720</v>
      </c>
      <c r="N1229" t="str">
        <f>IF(GhanaStream[[#This Row],[Churn Flag]]="Yes","Churned","Retained")</f>
        <v>Retained</v>
      </c>
    </row>
    <row r="1230" spans="1:14" x14ac:dyDescent="0.25">
      <c r="A1230" t="s">
        <v>1268</v>
      </c>
      <c r="B1230" s="1">
        <v>45481</v>
      </c>
      <c r="C1230" t="s">
        <v>31</v>
      </c>
      <c r="D1230" t="s">
        <v>13</v>
      </c>
      <c r="E1230">
        <v>1000</v>
      </c>
      <c r="F1230" t="s">
        <v>21</v>
      </c>
      <c r="G1230" t="s">
        <v>15</v>
      </c>
      <c r="H1230" t="s">
        <v>33</v>
      </c>
      <c r="I1230" t="s">
        <v>34</v>
      </c>
      <c r="J1230" t="s">
        <v>18</v>
      </c>
      <c r="K1230">
        <v>0</v>
      </c>
      <c r="L123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230">
        <f>GhanaStream[[#This Row],[Subscription Fee]]-(GhanaStream[[#This Row],[Discount]]*GhanaStream[[#This Row],[Subscription Fee]])</f>
        <v>1000</v>
      </c>
      <c r="N1230" t="str">
        <f>IF(GhanaStream[[#This Row],[Churn Flag]]="Yes","Churned","Retained")</f>
        <v>Retained</v>
      </c>
    </row>
    <row r="1231" spans="1:14" x14ac:dyDescent="0.25">
      <c r="A1231" t="s">
        <v>1269</v>
      </c>
      <c r="B1231" s="1">
        <v>45513</v>
      </c>
      <c r="C1231" t="s">
        <v>20</v>
      </c>
      <c r="D1231" t="s">
        <v>27</v>
      </c>
      <c r="E1231">
        <v>5400</v>
      </c>
      <c r="F1231" t="s">
        <v>14</v>
      </c>
      <c r="G1231" t="s">
        <v>24</v>
      </c>
      <c r="H1231" t="s">
        <v>16</v>
      </c>
      <c r="I1231" t="s">
        <v>17</v>
      </c>
      <c r="J1231" t="s">
        <v>37</v>
      </c>
      <c r="K1231">
        <v>0.1</v>
      </c>
      <c r="L123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231">
        <f>GhanaStream[[#This Row],[Subscription Fee]]-(GhanaStream[[#This Row],[Discount]]*GhanaStream[[#This Row],[Subscription Fee]])</f>
        <v>4860</v>
      </c>
      <c r="N1231" t="str">
        <f>IF(GhanaStream[[#This Row],[Churn Flag]]="Yes","Churned","Retained")</f>
        <v>Churned</v>
      </c>
    </row>
    <row r="1232" spans="1:14" x14ac:dyDescent="0.25">
      <c r="A1232" t="s">
        <v>1270</v>
      </c>
      <c r="B1232" s="1">
        <v>45545</v>
      </c>
      <c r="C1232" t="s">
        <v>20</v>
      </c>
      <c r="D1232" t="s">
        <v>27</v>
      </c>
      <c r="E1232">
        <v>5400</v>
      </c>
      <c r="F1232" t="s">
        <v>14</v>
      </c>
      <c r="G1232" t="s">
        <v>15</v>
      </c>
      <c r="H1232" t="s">
        <v>16</v>
      </c>
      <c r="I1232" t="s">
        <v>17</v>
      </c>
      <c r="J1232" t="s">
        <v>37</v>
      </c>
      <c r="K1232">
        <v>0.1</v>
      </c>
      <c r="L123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232">
        <f>GhanaStream[[#This Row],[Subscription Fee]]-(GhanaStream[[#This Row],[Discount]]*GhanaStream[[#This Row],[Subscription Fee]])</f>
        <v>4860</v>
      </c>
      <c r="N1232" t="str">
        <f>IF(GhanaStream[[#This Row],[Churn Flag]]="Yes","Churned","Retained")</f>
        <v>Churned</v>
      </c>
    </row>
    <row r="1233" spans="1:14" x14ac:dyDescent="0.25">
      <c r="A1233" t="s">
        <v>1271</v>
      </c>
      <c r="B1233" s="1">
        <v>45582</v>
      </c>
      <c r="C1233" t="s">
        <v>20</v>
      </c>
      <c r="D1233" t="s">
        <v>13</v>
      </c>
      <c r="E1233">
        <v>500</v>
      </c>
      <c r="F1233" t="s">
        <v>49</v>
      </c>
      <c r="G1233" t="s">
        <v>28</v>
      </c>
      <c r="H1233" t="s">
        <v>16</v>
      </c>
      <c r="I1233" t="s">
        <v>17</v>
      </c>
      <c r="J1233" t="s">
        <v>22</v>
      </c>
      <c r="K1233">
        <v>0</v>
      </c>
      <c r="L123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233">
        <f>GhanaStream[[#This Row],[Subscription Fee]]-(GhanaStream[[#This Row],[Discount]]*GhanaStream[[#This Row],[Subscription Fee]])</f>
        <v>500</v>
      </c>
      <c r="N1233" t="str">
        <f>IF(GhanaStream[[#This Row],[Churn Flag]]="Yes","Churned","Retained")</f>
        <v>Churned</v>
      </c>
    </row>
    <row r="1234" spans="1:14" x14ac:dyDescent="0.25">
      <c r="A1234" t="s">
        <v>1272</v>
      </c>
      <c r="B1234" s="1">
        <v>45526</v>
      </c>
      <c r="C1234" t="s">
        <v>12</v>
      </c>
      <c r="D1234" t="s">
        <v>27</v>
      </c>
      <c r="E1234">
        <v>16200</v>
      </c>
      <c r="F1234" t="s">
        <v>32</v>
      </c>
      <c r="G1234" t="s">
        <v>28</v>
      </c>
      <c r="H1234" t="s">
        <v>16</v>
      </c>
      <c r="I1234" t="s">
        <v>17</v>
      </c>
      <c r="J1234" t="s">
        <v>66</v>
      </c>
      <c r="K1234">
        <v>0.1</v>
      </c>
      <c r="L123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234">
        <f>GhanaStream[[#This Row],[Subscription Fee]]-(GhanaStream[[#This Row],[Discount]]*GhanaStream[[#This Row],[Subscription Fee]])</f>
        <v>14580</v>
      </c>
      <c r="N1234" t="str">
        <f>IF(GhanaStream[[#This Row],[Churn Flag]]="Yes","Churned","Retained")</f>
        <v>Churned</v>
      </c>
    </row>
    <row r="1235" spans="1:14" x14ac:dyDescent="0.25">
      <c r="A1235" t="s">
        <v>1273</v>
      </c>
      <c r="B1235" s="1">
        <v>45419</v>
      </c>
      <c r="C1235" t="s">
        <v>20</v>
      </c>
      <c r="D1235" t="s">
        <v>27</v>
      </c>
      <c r="E1235">
        <v>5400</v>
      </c>
      <c r="F1235" t="s">
        <v>32</v>
      </c>
      <c r="G1235" t="s">
        <v>24</v>
      </c>
      <c r="H1235" t="s">
        <v>33</v>
      </c>
      <c r="I1235" t="s">
        <v>34</v>
      </c>
      <c r="J1235" t="s">
        <v>25</v>
      </c>
      <c r="K1235">
        <v>0.1</v>
      </c>
      <c r="L123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235">
        <f>GhanaStream[[#This Row],[Subscription Fee]]-(GhanaStream[[#This Row],[Discount]]*GhanaStream[[#This Row],[Subscription Fee]])</f>
        <v>4860</v>
      </c>
      <c r="N1235" t="str">
        <f>IF(GhanaStream[[#This Row],[Churn Flag]]="Yes","Churned","Retained")</f>
        <v>Retained</v>
      </c>
    </row>
    <row r="1236" spans="1:14" x14ac:dyDescent="0.25">
      <c r="A1236" t="s">
        <v>1274</v>
      </c>
      <c r="B1236" s="1">
        <v>45358</v>
      </c>
      <c r="C1236" t="s">
        <v>12</v>
      </c>
      <c r="D1236" t="s">
        <v>13</v>
      </c>
      <c r="E1236">
        <v>1500</v>
      </c>
      <c r="F1236" t="s">
        <v>21</v>
      </c>
      <c r="G1236" t="s">
        <v>28</v>
      </c>
      <c r="H1236" t="s">
        <v>33</v>
      </c>
      <c r="I1236" t="s">
        <v>34</v>
      </c>
      <c r="J1236" t="s">
        <v>18</v>
      </c>
      <c r="K1236">
        <v>0</v>
      </c>
      <c r="L123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236">
        <f>GhanaStream[[#This Row],[Subscription Fee]]-(GhanaStream[[#This Row],[Discount]]*GhanaStream[[#This Row],[Subscription Fee]])</f>
        <v>1500</v>
      </c>
      <c r="N1236" t="str">
        <f>IF(GhanaStream[[#This Row],[Churn Flag]]="Yes","Churned","Retained")</f>
        <v>Retained</v>
      </c>
    </row>
    <row r="1237" spans="1:14" x14ac:dyDescent="0.25">
      <c r="A1237" t="s">
        <v>1275</v>
      </c>
      <c r="B1237" s="1">
        <v>45158</v>
      </c>
      <c r="C1237" t="s">
        <v>31</v>
      </c>
      <c r="D1237" t="s">
        <v>27</v>
      </c>
      <c r="E1237">
        <v>10800</v>
      </c>
      <c r="F1237" t="s">
        <v>32</v>
      </c>
      <c r="G1237" t="s">
        <v>28</v>
      </c>
      <c r="H1237" t="s">
        <v>33</v>
      </c>
      <c r="I1237" t="s">
        <v>34</v>
      </c>
      <c r="J1237" t="s">
        <v>25</v>
      </c>
      <c r="K1237">
        <v>0.1</v>
      </c>
      <c r="L123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237">
        <f>GhanaStream[[#This Row],[Subscription Fee]]-(GhanaStream[[#This Row],[Discount]]*GhanaStream[[#This Row],[Subscription Fee]])</f>
        <v>9720</v>
      </c>
      <c r="N1237" t="str">
        <f>IF(GhanaStream[[#This Row],[Churn Flag]]="Yes","Churned","Retained")</f>
        <v>Retained</v>
      </c>
    </row>
    <row r="1238" spans="1:14" x14ac:dyDescent="0.25">
      <c r="A1238" t="s">
        <v>1276</v>
      </c>
      <c r="B1238" s="1">
        <v>45413</v>
      </c>
      <c r="C1238" t="s">
        <v>12</v>
      </c>
      <c r="D1238" t="s">
        <v>27</v>
      </c>
      <c r="E1238">
        <v>16200</v>
      </c>
      <c r="F1238" t="s">
        <v>49</v>
      </c>
      <c r="G1238" t="s">
        <v>24</v>
      </c>
      <c r="H1238" t="s">
        <v>16</v>
      </c>
      <c r="I1238" t="s">
        <v>17</v>
      </c>
      <c r="J1238" t="s">
        <v>58</v>
      </c>
      <c r="K1238">
        <v>0.1</v>
      </c>
      <c r="L123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238">
        <f>GhanaStream[[#This Row],[Subscription Fee]]-(GhanaStream[[#This Row],[Discount]]*GhanaStream[[#This Row],[Subscription Fee]])</f>
        <v>14580</v>
      </c>
      <c r="N1238" t="str">
        <f>IF(GhanaStream[[#This Row],[Churn Flag]]="Yes","Churned","Retained")</f>
        <v>Churned</v>
      </c>
    </row>
    <row r="1239" spans="1:14" x14ac:dyDescent="0.25">
      <c r="A1239" t="s">
        <v>1277</v>
      </c>
      <c r="B1239" s="1">
        <v>45040</v>
      </c>
      <c r="C1239" t="s">
        <v>20</v>
      </c>
      <c r="D1239" t="s">
        <v>13</v>
      </c>
      <c r="E1239">
        <v>500</v>
      </c>
      <c r="F1239" t="s">
        <v>32</v>
      </c>
      <c r="G1239" t="s">
        <v>24</v>
      </c>
      <c r="H1239" t="s">
        <v>16</v>
      </c>
      <c r="I1239" t="s">
        <v>17</v>
      </c>
      <c r="J1239" t="s">
        <v>25</v>
      </c>
      <c r="K1239">
        <v>0</v>
      </c>
      <c r="L123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239">
        <f>GhanaStream[[#This Row],[Subscription Fee]]-(GhanaStream[[#This Row],[Discount]]*GhanaStream[[#This Row],[Subscription Fee]])</f>
        <v>500</v>
      </c>
      <c r="N1239" t="str">
        <f>IF(GhanaStream[[#This Row],[Churn Flag]]="Yes","Churned","Retained")</f>
        <v>Churned</v>
      </c>
    </row>
    <row r="1240" spans="1:14" x14ac:dyDescent="0.25">
      <c r="A1240" t="s">
        <v>1278</v>
      </c>
      <c r="B1240" s="1">
        <v>45285</v>
      </c>
      <c r="C1240" t="s">
        <v>31</v>
      </c>
      <c r="D1240" t="s">
        <v>27</v>
      </c>
      <c r="E1240">
        <v>10800</v>
      </c>
      <c r="F1240" t="s">
        <v>49</v>
      </c>
      <c r="G1240" t="s">
        <v>28</v>
      </c>
      <c r="H1240" t="s">
        <v>33</v>
      </c>
      <c r="I1240" t="s">
        <v>34</v>
      </c>
      <c r="J1240" t="s">
        <v>18</v>
      </c>
      <c r="K1240">
        <v>0.1</v>
      </c>
      <c r="L124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240">
        <f>GhanaStream[[#This Row],[Subscription Fee]]-(GhanaStream[[#This Row],[Discount]]*GhanaStream[[#This Row],[Subscription Fee]])</f>
        <v>9720</v>
      </c>
      <c r="N1240" t="str">
        <f>IF(GhanaStream[[#This Row],[Churn Flag]]="Yes","Churned","Retained")</f>
        <v>Retained</v>
      </c>
    </row>
    <row r="1241" spans="1:14" x14ac:dyDescent="0.25">
      <c r="A1241" t="s">
        <v>1279</v>
      </c>
      <c r="B1241" s="1">
        <v>45349</v>
      </c>
      <c r="C1241" t="s">
        <v>31</v>
      </c>
      <c r="D1241" t="s">
        <v>13</v>
      </c>
      <c r="E1241">
        <v>1000</v>
      </c>
      <c r="F1241" t="s">
        <v>14</v>
      </c>
      <c r="G1241" t="s">
        <v>24</v>
      </c>
      <c r="H1241" t="s">
        <v>16</v>
      </c>
      <c r="I1241" t="s">
        <v>17</v>
      </c>
      <c r="J1241" t="s">
        <v>22</v>
      </c>
      <c r="K1241">
        <v>0</v>
      </c>
      <c r="L124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241">
        <f>GhanaStream[[#This Row],[Subscription Fee]]-(GhanaStream[[#This Row],[Discount]]*GhanaStream[[#This Row],[Subscription Fee]])</f>
        <v>1000</v>
      </c>
      <c r="N1241" t="str">
        <f>IF(GhanaStream[[#This Row],[Churn Flag]]="Yes","Churned","Retained")</f>
        <v>Churned</v>
      </c>
    </row>
    <row r="1242" spans="1:14" x14ac:dyDescent="0.25">
      <c r="A1242" t="s">
        <v>1280</v>
      </c>
      <c r="B1242" s="1">
        <v>44961</v>
      </c>
      <c r="C1242" t="s">
        <v>31</v>
      </c>
      <c r="D1242" t="s">
        <v>27</v>
      </c>
      <c r="E1242">
        <v>10800</v>
      </c>
      <c r="F1242" t="s">
        <v>49</v>
      </c>
      <c r="G1242" t="s">
        <v>15</v>
      </c>
      <c r="H1242" t="s">
        <v>16</v>
      </c>
      <c r="I1242" t="s">
        <v>17</v>
      </c>
      <c r="J1242" t="s">
        <v>25</v>
      </c>
      <c r="K1242">
        <v>0.1</v>
      </c>
      <c r="L124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242">
        <f>GhanaStream[[#This Row],[Subscription Fee]]-(GhanaStream[[#This Row],[Discount]]*GhanaStream[[#This Row],[Subscription Fee]])</f>
        <v>9720</v>
      </c>
      <c r="N1242" t="str">
        <f>IF(GhanaStream[[#This Row],[Churn Flag]]="Yes","Churned","Retained")</f>
        <v>Churned</v>
      </c>
    </row>
    <row r="1243" spans="1:14" x14ac:dyDescent="0.25">
      <c r="A1243" t="s">
        <v>1281</v>
      </c>
      <c r="B1243" s="1">
        <v>44976</v>
      </c>
      <c r="C1243" t="s">
        <v>12</v>
      </c>
      <c r="D1243" t="s">
        <v>27</v>
      </c>
      <c r="E1243">
        <v>16200</v>
      </c>
      <c r="F1243" t="s">
        <v>21</v>
      </c>
      <c r="G1243" t="s">
        <v>15</v>
      </c>
      <c r="H1243" t="s">
        <v>16</v>
      </c>
      <c r="I1243" t="s">
        <v>17</v>
      </c>
      <c r="J1243" t="s">
        <v>29</v>
      </c>
      <c r="K1243">
        <v>0.1</v>
      </c>
      <c r="L124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243">
        <f>GhanaStream[[#This Row],[Subscription Fee]]-(GhanaStream[[#This Row],[Discount]]*GhanaStream[[#This Row],[Subscription Fee]])</f>
        <v>14580</v>
      </c>
      <c r="N1243" t="str">
        <f>IF(GhanaStream[[#This Row],[Churn Flag]]="Yes","Churned","Retained")</f>
        <v>Churned</v>
      </c>
    </row>
    <row r="1244" spans="1:14" x14ac:dyDescent="0.25">
      <c r="A1244" t="s">
        <v>1282</v>
      </c>
      <c r="B1244" s="1">
        <v>44932</v>
      </c>
      <c r="C1244" t="s">
        <v>31</v>
      </c>
      <c r="D1244" t="s">
        <v>27</v>
      </c>
      <c r="E1244">
        <v>10800</v>
      </c>
      <c r="F1244" t="s">
        <v>32</v>
      </c>
      <c r="G1244" t="s">
        <v>24</v>
      </c>
      <c r="H1244" t="s">
        <v>16</v>
      </c>
      <c r="I1244" t="s">
        <v>17</v>
      </c>
      <c r="J1244" t="s">
        <v>66</v>
      </c>
      <c r="K1244">
        <v>0.1</v>
      </c>
      <c r="L124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244">
        <f>GhanaStream[[#This Row],[Subscription Fee]]-(GhanaStream[[#This Row],[Discount]]*GhanaStream[[#This Row],[Subscription Fee]])</f>
        <v>9720</v>
      </c>
      <c r="N1244" t="str">
        <f>IF(GhanaStream[[#This Row],[Churn Flag]]="Yes","Churned","Retained")</f>
        <v>Churned</v>
      </c>
    </row>
    <row r="1245" spans="1:14" x14ac:dyDescent="0.25">
      <c r="A1245" t="s">
        <v>1283</v>
      </c>
      <c r="B1245" s="1">
        <v>45233</v>
      </c>
      <c r="C1245" t="s">
        <v>12</v>
      </c>
      <c r="D1245" t="s">
        <v>13</v>
      </c>
      <c r="E1245">
        <v>1500</v>
      </c>
      <c r="F1245" t="s">
        <v>14</v>
      </c>
      <c r="G1245" t="s">
        <v>28</v>
      </c>
      <c r="H1245" t="s">
        <v>33</v>
      </c>
      <c r="I1245" t="s">
        <v>34</v>
      </c>
      <c r="J1245" t="s">
        <v>37</v>
      </c>
      <c r="K1245">
        <v>0</v>
      </c>
      <c r="L124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245">
        <f>GhanaStream[[#This Row],[Subscription Fee]]-(GhanaStream[[#This Row],[Discount]]*GhanaStream[[#This Row],[Subscription Fee]])</f>
        <v>1500</v>
      </c>
      <c r="N1245" t="str">
        <f>IF(GhanaStream[[#This Row],[Churn Flag]]="Yes","Churned","Retained")</f>
        <v>Retained</v>
      </c>
    </row>
    <row r="1246" spans="1:14" x14ac:dyDescent="0.25">
      <c r="A1246" t="s">
        <v>1284</v>
      </c>
      <c r="B1246" s="1">
        <v>45556</v>
      </c>
      <c r="C1246" t="s">
        <v>31</v>
      </c>
      <c r="D1246" t="s">
        <v>27</v>
      </c>
      <c r="E1246">
        <v>10800</v>
      </c>
      <c r="F1246" t="s">
        <v>14</v>
      </c>
      <c r="G1246" t="s">
        <v>28</v>
      </c>
      <c r="H1246" t="s">
        <v>16</v>
      </c>
      <c r="I1246" t="s">
        <v>17</v>
      </c>
      <c r="J1246" t="s">
        <v>18</v>
      </c>
      <c r="K1246">
        <v>0.1</v>
      </c>
      <c r="L124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246">
        <f>GhanaStream[[#This Row],[Subscription Fee]]-(GhanaStream[[#This Row],[Discount]]*GhanaStream[[#This Row],[Subscription Fee]])</f>
        <v>9720</v>
      </c>
      <c r="N1246" t="str">
        <f>IF(GhanaStream[[#This Row],[Churn Flag]]="Yes","Churned","Retained")</f>
        <v>Churned</v>
      </c>
    </row>
    <row r="1247" spans="1:14" x14ac:dyDescent="0.25">
      <c r="A1247" t="s">
        <v>1285</v>
      </c>
      <c r="B1247" s="1">
        <v>45039</v>
      </c>
      <c r="C1247" t="s">
        <v>20</v>
      </c>
      <c r="D1247" t="s">
        <v>27</v>
      </c>
      <c r="E1247">
        <v>5400</v>
      </c>
      <c r="F1247" t="s">
        <v>14</v>
      </c>
      <c r="G1247" t="s">
        <v>15</v>
      </c>
      <c r="H1247" t="s">
        <v>33</v>
      </c>
      <c r="I1247" t="s">
        <v>34</v>
      </c>
      <c r="J1247" t="s">
        <v>41</v>
      </c>
      <c r="K1247">
        <v>0.1</v>
      </c>
      <c r="L124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247">
        <f>GhanaStream[[#This Row],[Subscription Fee]]-(GhanaStream[[#This Row],[Discount]]*GhanaStream[[#This Row],[Subscription Fee]])</f>
        <v>4860</v>
      </c>
      <c r="N1247" t="str">
        <f>IF(GhanaStream[[#This Row],[Churn Flag]]="Yes","Churned","Retained")</f>
        <v>Retained</v>
      </c>
    </row>
    <row r="1248" spans="1:14" x14ac:dyDescent="0.25">
      <c r="A1248" t="s">
        <v>1286</v>
      </c>
      <c r="B1248" s="1">
        <v>45288</v>
      </c>
      <c r="C1248" t="s">
        <v>20</v>
      </c>
      <c r="D1248" t="s">
        <v>13</v>
      </c>
      <c r="E1248">
        <v>500</v>
      </c>
      <c r="F1248" t="s">
        <v>21</v>
      </c>
      <c r="G1248" t="s">
        <v>28</v>
      </c>
      <c r="H1248" t="s">
        <v>16</v>
      </c>
      <c r="I1248" t="s">
        <v>17</v>
      </c>
      <c r="J1248" t="s">
        <v>18</v>
      </c>
      <c r="K1248">
        <v>0</v>
      </c>
      <c r="L124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248">
        <f>GhanaStream[[#This Row],[Subscription Fee]]-(GhanaStream[[#This Row],[Discount]]*GhanaStream[[#This Row],[Subscription Fee]])</f>
        <v>500</v>
      </c>
      <c r="N1248" t="str">
        <f>IF(GhanaStream[[#This Row],[Churn Flag]]="Yes","Churned","Retained")</f>
        <v>Churned</v>
      </c>
    </row>
    <row r="1249" spans="1:14" x14ac:dyDescent="0.25">
      <c r="A1249" t="s">
        <v>1287</v>
      </c>
      <c r="B1249" s="1">
        <v>45622</v>
      </c>
      <c r="C1249" t="s">
        <v>12</v>
      </c>
      <c r="D1249" t="s">
        <v>13</v>
      </c>
      <c r="E1249">
        <v>1500</v>
      </c>
      <c r="F1249" t="s">
        <v>32</v>
      </c>
      <c r="G1249" t="s">
        <v>15</v>
      </c>
      <c r="H1249" t="s">
        <v>33</v>
      </c>
      <c r="I1249" t="s">
        <v>34</v>
      </c>
      <c r="J1249" t="s">
        <v>39</v>
      </c>
      <c r="K1249">
        <v>0</v>
      </c>
      <c r="L124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249">
        <f>GhanaStream[[#This Row],[Subscription Fee]]-(GhanaStream[[#This Row],[Discount]]*GhanaStream[[#This Row],[Subscription Fee]])</f>
        <v>1500</v>
      </c>
      <c r="N1249" t="str">
        <f>IF(GhanaStream[[#This Row],[Churn Flag]]="Yes","Churned","Retained")</f>
        <v>Retained</v>
      </c>
    </row>
    <row r="1250" spans="1:14" x14ac:dyDescent="0.25">
      <c r="A1250" t="s">
        <v>1288</v>
      </c>
      <c r="B1250" s="1">
        <v>45637</v>
      </c>
      <c r="C1250" t="s">
        <v>12</v>
      </c>
      <c r="D1250" t="s">
        <v>27</v>
      </c>
      <c r="E1250">
        <v>16200</v>
      </c>
      <c r="F1250" t="s">
        <v>49</v>
      </c>
      <c r="G1250" t="s">
        <v>28</v>
      </c>
      <c r="H1250" t="s">
        <v>16</v>
      </c>
      <c r="I1250" t="s">
        <v>17</v>
      </c>
      <c r="J1250" t="s">
        <v>25</v>
      </c>
      <c r="K1250">
        <v>0.1</v>
      </c>
      <c r="L125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250">
        <f>GhanaStream[[#This Row],[Subscription Fee]]-(GhanaStream[[#This Row],[Discount]]*GhanaStream[[#This Row],[Subscription Fee]])</f>
        <v>14580</v>
      </c>
      <c r="N1250" t="str">
        <f>IF(GhanaStream[[#This Row],[Churn Flag]]="Yes","Churned","Retained")</f>
        <v>Churned</v>
      </c>
    </row>
    <row r="1251" spans="1:14" x14ac:dyDescent="0.25">
      <c r="A1251" t="s">
        <v>1289</v>
      </c>
      <c r="B1251" s="1">
        <v>45424</v>
      </c>
      <c r="C1251" t="s">
        <v>31</v>
      </c>
      <c r="D1251" t="s">
        <v>27</v>
      </c>
      <c r="E1251">
        <v>10800</v>
      </c>
      <c r="F1251" t="s">
        <v>49</v>
      </c>
      <c r="G1251" t="s">
        <v>24</v>
      </c>
      <c r="H1251" t="s">
        <v>16</v>
      </c>
      <c r="I1251" t="s">
        <v>17</v>
      </c>
      <c r="J1251" t="s">
        <v>35</v>
      </c>
      <c r="K1251">
        <v>0.1</v>
      </c>
      <c r="L125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251">
        <f>GhanaStream[[#This Row],[Subscription Fee]]-(GhanaStream[[#This Row],[Discount]]*GhanaStream[[#This Row],[Subscription Fee]])</f>
        <v>9720</v>
      </c>
      <c r="N1251" t="str">
        <f>IF(GhanaStream[[#This Row],[Churn Flag]]="Yes","Churned","Retained")</f>
        <v>Churned</v>
      </c>
    </row>
    <row r="1252" spans="1:14" x14ac:dyDescent="0.25">
      <c r="A1252" t="s">
        <v>1290</v>
      </c>
      <c r="B1252" s="1">
        <v>45160</v>
      </c>
      <c r="C1252" t="s">
        <v>31</v>
      </c>
      <c r="D1252" t="s">
        <v>13</v>
      </c>
      <c r="E1252">
        <v>1000</v>
      </c>
      <c r="F1252" t="s">
        <v>14</v>
      </c>
      <c r="G1252" t="s">
        <v>15</v>
      </c>
      <c r="H1252" t="s">
        <v>16</v>
      </c>
      <c r="I1252" t="s">
        <v>17</v>
      </c>
      <c r="J1252" t="s">
        <v>37</v>
      </c>
      <c r="K1252">
        <v>0</v>
      </c>
      <c r="L125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252">
        <f>GhanaStream[[#This Row],[Subscription Fee]]-(GhanaStream[[#This Row],[Discount]]*GhanaStream[[#This Row],[Subscription Fee]])</f>
        <v>1000</v>
      </c>
      <c r="N1252" t="str">
        <f>IF(GhanaStream[[#This Row],[Churn Flag]]="Yes","Churned","Retained")</f>
        <v>Churned</v>
      </c>
    </row>
    <row r="1253" spans="1:14" x14ac:dyDescent="0.25">
      <c r="A1253" t="s">
        <v>1291</v>
      </c>
      <c r="B1253" s="1">
        <v>45476</v>
      </c>
      <c r="C1253" t="s">
        <v>20</v>
      </c>
      <c r="D1253" t="s">
        <v>13</v>
      </c>
      <c r="E1253">
        <v>500</v>
      </c>
      <c r="F1253" t="s">
        <v>32</v>
      </c>
      <c r="G1253" t="s">
        <v>15</v>
      </c>
      <c r="H1253" t="s">
        <v>16</v>
      </c>
      <c r="I1253" t="s">
        <v>17</v>
      </c>
      <c r="J1253" t="s">
        <v>35</v>
      </c>
      <c r="K1253">
        <v>0</v>
      </c>
      <c r="L125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253">
        <f>GhanaStream[[#This Row],[Subscription Fee]]-(GhanaStream[[#This Row],[Discount]]*GhanaStream[[#This Row],[Subscription Fee]])</f>
        <v>500</v>
      </c>
      <c r="N1253" t="str">
        <f>IF(GhanaStream[[#This Row],[Churn Flag]]="Yes","Churned","Retained")</f>
        <v>Churned</v>
      </c>
    </row>
    <row r="1254" spans="1:14" x14ac:dyDescent="0.25">
      <c r="A1254" t="s">
        <v>1292</v>
      </c>
      <c r="B1254" s="1">
        <v>45232</v>
      </c>
      <c r="C1254" t="s">
        <v>20</v>
      </c>
      <c r="D1254" t="s">
        <v>27</v>
      </c>
      <c r="E1254">
        <v>5400</v>
      </c>
      <c r="F1254" t="s">
        <v>14</v>
      </c>
      <c r="G1254" t="s">
        <v>28</v>
      </c>
      <c r="H1254" t="s">
        <v>33</v>
      </c>
      <c r="I1254" t="s">
        <v>34</v>
      </c>
      <c r="J1254" t="s">
        <v>41</v>
      </c>
      <c r="K1254">
        <v>0.1</v>
      </c>
      <c r="L125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254">
        <f>GhanaStream[[#This Row],[Subscription Fee]]-(GhanaStream[[#This Row],[Discount]]*GhanaStream[[#This Row],[Subscription Fee]])</f>
        <v>4860</v>
      </c>
      <c r="N1254" t="str">
        <f>IF(GhanaStream[[#This Row],[Churn Flag]]="Yes","Churned","Retained")</f>
        <v>Retained</v>
      </c>
    </row>
    <row r="1255" spans="1:14" x14ac:dyDescent="0.25">
      <c r="A1255" t="s">
        <v>1293</v>
      </c>
      <c r="B1255" s="1">
        <v>45639</v>
      </c>
      <c r="C1255" t="s">
        <v>31</v>
      </c>
      <c r="D1255" t="s">
        <v>13</v>
      </c>
      <c r="E1255">
        <v>1000</v>
      </c>
      <c r="F1255" t="s">
        <v>49</v>
      </c>
      <c r="G1255" t="s">
        <v>28</v>
      </c>
      <c r="H1255" t="s">
        <v>16</v>
      </c>
      <c r="I1255" t="s">
        <v>17</v>
      </c>
      <c r="J1255" t="s">
        <v>25</v>
      </c>
      <c r="K1255">
        <v>0</v>
      </c>
      <c r="L125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255">
        <f>GhanaStream[[#This Row],[Subscription Fee]]-(GhanaStream[[#This Row],[Discount]]*GhanaStream[[#This Row],[Subscription Fee]])</f>
        <v>1000</v>
      </c>
      <c r="N1255" t="str">
        <f>IF(GhanaStream[[#This Row],[Churn Flag]]="Yes","Churned","Retained")</f>
        <v>Churned</v>
      </c>
    </row>
    <row r="1256" spans="1:14" x14ac:dyDescent="0.25">
      <c r="A1256" t="s">
        <v>1294</v>
      </c>
      <c r="B1256" s="1">
        <v>45628</v>
      </c>
      <c r="C1256" t="s">
        <v>31</v>
      </c>
      <c r="D1256" t="s">
        <v>27</v>
      </c>
      <c r="E1256">
        <v>10800</v>
      </c>
      <c r="F1256" t="s">
        <v>21</v>
      </c>
      <c r="G1256" t="s">
        <v>24</v>
      </c>
      <c r="H1256" t="s">
        <v>16</v>
      </c>
      <c r="I1256" t="s">
        <v>17</v>
      </c>
      <c r="J1256" t="s">
        <v>18</v>
      </c>
      <c r="K1256">
        <v>0.1</v>
      </c>
      <c r="L125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256">
        <f>GhanaStream[[#This Row],[Subscription Fee]]-(GhanaStream[[#This Row],[Discount]]*GhanaStream[[#This Row],[Subscription Fee]])</f>
        <v>9720</v>
      </c>
      <c r="N1256" t="str">
        <f>IF(GhanaStream[[#This Row],[Churn Flag]]="Yes","Churned","Retained")</f>
        <v>Churned</v>
      </c>
    </row>
    <row r="1257" spans="1:14" x14ac:dyDescent="0.25">
      <c r="A1257" t="s">
        <v>1295</v>
      </c>
      <c r="B1257" s="1">
        <v>45102</v>
      </c>
      <c r="C1257" t="s">
        <v>12</v>
      </c>
      <c r="D1257" t="s">
        <v>27</v>
      </c>
      <c r="E1257">
        <v>16200</v>
      </c>
      <c r="F1257" t="s">
        <v>14</v>
      </c>
      <c r="G1257" t="s">
        <v>28</v>
      </c>
      <c r="H1257" t="s">
        <v>16</v>
      </c>
      <c r="I1257" t="s">
        <v>17</v>
      </c>
      <c r="J1257" t="s">
        <v>22</v>
      </c>
      <c r="K1257">
        <v>0.1</v>
      </c>
      <c r="L125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257">
        <f>GhanaStream[[#This Row],[Subscription Fee]]-(GhanaStream[[#This Row],[Discount]]*GhanaStream[[#This Row],[Subscription Fee]])</f>
        <v>14580</v>
      </c>
      <c r="N1257" t="str">
        <f>IF(GhanaStream[[#This Row],[Churn Flag]]="Yes","Churned","Retained")</f>
        <v>Churned</v>
      </c>
    </row>
    <row r="1258" spans="1:14" x14ac:dyDescent="0.25">
      <c r="A1258" t="s">
        <v>1296</v>
      </c>
      <c r="B1258" s="1">
        <v>45420</v>
      </c>
      <c r="C1258" t="s">
        <v>31</v>
      </c>
      <c r="D1258" t="s">
        <v>27</v>
      </c>
      <c r="E1258">
        <v>10800</v>
      </c>
      <c r="F1258" t="s">
        <v>21</v>
      </c>
      <c r="G1258" t="s">
        <v>15</v>
      </c>
      <c r="H1258" t="s">
        <v>33</v>
      </c>
      <c r="I1258" t="s">
        <v>34</v>
      </c>
      <c r="J1258" t="s">
        <v>25</v>
      </c>
      <c r="K1258">
        <v>0.1</v>
      </c>
      <c r="L125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258">
        <f>GhanaStream[[#This Row],[Subscription Fee]]-(GhanaStream[[#This Row],[Discount]]*GhanaStream[[#This Row],[Subscription Fee]])</f>
        <v>9720</v>
      </c>
      <c r="N1258" t="str">
        <f>IF(GhanaStream[[#This Row],[Churn Flag]]="Yes","Churned","Retained")</f>
        <v>Retained</v>
      </c>
    </row>
    <row r="1259" spans="1:14" x14ac:dyDescent="0.25">
      <c r="A1259" t="s">
        <v>1297</v>
      </c>
      <c r="B1259" s="1">
        <v>45528</v>
      </c>
      <c r="C1259" t="s">
        <v>20</v>
      </c>
      <c r="D1259" t="s">
        <v>27</v>
      </c>
      <c r="E1259">
        <v>5400</v>
      </c>
      <c r="F1259" t="s">
        <v>14</v>
      </c>
      <c r="G1259" t="s">
        <v>28</v>
      </c>
      <c r="H1259" t="s">
        <v>16</v>
      </c>
      <c r="I1259" t="s">
        <v>17</v>
      </c>
      <c r="J1259" t="s">
        <v>37</v>
      </c>
      <c r="K1259">
        <v>0.1</v>
      </c>
      <c r="L125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259">
        <f>GhanaStream[[#This Row],[Subscription Fee]]-(GhanaStream[[#This Row],[Discount]]*GhanaStream[[#This Row],[Subscription Fee]])</f>
        <v>4860</v>
      </c>
      <c r="N1259" t="str">
        <f>IF(GhanaStream[[#This Row],[Churn Flag]]="Yes","Churned","Retained")</f>
        <v>Churned</v>
      </c>
    </row>
    <row r="1260" spans="1:14" x14ac:dyDescent="0.25">
      <c r="A1260" t="s">
        <v>1298</v>
      </c>
      <c r="B1260" s="1">
        <v>45536</v>
      </c>
      <c r="C1260" t="s">
        <v>31</v>
      </c>
      <c r="D1260" t="s">
        <v>13</v>
      </c>
      <c r="E1260">
        <v>1000</v>
      </c>
      <c r="F1260" t="s">
        <v>21</v>
      </c>
      <c r="G1260" t="s">
        <v>15</v>
      </c>
      <c r="H1260" t="s">
        <v>33</v>
      </c>
      <c r="I1260" t="s">
        <v>34</v>
      </c>
      <c r="J1260" t="s">
        <v>29</v>
      </c>
      <c r="K1260">
        <v>0</v>
      </c>
      <c r="L126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260">
        <f>GhanaStream[[#This Row],[Subscription Fee]]-(GhanaStream[[#This Row],[Discount]]*GhanaStream[[#This Row],[Subscription Fee]])</f>
        <v>1000</v>
      </c>
      <c r="N1260" t="str">
        <f>IF(GhanaStream[[#This Row],[Churn Flag]]="Yes","Churned","Retained")</f>
        <v>Retained</v>
      </c>
    </row>
    <row r="1261" spans="1:14" x14ac:dyDescent="0.25">
      <c r="A1261" t="s">
        <v>1299</v>
      </c>
      <c r="B1261" s="1">
        <v>45514</v>
      </c>
      <c r="C1261" t="s">
        <v>20</v>
      </c>
      <c r="D1261" t="s">
        <v>13</v>
      </c>
      <c r="E1261">
        <v>500</v>
      </c>
      <c r="F1261" t="s">
        <v>32</v>
      </c>
      <c r="G1261" t="s">
        <v>28</v>
      </c>
      <c r="H1261" t="s">
        <v>16</v>
      </c>
      <c r="I1261" t="s">
        <v>17</v>
      </c>
      <c r="J1261" t="s">
        <v>35</v>
      </c>
      <c r="K1261">
        <v>0</v>
      </c>
      <c r="L126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261">
        <f>GhanaStream[[#This Row],[Subscription Fee]]-(GhanaStream[[#This Row],[Discount]]*GhanaStream[[#This Row],[Subscription Fee]])</f>
        <v>500</v>
      </c>
      <c r="N1261" t="str">
        <f>IF(GhanaStream[[#This Row],[Churn Flag]]="Yes","Churned","Retained")</f>
        <v>Churned</v>
      </c>
    </row>
    <row r="1262" spans="1:14" x14ac:dyDescent="0.25">
      <c r="A1262" t="s">
        <v>1300</v>
      </c>
      <c r="B1262" s="1">
        <v>45094</v>
      </c>
      <c r="C1262" t="s">
        <v>20</v>
      </c>
      <c r="D1262" t="s">
        <v>13</v>
      </c>
      <c r="E1262">
        <v>500</v>
      </c>
      <c r="F1262" t="s">
        <v>32</v>
      </c>
      <c r="G1262" t="s">
        <v>15</v>
      </c>
      <c r="H1262" t="s">
        <v>16</v>
      </c>
      <c r="I1262" t="s">
        <v>17</v>
      </c>
      <c r="J1262" t="s">
        <v>39</v>
      </c>
      <c r="K1262">
        <v>0</v>
      </c>
      <c r="L126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262">
        <f>GhanaStream[[#This Row],[Subscription Fee]]-(GhanaStream[[#This Row],[Discount]]*GhanaStream[[#This Row],[Subscription Fee]])</f>
        <v>500</v>
      </c>
      <c r="N1262" t="str">
        <f>IF(GhanaStream[[#This Row],[Churn Flag]]="Yes","Churned","Retained")</f>
        <v>Churned</v>
      </c>
    </row>
    <row r="1263" spans="1:14" x14ac:dyDescent="0.25">
      <c r="A1263" t="s">
        <v>1301</v>
      </c>
      <c r="B1263" s="1">
        <v>44986</v>
      </c>
      <c r="C1263" t="s">
        <v>31</v>
      </c>
      <c r="D1263" t="s">
        <v>13</v>
      </c>
      <c r="E1263">
        <v>1000</v>
      </c>
      <c r="F1263" t="s">
        <v>49</v>
      </c>
      <c r="G1263" t="s">
        <v>24</v>
      </c>
      <c r="H1263" t="s">
        <v>16</v>
      </c>
      <c r="I1263" t="s">
        <v>17</v>
      </c>
      <c r="J1263" t="s">
        <v>58</v>
      </c>
      <c r="K1263">
        <v>0</v>
      </c>
      <c r="L126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263">
        <f>GhanaStream[[#This Row],[Subscription Fee]]-(GhanaStream[[#This Row],[Discount]]*GhanaStream[[#This Row],[Subscription Fee]])</f>
        <v>1000</v>
      </c>
      <c r="N1263" t="str">
        <f>IF(GhanaStream[[#This Row],[Churn Flag]]="Yes","Churned","Retained")</f>
        <v>Churned</v>
      </c>
    </row>
    <row r="1264" spans="1:14" x14ac:dyDescent="0.25">
      <c r="A1264" t="s">
        <v>1302</v>
      </c>
      <c r="B1264" s="1">
        <v>45533</v>
      </c>
      <c r="C1264" t="s">
        <v>20</v>
      </c>
      <c r="D1264" t="s">
        <v>27</v>
      </c>
      <c r="E1264">
        <v>5400</v>
      </c>
      <c r="F1264" t="s">
        <v>49</v>
      </c>
      <c r="G1264" t="s">
        <v>15</v>
      </c>
      <c r="H1264" t="s">
        <v>16</v>
      </c>
      <c r="I1264" t="s">
        <v>17</v>
      </c>
      <c r="J1264" t="s">
        <v>25</v>
      </c>
      <c r="K1264">
        <v>0.1</v>
      </c>
      <c r="L126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264">
        <f>GhanaStream[[#This Row],[Subscription Fee]]-(GhanaStream[[#This Row],[Discount]]*GhanaStream[[#This Row],[Subscription Fee]])</f>
        <v>4860</v>
      </c>
      <c r="N1264" t="str">
        <f>IF(GhanaStream[[#This Row],[Churn Flag]]="Yes","Churned","Retained")</f>
        <v>Churned</v>
      </c>
    </row>
    <row r="1265" spans="1:14" x14ac:dyDescent="0.25">
      <c r="A1265" t="s">
        <v>1303</v>
      </c>
      <c r="B1265" s="1">
        <v>45427</v>
      </c>
      <c r="C1265" t="s">
        <v>20</v>
      </c>
      <c r="D1265" t="s">
        <v>13</v>
      </c>
      <c r="E1265">
        <v>500</v>
      </c>
      <c r="F1265" t="s">
        <v>49</v>
      </c>
      <c r="G1265" t="s">
        <v>24</v>
      </c>
      <c r="H1265" t="s">
        <v>33</v>
      </c>
      <c r="I1265" t="s">
        <v>34</v>
      </c>
      <c r="J1265" t="s">
        <v>58</v>
      </c>
      <c r="K1265">
        <v>0</v>
      </c>
      <c r="L126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265">
        <f>GhanaStream[[#This Row],[Subscription Fee]]-(GhanaStream[[#This Row],[Discount]]*GhanaStream[[#This Row],[Subscription Fee]])</f>
        <v>500</v>
      </c>
      <c r="N1265" t="str">
        <f>IF(GhanaStream[[#This Row],[Churn Flag]]="Yes","Churned","Retained")</f>
        <v>Retained</v>
      </c>
    </row>
    <row r="1266" spans="1:14" x14ac:dyDescent="0.25">
      <c r="A1266" t="s">
        <v>1304</v>
      </c>
      <c r="B1266" s="1">
        <v>45208</v>
      </c>
      <c r="C1266" t="s">
        <v>31</v>
      </c>
      <c r="D1266" t="s">
        <v>27</v>
      </c>
      <c r="E1266">
        <v>10800</v>
      </c>
      <c r="F1266" t="s">
        <v>32</v>
      </c>
      <c r="G1266" t="s">
        <v>15</v>
      </c>
      <c r="H1266" t="s">
        <v>16</v>
      </c>
      <c r="I1266" t="s">
        <v>17</v>
      </c>
      <c r="J1266" t="s">
        <v>39</v>
      </c>
      <c r="K1266">
        <v>0.1</v>
      </c>
      <c r="L126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266">
        <f>GhanaStream[[#This Row],[Subscription Fee]]-(GhanaStream[[#This Row],[Discount]]*GhanaStream[[#This Row],[Subscription Fee]])</f>
        <v>9720</v>
      </c>
      <c r="N1266" t="str">
        <f>IF(GhanaStream[[#This Row],[Churn Flag]]="Yes","Churned","Retained")</f>
        <v>Churned</v>
      </c>
    </row>
    <row r="1267" spans="1:14" x14ac:dyDescent="0.25">
      <c r="A1267" t="s">
        <v>1305</v>
      </c>
      <c r="B1267" s="1">
        <v>45046</v>
      </c>
      <c r="C1267" t="s">
        <v>31</v>
      </c>
      <c r="D1267" t="s">
        <v>27</v>
      </c>
      <c r="E1267">
        <v>10800</v>
      </c>
      <c r="F1267" t="s">
        <v>32</v>
      </c>
      <c r="G1267" t="s">
        <v>28</v>
      </c>
      <c r="H1267" t="s">
        <v>16</v>
      </c>
      <c r="I1267" t="s">
        <v>17</v>
      </c>
      <c r="J1267" t="s">
        <v>66</v>
      </c>
      <c r="K1267">
        <v>0.1</v>
      </c>
      <c r="L126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267">
        <f>GhanaStream[[#This Row],[Subscription Fee]]-(GhanaStream[[#This Row],[Discount]]*GhanaStream[[#This Row],[Subscription Fee]])</f>
        <v>9720</v>
      </c>
      <c r="N1267" t="str">
        <f>IF(GhanaStream[[#This Row],[Churn Flag]]="Yes","Churned","Retained")</f>
        <v>Churned</v>
      </c>
    </row>
    <row r="1268" spans="1:14" x14ac:dyDescent="0.25">
      <c r="A1268" t="s">
        <v>1306</v>
      </c>
      <c r="B1268" s="1">
        <v>45306</v>
      </c>
      <c r="C1268" t="s">
        <v>31</v>
      </c>
      <c r="D1268" t="s">
        <v>27</v>
      </c>
      <c r="E1268">
        <v>10800</v>
      </c>
      <c r="F1268" t="s">
        <v>32</v>
      </c>
      <c r="G1268" t="s">
        <v>28</v>
      </c>
      <c r="H1268" t="s">
        <v>16</v>
      </c>
      <c r="I1268" t="s">
        <v>17</v>
      </c>
      <c r="J1268" t="s">
        <v>25</v>
      </c>
      <c r="K1268">
        <v>0.1</v>
      </c>
      <c r="L126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268">
        <f>GhanaStream[[#This Row],[Subscription Fee]]-(GhanaStream[[#This Row],[Discount]]*GhanaStream[[#This Row],[Subscription Fee]])</f>
        <v>9720</v>
      </c>
      <c r="N1268" t="str">
        <f>IF(GhanaStream[[#This Row],[Churn Flag]]="Yes","Churned","Retained")</f>
        <v>Churned</v>
      </c>
    </row>
    <row r="1269" spans="1:14" x14ac:dyDescent="0.25">
      <c r="A1269" t="s">
        <v>1307</v>
      </c>
      <c r="B1269" s="1">
        <v>45043</v>
      </c>
      <c r="C1269" t="s">
        <v>20</v>
      </c>
      <c r="D1269" t="s">
        <v>27</v>
      </c>
      <c r="E1269">
        <v>5400</v>
      </c>
      <c r="F1269" t="s">
        <v>49</v>
      </c>
      <c r="G1269" t="s">
        <v>28</v>
      </c>
      <c r="H1269" t="s">
        <v>16</v>
      </c>
      <c r="I1269" t="s">
        <v>17</v>
      </c>
      <c r="J1269" t="s">
        <v>22</v>
      </c>
      <c r="K1269">
        <v>0.1</v>
      </c>
      <c r="L126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269">
        <f>GhanaStream[[#This Row],[Subscription Fee]]-(GhanaStream[[#This Row],[Discount]]*GhanaStream[[#This Row],[Subscription Fee]])</f>
        <v>4860</v>
      </c>
      <c r="N1269" t="str">
        <f>IF(GhanaStream[[#This Row],[Churn Flag]]="Yes","Churned","Retained")</f>
        <v>Churned</v>
      </c>
    </row>
    <row r="1270" spans="1:14" x14ac:dyDescent="0.25">
      <c r="A1270" t="s">
        <v>1308</v>
      </c>
      <c r="B1270" s="1">
        <v>45605</v>
      </c>
      <c r="C1270" t="s">
        <v>31</v>
      </c>
      <c r="D1270" t="s">
        <v>13</v>
      </c>
      <c r="E1270">
        <v>1000</v>
      </c>
      <c r="F1270" t="s">
        <v>32</v>
      </c>
      <c r="G1270" t="s">
        <v>28</v>
      </c>
      <c r="H1270" t="s">
        <v>16</v>
      </c>
      <c r="I1270" t="s">
        <v>17</v>
      </c>
      <c r="J1270" t="s">
        <v>25</v>
      </c>
      <c r="K1270">
        <v>0</v>
      </c>
      <c r="L127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270">
        <f>GhanaStream[[#This Row],[Subscription Fee]]-(GhanaStream[[#This Row],[Discount]]*GhanaStream[[#This Row],[Subscription Fee]])</f>
        <v>1000</v>
      </c>
      <c r="N1270" t="str">
        <f>IF(GhanaStream[[#This Row],[Churn Flag]]="Yes","Churned","Retained")</f>
        <v>Churned</v>
      </c>
    </row>
    <row r="1271" spans="1:14" x14ac:dyDescent="0.25">
      <c r="A1271" t="s">
        <v>1309</v>
      </c>
      <c r="B1271" s="1">
        <v>45370</v>
      </c>
      <c r="C1271" t="s">
        <v>20</v>
      </c>
      <c r="D1271" t="s">
        <v>27</v>
      </c>
      <c r="E1271">
        <v>5400</v>
      </c>
      <c r="F1271" t="s">
        <v>49</v>
      </c>
      <c r="G1271" t="s">
        <v>15</v>
      </c>
      <c r="H1271" t="s">
        <v>16</v>
      </c>
      <c r="I1271" t="s">
        <v>17</v>
      </c>
      <c r="J1271" t="s">
        <v>50</v>
      </c>
      <c r="K1271">
        <v>0.1</v>
      </c>
      <c r="L127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271">
        <f>GhanaStream[[#This Row],[Subscription Fee]]-(GhanaStream[[#This Row],[Discount]]*GhanaStream[[#This Row],[Subscription Fee]])</f>
        <v>4860</v>
      </c>
      <c r="N1271" t="str">
        <f>IF(GhanaStream[[#This Row],[Churn Flag]]="Yes","Churned","Retained")</f>
        <v>Churned</v>
      </c>
    </row>
    <row r="1272" spans="1:14" x14ac:dyDescent="0.25">
      <c r="A1272" t="s">
        <v>1310</v>
      </c>
      <c r="B1272" s="1">
        <v>45281</v>
      </c>
      <c r="C1272" t="s">
        <v>12</v>
      </c>
      <c r="D1272" t="s">
        <v>13</v>
      </c>
      <c r="E1272">
        <v>1500</v>
      </c>
      <c r="F1272" t="s">
        <v>49</v>
      </c>
      <c r="G1272" t="s">
        <v>15</v>
      </c>
      <c r="H1272" t="s">
        <v>16</v>
      </c>
      <c r="I1272" t="s">
        <v>17</v>
      </c>
      <c r="J1272" t="s">
        <v>50</v>
      </c>
      <c r="K1272">
        <v>0</v>
      </c>
      <c r="L127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272">
        <f>GhanaStream[[#This Row],[Subscription Fee]]-(GhanaStream[[#This Row],[Discount]]*GhanaStream[[#This Row],[Subscription Fee]])</f>
        <v>1500</v>
      </c>
      <c r="N1272" t="str">
        <f>IF(GhanaStream[[#This Row],[Churn Flag]]="Yes","Churned","Retained")</f>
        <v>Churned</v>
      </c>
    </row>
    <row r="1273" spans="1:14" x14ac:dyDescent="0.25">
      <c r="A1273" t="s">
        <v>1311</v>
      </c>
      <c r="B1273" s="1">
        <v>45456</v>
      </c>
      <c r="C1273" t="s">
        <v>31</v>
      </c>
      <c r="D1273" t="s">
        <v>13</v>
      </c>
      <c r="E1273">
        <v>1000</v>
      </c>
      <c r="F1273" t="s">
        <v>49</v>
      </c>
      <c r="G1273" t="s">
        <v>15</v>
      </c>
      <c r="H1273" t="s">
        <v>16</v>
      </c>
      <c r="I1273" t="s">
        <v>17</v>
      </c>
      <c r="J1273" t="s">
        <v>58</v>
      </c>
      <c r="K1273">
        <v>0</v>
      </c>
      <c r="L127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273">
        <f>GhanaStream[[#This Row],[Subscription Fee]]-(GhanaStream[[#This Row],[Discount]]*GhanaStream[[#This Row],[Subscription Fee]])</f>
        <v>1000</v>
      </c>
      <c r="N1273" t="str">
        <f>IF(GhanaStream[[#This Row],[Churn Flag]]="Yes","Churned","Retained")</f>
        <v>Churned</v>
      </c>
    </row>
    <row r="1274" spans="1:14" x14ac:dyDescent="0.25">
      <c r="A1274" t="s">
        <v>1312</v>
      </c>
      <c r="B1274" s="1">
        <v>45295</v>
      </c>
      <c r="C1274" t="s">
        <v>31</v>
      </c>
      <c r="D1274" t="s">
        <v>13</v>
      </c>
      <c r="E1274">
        <v>1000</v>
      </c>
      <c r="F1274" t="s">
        <v>49</v>
      </c>
      <c r="G1274" t="s">
        <v>28</v>
      </c>
      <c r="H1274" t="s">
        <v>16</v>
      </c>
      <c r="I1274" t="s">
        <v>17</v>
      </c>
      <c r="J1274" t="s">
        <v>50</v>
      </c>
      <c r="K1274">
        <v>0</v>
      </c>
      <c r="L127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274">
        <f>GhanaStream[[#This Row],[Subscription Fee]]-(GhanaStream[[#This Row],[Discount]]*GhanaStream[[#This Row],[Subscription Fee]])</f>
        <v>1000</v>
      </c>
      <c r="N1274" t="str">
        <f>IF(GhanaStream[[#This Row],[Churn Flag]]="Yes","Churned","Retained")</f>
        <v>Churned</v>
      </c>
    </row>
    <row r="1275" spans="1:14" x14ac:dyDescent="0.25">
      <c r="A1275" t="s">
        <v>1313</v>
      </c>
      <c r="B1275" s="1">
        <v>45314</v>
      </c>
      <c r="C1275" t="s">
        <v>20</v>
      </c>
      <c r="D1275" t="s">
        <v>13</v>
      </c>
      <c r="E1275">
        <v>500</v>
      </c>
      <c r="F1275" t="s">
        <v>32</v>
      </c>
      <c r="G1275" t="s">
        <v>24</v>
      </c>
      <c r="H1275" t="s">
        <v>33</v>
      </c>
      <c r="I1275" t="s">
        <v>34</v>
      </c>
      <c r="J1275" t="s">
        <v>44</v>
      </c>
      <c r="K1275">
        <v>0</v>
      </c>
      <c r="L127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275">
        <f>GhanaStream[[#This Row],[Subscription Fee]]-(GhanaStream[[#This Row],[Discount]]*GhanaStream[[#This Row],[Subscription Fee]])</f>
        <v>500</v>
      </c>
      <c r="N1275" t="str">
        <f>IF(GhanaStream[[#This Row],[Churn Flag]]="Yes","Churned","Retained")</f>
        <v>Retained</v>
      </c>
    </row>
    <row r="1276" spans="1:14" x14ac:dyDescent="0.25">
      <c r="A1276" t="s">
        <v>1314</v>
      </c>
      <c r="B1276" s="1">
        <v>45359</v>
      </c>
      <c r="C1276" t="s">
        <v>31</v>
      </c>
      <c r="D1276" t="s">
        <v>27</v>
      </c>
      <c r="E1276">
        <v>10800</v>
      </c>
      <c r="F1276" t="s">
        <v>21</v>
      </c>
      <c r="G1276" t="s">
        <v>28</v>
      </c>
      <c r="H1276" t="s">
        <v>16</v>
      </c>
      <c r="I1276" t="s">
        <v>17</v>
      </c>
      <c r="J1276" t="s">
        <v>18</v>
      </c>
      <c r="K1276">
        <v>0.1</v>
      </c>
      <c r="L127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276">
        <f>GhanaStream[[#This Row],[Subscription Fee]]-(GhanaStream[[#This Row],[Discount]]*GhanaStream[[#This Row],[Subscription Fee]])</f>
        <v>9720</v>
      </c>
      <c r="N1276" t="str">
        <f>IF(GhanaStream[[#This Row],[Churn Flag]]="Yes","Churned","Retained")</f>
        <v>Churned</v>
      </c>
    </row>
    <row r="1277" spans="1:14" x14ac:dyDescent="0.25">
      <c r="A1277" t="s">
        <v>1315</v>
      </c>
      <c r="B1277" s="1">
        <v>45646</v>
      </c>
      <c r="C1277" t="s">
        <v>12</v>
      </c>
      <c r="D1277" t="s">
        <v>13</v>
      </c>
      <c r="E1277">
        <v>1500</v>
      </c>
      <c r="F1277" t="s">
        <v>21</v>
      </c>
      <c r="G1277" t="s">
        <v>24</v>
      </c>
      <c r="H1277" t="s">
        <v>33</v>
      </c>
      <c r="I1277" t="s">
        <v>34</v>
      </c>
      <c r="J1277" t="s">
        <v>25</v>
      </c>
      <c r="K1277">
        <v>0</v>
      </c>
      <c r="L127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277">
        <f>GhanaStream[[#This Row],[Subscription Fee]]-(GhanaStream[[#This Row],[Discount]]*GhanaStream[[#This Row],[Subscription Fee]])</f>
        <v>1500</v>
      </c>
      <c r="N1277" t="str">
        <f>IF(GhanaStream[[#This Row],[Churn Flag]]="Yes","Churned","Retained")</f>
        <v>Retained</v>
      </c>
    </row>
    <row r="1278" spans="1:14" x14ac:dyDescent="0.25">
      <c r="A1278" t="s">
        <v>1316</v>
      </c>
      <c r="B1278" s="1">
        <v>45488</v>
      </c>
      <c r="C1278" t="s">
        <v>31</v>
      </c>
      <c r="D1278" t="s">
        <v>27</v>
      </c>
      <c r="E1278">
        <v>10800</v>
      </c>
      <c r="F1278" t="s">
        <v>14</v>
      </c>
      <c r="G1278" t="s">
        <v>15</v>
      </c>
      <c r="H1278" t="s">
        <v>16</v>
      </c>
      <c r="I1278" t="s">
        <v>17</v>
      </c>
      <c r="J1278" t="s">
        <v>22</v>
      </c>
      <c r="K1278">
        <v>0.1</v>
      </c>
      <c r="L127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278">
        <f>GhanaStream[[#This Row],[Subscription Fee]]-(GhanaStream[[#This Row],[Discount]]*GhanaStream[[#This Row],[Subscription Fee]])</f>
        <v>9720</v>
      </c>
      <c r="N1278" t="str">
        <f>IF(GhanaStream[[#This Row],[Churn Flag]]="Yes","Churned","Retained")</f>
        <v>Churned</v>
      </c>
    </row>
    <row r="1279" spans="1:14" x14ac:dyDescent="0.25">
      <c r="A1279" t="s">
        <v>1317</v>
      </c>
      <c r="B1279" s="1">
        <v>45114</v>
      </c>
      <c r="C1279" t="s">
        <v>12</v>
      </c>
      <c r="D1279" t="s">
        <v>13</v>
      </c>
      <c r="E1279">
        <v>1500</v>
      </c>
      <c r="F1279" t="s">
        <v>14</v>
      </c>
      <c r="G1279" t="s">
        <v>24</v>
      </c>
      <c r="H1279" t="s">
        <v>16</v>
      </c>
      <c r="I1279" t="s">
        <v>17</v>
      </c>
      <c r="J1279" t="s">
        <v>18</v>
      </c>
      <c r="K1279">
        <v>0</v>
      </c>
      <c r="L127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279">
        <f>GhanaStream[[#This Row],[Subscription Fee]]-(GhanaStream[[#This Row],[Discount]]*GhanaStream[[#This Row],[Subscription Fee]])</f>
        <v>1500</v>
      </c>
      <c r="N1279" t="str">
        <f>IF(GhanaStream[[#This Row],[Churn Flag]]="Yes","Churned","Retained")</f>
        <v>Churned</v>
      </c>
    </row>
    <row r="1280" spans="1:14" x14ac:dyDescent="0.25">
      <c r="A1280" t="s">
        <v>1318</v>
      </c>
      <c r="B1280" s="1">
        <v>45057</v>
      </c>
      <c r="C1280" t="s">
        <v>20</v>
      </c>
      <c r="D1280" t="s">
        <v>13</v>
      </c>
      <c r="E1280">
        <v>500</v>
      </c>
      <c r="F1280" t="s">
        <v>49</v>
      </c>
      <c r="G1280" t="s">
        <v>24</v>
      </c>
      <c r="H1280" t="s">
        <v>33</v>
      </c>
      <c r="I1280" t="s">
        <v>34</v>
      </c>
      <c r="J1280" t="s">
        <v>35</v>
      </c>
      <c r="K1280">
        <v>0</v>
      </c>
      <c r="L128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280">
        <f>GhanaStream[[#This Row],[Subscription Fee]]-(GhanaStream[[#This Row],[Discount]]*GhanaStream[[#This Row],[Subscription Fee]])</f>
        <v>500</v>
      </c>
      <c r="N1280" t="str">
        <f>IF(GhanaStream[[#This Row],[Churn Flag]]="Yes","Churned","Retained")</f>
        <v>Retained</v>
      </c>
    </row>
    <row r="1281" spans="1:14" x14ac:dyDescent="0.25">
      <c r="A1281" t="s">
        <v>1319</v>
      </c>
      <c r="B1281" s="1">
        <v>45500</v>
      </c>
      <c r="C1281" t="s">
        <v>31</v>
      </c>
      <c r="D1281" t="s">
        <v>27</v>
      </c>
      <c r="E1281">
        <v>10800</v>
      </c>
      <c r="F1281" t="s">
        <v>49</v>
      </c>
      <c r="G1281" t="s">
        <v>28</v>
      </c>
      <c r="H1281" t="s">
        <v>33</v>
      </c>
      <c r="I1281" t="s">
        <v>34</v>
      </c>
      <c r="J1281" t="s">
        <v>22</v>
      </c>
      <c r="K1281">
        <v>0.1</v>
      </c>
      <c r="L128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281">
        <f>GhanaStream[[#This Row],[Subscription Fee]]-(GhanaStream[[#This Row],[Discount]]*GhanaStream[[#This Row],[Subscription Fee]])</f>
        <v>9720</v>
      </c>
      <c r="N1281" t="str">
        <f>IF(GhanaStream[[#This Row],[Churn Flag]]="Yes","Churned","Retained")</f>
        <v>Retained</v>
      </c>
    </row>
    <row r="1282" spans="1:14" x14ac:dyDescent="0.25">
      <c r="A1282" t="s">
        <v>1320</v>
      </c>
      <c r="B1282" s="1">
        <v>45462</v>
      </c>
      <c r="C1282" t="s">
        <v>12</v>
      </c>
      <c r="D1282" t="s">
        <v>27</v>
      </c>
      <c r="E1282">
        <v>16200</v>
      </c>
      <c r="F1282" t="s">
        <v>21</v>
      </c>
      <c r="G1282" t="s">
        <v>24</v>
      </c>
      <c r="H1282" t="s">
        <v>33</v>
      </c>
      <c r="I1282" t="s">
        <v>34</v>
      </c>
      <c r="J1282" t="s">
        <v>22</v>
      </c>
      <c r="K1282">
        <v>0.1</v>
      </c>
      <c r="L128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282">
        <f>GhanaStream[[#This Row],[Subscription Fee]]-(GhanaStream[[#This Row],[Discount]]*GhanaStream[[#This Row],[Subscription Fee]])</f>
        <v>14580</v>
      </c>
      <c r="N1282" t="str">
        <f>IF(GhanaStream[[#This Row],[Churn Flag]]="Yes","Churned","Retained")</f>
        <v>Retained</v>
      </c>
    </row>
    <row r="1283" spans="1:14" x14ac:dyDescent="0.25">
      <c r="A1283" t="s">
        <v>1321</v>
      </c>
      <c r="B1283" s="1">
        <v>45086</v>
      </c>
      <c r="C1283" t="s">
        <v>20</v>
      </c>
      <c r="D1283" t="s">
        <v>27</v>
      </c>
      <c r="E1283">
        <v>5400</v>
      </c>
      <c r="F1283" t="s">
        <v>14</v>
      </c>
      <c r="G1283" t="s">
        <v>15</v>
      </c>
      <c r="H1283" t="s">
        <v>16</v>
      </c>
      <c r="I1283" t="s">
        <v>17</v>
      </c>
      <c r="J1283" t="s">
        <v>22</v>
      </c>
      <c r="K1283">
        <v>0.1</v>
      </c>
      <c r="L128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283">
        <f>GhanaStream[[#This Row],[Subscription Fee]]-(GhanaStream[[#This Row],[Discount]]*GhanaStream[[#This Row],[Subscription Fee]])</f>
        <v>4860</v>
      </c>
      <c r="N1283" t="str">
        <f>IF(GhanaStream[[#This Row],[Churn Flag]]="Yes","Churned","Retained")</f>
        <v>Churned</v>
      </c>
    </row>
    <row r="1284" spans="1:14" x14ac:dyDescent="0.25">
      <c r="A1284" t="s">
        <v>1322</v>
      </c>
      <c r="B1284" s="1">
        <v>45398</v>
      </c>
      <c r="C1284" t="s">
        <v>20</v>
      </c>
      <c r="D1284" t="s">
        <v>27</v>
      </c>
      <c r="E1284">
        <v>5400</v>
      </c>
      <c r="F1284" t="s">
        <v>32</v>
      </c>
      <c r="G1284" t="s">
        <v>15</v>
      </c>
      <c r="H1284" t="s">
        <v>33</v>
      </c>
      <c r="I1284" t="s">
        <v>34</v>
      </c>
      <c r="J1284" t="s">
        <v>44</v>
      </c>
      <c r="K1284">
        <v>0.1</v>
      </c>
      <c r="L128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284">
        <f>GhanaStream[[#This Row],[Subscription Fee]]-(GhanaStream[[#This Row],[Discount]]*GhanaStream[[#This Row],[Subscription Fee]])</f>
        <v>4860</v>
      </c>
      <c r="N1284" t="str">
        <f>IF(GhanaStream[[#This Row],[Churn Flag]]="Yes","Churned","Retained")</f>
        <v>Retained</v>
      </c>
    </row>
    <row r="1285" spans="1:14" x14ac:dyDescent="0.25">
      <c r="A1285" t="s">
        <v>1323</v>
      </c>
      <c r="B1285" s="1">
        <v>45163</v>
      </c>
      <c r="C1285" t="s">
        <v>20</v>
      </c>
      <c r="D1285" t="s">
        <v>13</v>
      </c>
      <c r="E1285">
        <v>500</v>
      </c>
      <c r="F1285" t="s">
        <v>49</v>
      </c>
      <c r="G1285" t="s">
        <v>15</v>
      </c>
      <c r="H1285" t="s">
        <v>33</v>
      </c>
      <c r="I1285" t="s">
        <v>34</v>
      </c>
      <c r="J1285" t="s">
        <v>25</v>
      </c>
      <c r="K1285">
        <v>0</v>
      </c>
      <c r="L128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285">
        <f>GhanaStream[[#This Row],[Subscription Fee]]-(GhanaStream[[#This Row],[Discount]]*GhanaStream[[#This Row],[Subscription Fee]])</f>
        <v>500</v>
      </c>
      <c r="N1285" t="str">
        <f>IF(GhanaStream[[#This Row],[Churn Flag]]="Yes","Churned","Retained")</f>
        <v>Retained</v>
      </c>
    </row>
    <row r="1286" spans="1:14" x14ac:dyDescent="0.25">
      <c r="A1286" t="s">
        <v>1324</v>
      </c>
      <c r="B1286" s="1">
        <v>45656</v>
      </c>
      <c r="C1286" t="s">
        <v>20</v>
      </c>
      <c r="D1286" t="s">
        <v>27</v>
      </c>
      <c r="E1286">
        <v>5400</v>
      </c>
      <c r="F1286" t="s">
        <v>14</v>
      </c>
      <c r="G1286" t="s">
        <v>24</v>
      </c>
      <c r="H1286" t="s">
        <v>16</v>
      </c>
      <c r="I1286" t="s">
        <v>17</v>
      </c>
      <c r="J1286" t="s">
        <v>37</v>
      </c>
      <c r="K1286">
        <v>0.1</v>
      </c>
      <c r="L128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286">
        <f>GhanaStream[[#This Row],[Subscription Fee]]-(GhanaStream[[#This Row],[Discount]]*GhanaStream[[#This Row],[Subscription Fee]])</f>
        <v>4860</v>
      </c>
      <c r="N1286" t="str">
        <f>IF(GhanaStream[[#This Row],[Churn Flag]]="Yes","Churned","Retained")</f>
        <v>Churned</v>
      </c>
    </row>
    <row r="1287" spans="1:14" x14ac:dyDescent="0.25">
      <c r="A1287" t="s">
        <v>1325</v>
      </c>
      <c r="B1287" s="1">
        <v>45553</v>
      </c>
      <c r="C1287" t="s">
        <v>20</v>
      </c>
      <c r="D1287" t="s">
        <v>13</v>
      </c>
      <c r="E1287">
        <v>500</v>
      </c>
      <c r="F1287" t="s">
        <v>49</v>
      </c>
      <c r="G1287" t="s">
        <v>15</v>
      </c>
      <c r="H1287" t="s">
        <v>16</v>
      </c>
      <c r="I1287" t="s">
        <v>17</v>
      </c>
      <c r="J1287" t="s">
        <v>25</v>
      </c>
      <c r="K1287">
        <v>0</v>
      </c>
      <c r="L128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287">
        <f>GhanaStream[[#This Row],[Subscription Fee]]-(GhanaStream[[#This Row],[Discount]]*GhanaStream[[#This Row],[Subscription Fee]])</f>
        <v>500</v>
      </c>
      <c r="N1287" t="str">
        <f>IF(GhanaStream[[#This Row],[Churn Flag]]="Yes","Churned","Retained")</f>
        <v>Churned</v>
      </c>
    </row>
    <row r="1288" spans="1:14" x14ac:dyDescent="0.25">
      <c r="A1288" t="s">
        <v>1326</v>
      </c>
      <c r="B1288" s="1">
        <v>45091</v>
      </c>
      <c r="C1288" t="s">
        <v>12</v>
      </c>
      <c r="D1288" t="s">
        <v>27</v>
      </c>
      <c r="E1288">
        <v>16200</v>
      </c>
      <c r="F1288" t="s">
        <v>49</v>
      </c>
      <c r="G1288" t="s">
        <v>15</v>
      </c>
      <c r="H1288" t="s">
        <v>33</v>
      </c>
      <c r="I1288" t="s">
        <v>34</v>
      </c>
      <c r="J1288" t="s">
        <v>50</v>
      </c>
      <c r="K1288">
        <v>0.1</v>
      </c>
      <c r="L128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288">
        <f>GhanaStream[[#This Row],[Subscription Fee]]-(GhanaStream[[#This Row],[Discount]]*GhanaStream[[#This Row],[Subscription Fee]])</f>
        <v>14580</v>
      </c>
      <c r="N1288" t="str">
        <f>IF(GhanaStream[[#This Row],[Churn Flag]]="Yes","Churned","Retained")</f>
        <v>Retained</v>
      </c>
    </row>
    <row r="1289" spans="1:14" x14ac:dyDescent="0.25">
      <c r="A1289" t="s">
        <v>1327</v>
      </c>
      <c r="B1289" s="1">
        <v>45229</v>
      </c>
      <c r="C1289" t="s">
        <v>20</v>
      </c>
      <c r="D1289" t="s">
        <v>13</v>
      </c>
      <c r="E1289">
        <v>500</v>
      </c>
      <c r="F1289" t="s">
        <v>21</v>
      </c>
      <c r="G1289" t="s">
        <v>28</v>
      </c>
      <c r="H1289" t="s">
        <v>33</v>
      </c>
      <c r="I1289" t="s">
        <v>34</v>
      </c>
      <c r="J1289" t="s">
        <v>25</v>
      </c>
      <c r="K1289">
        <v>0</v>
      </c>
      <c r="L128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289">
        <f>GhanaStream[[#This Row],[Subscription Fee]]-(GhanaStream[[#This Row],[Discount]]*GhanaStream[[#This Row],[Subscription Fee]])</f>
        <v>500</v>
      </c>
      <c r="N1289" t="str">
        <f>IF(GhanaStream[[#This Row],[Churn Flag]]="Yes","Churned","Retained")</f>
        <v>Retained</v>
      </c>
    </row>
    <row r="1290" spans="1:14" x14ac:dyDescent="0.25">
      <c r="A1290" t="s">
        <v>1328</v>
      </c>
      <c r="B1290" s="1">
        <v>45547</v>
      </c>
      <c r="C1290" t="s">
        <v>20</v>
      </c>
      <c r="D1290" t="s">
        <v>13</v>
      </c>
      <c r="E1290">
        <v>500</v>
      </c>
      <c r="F1290" t="s">
        <v>21</v>
      </c>
      <c r="G1290" t="s">
        <v>28</v>
      </c>
      <c r="H1290" t="s">
        <v>16</v>
      </c>
      <c r="I1290" t="s">
        <v>17</v>
      </c>
      <c r="J1290" t="s">
        <v>29</v>
      </c>
      <c r="K1290">
        <v>0</v>
      </c>
      <c r="L129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290">
        <f>GhanaStream[[#This Row],[Subscription Fee]]-(GhanaStream[[#This Row],[Discount]]*GhanaStream[[#This Row],[Subscription Fee]])</f>
        <v>500</v>
      </c>
      <c r="N1290" t="str">
        <f>IF(GhanaStream[[#This Row],[Churn Flag]]="Yes","Churned","Retained")</f>
        <v>Churned</v>
      </c>
    </row>
    <row r="1291" spans="1:14" x14ac:dyDescent="0.25">
      <c r="A1291" t="s">
        <v>1329</v>
      </c>
      <c r="B1291" s="1">
        <v>45004</v>
      </c>
      <c r="C1291" t="s">
        <v>12</v>
      </c>
      <c r="D1291" t="s">
        <v>27</v>
      </c>
      <c r="E1291">
        <v>16200</v>
      </c>
      <c r="F1291" t="s">
        <v>49</v>
      </c>
      <c r="G1291" t="s">
        <v>24</v>
      </c>
      <c r="H1291" t="s">
        <v>16</v>
      </c>
      <c r="I1291" t="s">
        <v>17</v>
      </c>
      <c r="J1291" t="s">
        <v>58</v>
      </c>
      <c r="K1291">
        <v>0.1</v>
      </c>
      <c r="L129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291">
        <f>GhanaStream[[#This Row],[Subscription Fee]]-(GhanaStream[[#This Row],[Discount]]*GhanaStream[[#This Row],[Subscription Fee]])</f>
        <v>14580</v>
      </c>
      <c r="N1291" t="str">
        <f>IF(GhanaStream[[#This Row],[Churn Flag]]="Yes","Churned","Retained")</f>
        <v>Churned</v>
      </c>
    </row>
    <row r="1292" spans="1:14" x14ac:dyDescent="0.25">
      <c r="A1292" t="s">
        <v>1330</v>
      </c>
      <c r="B1292" s="1">
        <v>44940</v>
      </c>
      <c r="C1292" t="s">
        <v>31</v>
      </c>
      <c r="D1292" t="s">
        <v>13</v>
      </c>
      <c r="E1292">
        <v>1000</v>
      </c>
      <c r="F1292" t="s">
        <v>49</v>
      </c>
      <c r="G1292" t="s">
        <v>15</v>
      </c>
      <c r="H1292" t="s">
        <v>33</v>
      </c>
      <c r="I1292" t="s">
        <v>34</v>
      </c>
      <c r="J1292" t="s">
        <v>35</v>
      </c>
      <c r="K1292">
        <v>0</v>
      </c>
      <c r="L129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292">
        <f>GhanaStream[[#This Row],[Subscription Fee]]-(GhanaStream[[#This Row],[Discount]]*GhanaStream[[#This Row],[Subscription Fee]])</f>
        <v>1000</v>
      </c>
      <c r="N1292" t="str">
        <f>IF(GhanaStream[[#This Row],[Churn Flag]]="Yes","Churned","Retained")</f>
        <v>Retained</v>
      </c>
    </row>
    <row r="1293" spans="1:14" x14ac:dyDescent="0.25">
      <c r="A1293" t="s">
        <v>1331</v>
      </c>
      <c r="B1293" s="1">
        <v>44957</v>
      </c>
      <c r="C1293" t="s">
        <v>20</v>
      </c>
      <c r="D1293" t="s">
        <v>13</v>
      </c>
      <c r="E1293">
        <v>500</v>
      </c>
      <c r="F1293" t="s">
        <v>14</v>
      </c>
      <c r="G1293" t="s">
        <v>15</v>
      </c>
      <c r="H1293" t="s">
        <v>16</v>
      </c>
      <c r="I1293" t="s">
        <v>17</v>
      </c>
      <c r="J1293" t="s">
        <v>37</v>
      </c>
      <c r="K1293">
        <v>0</v>
      </c>
      <c r="L129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293">
        <f>GhanaStream[[#This Row],[Subscription Fee]]-(GhanaStream[[#This Row],[Discount]]*GhanaStream[[#This Row],[Subscription Fee]])</f>
        <v>500</v>
      </c>
      <c r="N1293" t="str">
        <f>IF(GhanaStream[[#This Row],[Churn Flag]]="Yes","Churned","Retained")</f>
        <v>Churned</v>
      </c>
    </row>
    <row r="1294" spans="1:14" x14ac:dyDescent="0.25">
      <c r="A1294" t="s">
        <v>1332</v>
      </c>
      <c r="B1294" s="1">
        <v>45070</v>
      </c>
      <c r="C1294" t="s">
        <v>20</v>
      </c>
      <c r="D1294" t="s">
        <v>13</v>
      </c>
      <c r="E1294">
        <v>500</v>
      </c>
      <c r="F1294" t="s">
        <v>49</v>
      </c>
      <c r="G1294" t="s">
        <v>15</v>
      </c>
      <c r="H1294" t="s">
        <v>33</v>
      </c>
      <c r="I1294" t="s">
        <v>34</v>
      </c>
      <c r="J1294" t="s">
        <v>22</v>
      </c>
      <c r="K1294">
        <v>0</v>
      </c>
      <c r="L129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294">
        <f>GhanaStream[[#This Row],[Subscription Fee]]-(GhanaStream[[#This Row],[Discount]]*GhanaStream[[#This Row],[Subscription Fee]])</f>
        <v>500</v>
      </c>
      <c r="N1294" t="str">
        <f>IF(GhanaStream[[#This Row],[Churn Flag]]="Yes","Churned","Retained")</f>
        <v>Retained</v>
      </c>
    </row>
    <row r="1295" spans="1:14" x14ac:dyDescent="0.25">
      <c r="A1295" t="s">
        <v>1333</v>
      </c>
      <c r="B1295" s="1">
        <v>45081</v>
      </c>
      <c r="C1295" t="s">
        <v>31</v>
      </c>
      <c r="D1295" t="s">
        <v>13</v>
      </c>
      <c r="E1295">
        <v>1000</v>
      </c>
      <c r="F1295" t="s">
        <v>49</v>
      </c>
      <c r="G1295" t="s">
        <v>24</v>
      </c>
      <c r="H1295" t="s">
        <v>16</v>
      </c>
      <c r="I1295" t="s">
        <v>17</v>
      </c>
      <c r="J1295" t="s">
        <v>58</v>
      </c>
      <c r="K1295">
        <v>0</v>
      </c>
      <c r="L129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295">
        <f>GhanaStream[[#This Row],[Subscription Fee]]-(GhanaStream[[#This Row],[Discount]]*GhanaStream[[#This Row],[Subscription Fee]])</f>
        <v>1000</v>
      </c>
      <c r="N1295" t="str">
        <f>IF(GhanaStream[[#This Row],[Churn Flag]]="Yes","Churned","Retained")</f>
        <v>Churned</v>
      </c>
    </row>
    <row r="1296" spans="1:14" x14ac:dyDescent="0.25">
      <c r="A1296" t="s">
        <v>1334</v>
      </c>
      <c r="B1296" s="1">
        <v>45589</v>
      </c>
      <c r="C1296" t="s">
        <v>12</v>
      </c>
      <c r="D1296" t="s">
        <v>13</v>
      </c>
      <c r="E1296">
        <v>1500</v>
      </c>
      <c r="F1296" t="s">
        <v>49</v>
      </c>
      <c r="G1296" t="s">
        <v>24</v>
      </c>
      <c r="H1296" t="s">
        <v>33</v>
      </c>
      <c r="I1296" t="s">
        <v>34</v>
      </c>
      <c r="J1296" t="s">
        <v>25</v>
      </c>
      <c r="K1296">
        <v>0</v>
      </c>
      <c r="L129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296">
        <f>GhanaStream[[#This Row],[Subscription Fee]]-(GhanaStream[[#This Row],[Discount]]*GhanaStream[[#This Row],[Subscription Fee]])</f>
        <v>1500</v>
      </c>
      <c r="N1296" t="str">
        <f>IF(GhanaStream[[#This Row],[Churn Flag]]="Yes","Churned","Retained")</f>
        <v>Retained</v>
      </c>
    </row>
    <row r="1297" spans="1:14" x14ac:dyDescent="0.25">
      <c r="A1297" t="s">
        <v>1335</v>
      </c>
      <c r="B1297" s="1">
        <v>44963</v>
      </c>
      <c r="C1297" t="s">
        <v>31</v>
      </c>
      <c r="D1297" t="s">
        <v>13</v>
      </c>
      <c r="E1297">
        <v>1000</v>
      </c>
      <c r="F1297" t="s">
        <v>14</v>
      </c>
      <c r="G1297" t="s">
        <v>15</v>
      </c>
      <c r="H1297" t="s">
        <v>16</v>
      </c>
      <c r="I1297" t="s">
        <v>17</v>
      </c>
      <c r="J1297" t="s">
        <v>37</v>
      </c>
      <c r="K1297">
        <v>0</v>
      </c>
      <c r="L129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297">
        <f>GhanaStream[[#This Row],[Subscription Fee]]-(GhanaStream[[#This Row],[Discount]]*GhanaStream[[#This Row],[Subscription Fee]])</f>
        <v>1000</v>
      </c>
      <c r="N1297" t="str">
        <f>IF(GhanaStream[[#This Row],[Churn Flag]]="Yes","Churned","Retained")</f>
        <v>Churned</v>
      </c>
    </row>
    <row r="1298" spans="1:14" x14ac:dyDescent="0.25">
      <c r="A1298" t="s">
        <v>1336</v>
      </c>
      <c r="B1298" s="1">
        <v>45461</v>
      </c>
      <c r="C1298" t="s">
        <v>12</v>
      </c>
      <c r="D1298" t="s">
        <v>27</v>
      </c>
      <c r="E1298">
        <v>16200</v>
      </c>
      <c r="F1298" t="s">
        <v>49</v>
      </c>
      <c r="G1298" t="s">
        <v>15</v>
      </c>
      <c r="H1298" t="s">
        <v>33</v>
      </c>
      <c r="I1298" t="s">
        <v>34</v>
      </c>
      <c r="J1298" t="s">
        <v>35</v>
      </c>
      <c r="K1298">
        <v>0.1</v>
      </c>
      <c r="L129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298">
        <f>GhanaStream[[#This Row],[Subscription Fee]]-(GhanaStream[[#This Row],[Discount]]*GhanaStream[[#This Row],[Subscription Fee]])</f>
        <v>14580</v>
      </c>
      <c r="N1298" t="str">
        <f>IF(GhanaStream[[#This Row],[Churn Flag]]="Yes","Churned","Retained")</f>
        <v>Retained</v>
      </c>
    </row>
    <row r="1299" spans="1:14" x14ac:dyDescent="0.25">
      <c r="A1299" t="s">
        <v>1337</v>
      </c>
      <c r="B1299" s="1">
        <v>45313</v>
      </c>
      <c r="C1299" t="s">
        <v>31</v>
      </c>
      <c r="D1299" t="s">
        <v>27</v>
      </c>
      <c r="E1299">
        <v>10800</v>
      </c>
      <c r="F1299" t="s">
        <v>32</v>
      </c>
      <c r="G1299" t="s">
        <v>24</v>
      </c>
      <c r="H1299" t="s">
        <v>33</v>
      </c>
      <c r="I1299" t="s">
        <v>34</v>
      </c>
      <c r="J1299" t="s">
        <v>44</v>
      </c>
      <c r="K1299">
        <v>0.1</v>
      </c>
      <c r="L129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299">
        <f>GhanaStream[[#This Row],[Subscription Fee]]-(GhanaStream[[#This Row],[Discount]]*GhanaStream[[#This Row],[Subscription Fee]])</f>
        <v>9720</v>
      </c>
      <c r="N1299" t="str">
        <f>IF(GhanaStream[[#This Row],[Churn Flag]]="Yes","Churned","Retained")</f>
        <v>Retained</v>
      </c>
    </row>
    <row r="1300" spans="1:14" x14ac:dyDescent="0.25">
      <c r="A1300" t="s">
        <v>1338</v>
      </c>
      <c r="B1300" s="1">
        <v>45630</v>
      </c>
      <c r="C1300" t="s">
        <v>12</v>
      </c>
      <c r="D1300" t="s">
        <v>27</v>
      </c>
      <c r="E1300">
        <v>16200</v>
      </c>
      <c r="F1300" t="s">
        <v>32</v>
      </c>
      <c r="G1300" t="s">
        <v>24</v>
      </c>
      <c r="H1300" t="s">
        <v>33</v>
      </c>
      <c r="I1300" t="s">
        <v>34</v>
      </c>
      <c r="J1300" t="s">
        <v>25</v>
      </c>
      <c r="K1300">
        <v>0.1</v>
      </c>
      <c r="L130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300">
        <f>GhanaStream[[#This Row],[Subscription Fee]]-(GhanaStream[[#This Row],[Discount]]*GhanaStream[[#This Row],[Subscription Fee]])</f>
        <v>14580</v>
      </c>
      <c r="N1300" t="str">
        <f>IF(GhanaStream[[#This Row],[Churn Flag]]="Yes","Churned","Retained")</f>
        <v>Retained</v>
      </c>
    </row>
    <row r="1301" spans="1:14" x14ac:dyDescent="0.25">
      <c r="A1301" t="s">
        <v>1339</v>
      </c>
      <c r="B1301" s="1">
        <v>45068</v>
      </c>
      <c r="C1301" t="s">
        <v>20</v>
      </c>
      <c r="D1301" t="s">
        <v>27</v>
      </c>
      <c r="E1301">
        <v>5400</v>
      </c>
      <c r="F1301" t="s">
        <v>49</v>
      </c>
      <c r="G1301" t="s">
        <v>24</v>
      </c>
      <c r="H1301" t="s">
        <v>16</v>
      </c>
      <c r="I1301" t="s">
        <v>17</v>
      </c>
      <c r="J1301" t="s">
        <v>25</v>
      </c>
      <c r="K1301">
        <v>0.1</v>
      </c>
      <c r="L130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301">
        <f>GhanaStream[[#This Row],[Subscription Fee]]-(GhanaStream[[#This Row],[Discount]]*GhanaStream[[#This Row],[Subscription Fee]])</f>
        <v>4860</v>
      </c>
      <c r="N1301" t="str">
        <f>IF(GhanaStream[[#This Row],[Churn Flag]]="Yes","Churned","Retained")</f>
        <v>Churned</v>
      </c>
    </row>
    <row r="1302" spans="1:14" x14ac:dyDescent="0.25">
      <c r="A1302" t="s">
        <v>1340</v>
      </c>
      <c r="B1302" s="1">
        <v>45129</v>
      </c>
      <c r="C1302" t="s">
        <v>20</v>
      </c>
      <c r="D1302" t="s">
        <v>13</v>
      </c>
      <c r="E1302">
        <v>500</v>
      </c>
      <c r="F1302" t="s">
        <v>14</v>
      </c>
      <c r="G1302" t="s">
        <v>15</v>
      </c>
      <c r="H1302" t="s">
        <v>33</v>
      </c>
      <c r="I1302" t="s">
        <v>34</v>
      </c>
      <c r="J1302" t="s">
        <v>41</v>
      </c>
      <c r="K1302">
        <v>0</v>
      </c>
      <c r="L130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302">
        <f>GhanaStream[[#This Row],[Subscription Fee]]-(GhanaStream[[#This Row],[Discount]]*GhanaStream[[#This Row],[Subscription Fee]])</f>
        <v>500</v>
      </c>
      <c r="N1302" t="str">
        <f>IF(GhanaStream[[#This Row],[Churn Flag]]="Yes","Churned","Retained")</f>
        <v>Retained</v>
      </c>
    </row>
    <row r="1303" spans="1:14" x14ac:dyDescent="0.25">
      <c r="A1303" t="s">
        <v>1341</v>
      </c>
      <c r="B1303" s="1">
        <v>45449</v>
      </c>
      <c r="C1303" t="s">
        <v>12</v>
      </c>
      <c r="D1303" t="s">
        <v>13</v>
      </c>
      <c r="E1303">
        <v>1500</v>
      </c>
      <c r="F1303" t="s">
        <v>14</v>
      </c>
      <c r="G1303" t="s">
        <v>15</v>
      </c>
      <c r="H1303" t="s">
        <v>33</v>
      </c>
      <c r="I1303" t="s">
        <v>34</v>
      </c>
      <c r="J1303" t="s">
        <v>55</v>
      </c>
      <c r="K1303">
        <v>0</v>
      </c>
      <c r="L130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303">
        <f>GhanaStream[[#This Row],[Subscription Fee]]-(GhanaStream[[#This Row],[Discount]]*GhanaStream[[#This Row],[Subscription Fee]])</f>
        <v>1500</v>
      </c>
      <c r="N1303" t="str">
        <f>IF(GhanaStream[[#This Row],[Churn Flag]]="Yes","Churned","Retained")</f>
        <v>Retained</v>
      </c>
    </row>
    <row r="1304" spans="1:14" x14ac:dyDescent="0.25">
      <c r="A1304" t="s">
        <v>1342</v>
      </c>
      <c r="B1304" s="1">
        <v>45186</v>
      </c>
      <c r="C1304" t="s">
        <v>12</v>
      </c>
      <c r="D1304" t="s">
        <v>27</v>
      </c>
      <c r="E1304">
        <v>16200</v>
      </c>
      <c r="F1304" t="s">
        <v>14</v>
      </c>
      <c r="G1304" t="s">
        <v>24</v>
      </c>
      <c r="H1304" t="s">
        <v>33</v>
      </c>
      <c r="I1304" t="s">
        <v>34</v>
      </c>
      <c r="J1304" t="s">
        <v>22</v>
      </c>
      <c r="K1304">
        <v>0.1</v>
      </c>
      <c r="L130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304">
        <f>GhanaStream[[#This Row],[Subscription Fee]]-(GhanaStream[[#This Row],[Discount]]*GhanaStream[[#This Row],[Subscription Fee]])</f>
        <v>14580</v>
      </c>
      <c r="N1304" t="str">
        <f>IF(GhanaStream[[#This Row],[Churn Flag]]="Yes","Churned","Retained")</f>
        <v>Retained</v>
      </c>
    </row>
    <row r="1305" spans="1:14" x14ac:dyDescent="0.25">
      <c r="A1305" t="s">
        <v>1343</v>
      </c>
      <c r="B1305" s="1">
        <v>45312</v>
      </c>
      <c r="C1305" t="s">
        <v>20</v>
      </c>
      <c r="D1305" t="s">
        <v>27</v>
      </c>
      <c r="E1305">
        <v>5400</v>
      </c>
      <c r="F1305" t="s">
        <v>14</v>
      </c>
      <c r="G1305" t="s">
        <v>24</v>
      </c>
      <c r="H1305" t="s">
        <v>16</v>
      </c>
      <c r="I1305" t="s">
        <v>17</v>
      </c>
      <c r="J1305" t="s">
        <v>41</v>
      </c>
      <c r="K1305">
        <v>0.1</v>
      </c>
      <c r="L130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305">
        <f>GhanaStream[[#This Row],[Subscription Fee]]-(GhanaStream[[#This Row],[Discount]]*GhanaStream[[#This Row],[Subscription Fee]])</f>
        <v>4860</v>
      </c>
      <c r="N1305" t="str">
        <f>IF(GhanaStream[[#This Row],[Churn Flag]]="Yes","Churned","Retained")</f>
        <v>Churned</v>
      </c>
    </row>
    <row r="1306" spans="1:14" x14ac:dyDescent="0.25">
      <c r="A1306" t="s">
        <v>1344</v>
      </c>
      <c r="B1306" s="1">
        <v>44933</v>
      </c>
      <c r="C1306" t="s">
        <v>12</v>
      </c>
      <c r="D1306" t="s">
        <v>13</v>
      </c>
      <c r="E1306">
        <v>1500</v>
      </c>
      <c r="F1306" t="s">
        <v>21</v>
      </c>
      <c r="G1306" t="s">
        <v>28</v>
      </c>
      <c r="H1306" t="s">
        <v>33</v>
      </c>
      <c r="I1306" t="s">
        <v>34</v>
      </c>
      <c r="J1306" t="s">
        <v>18</v>
      </c>
      <c r="K1306">
        <v>0</v>
      </c>
      <c r="L130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306">
        <f>GhanaStream[[#This Row],[Subscription Fee]]-(GhanaStream[[#This Row],[Discount]]*GhanaStream[[#This Row],[Subscription Fee]])</f>
        <v>1500</v>
      </c>
      <c r="N1306" t="str">
        <f>IF(GhanaStream[[#This Row],[Churn Flag]]="Yes","Churned","Retained")</f>
        <v>Retained</v>
      </c>
    </row>
    <row r="1307" spans="1:14" x14ac:dyDescent="0.25">
      <c r="A1307" t="s">
        <v>1345</v>
      </c>
      <c r="B1307" s="1">
        <v>45475</v>
      </c>
      <c r="C1307" t="s">
        <v>12</v>
      </c>
      <c r="D1307" t="s">
        <v>13</v>
      </c>
      <c r="E1307">
        <v>1500</v>
      </c>
      <c r="F1307" t="s">
        <v>49</v>
      </c>
      <c r="G1307" t="s">
        <v>28</v>
      </c>
      <c r="H1307" t="s">
        <v>33</v>
      </c>
      <c r="I1307" t="s">
        <v>34</v>
      </c>
      <c r="J1307" t="s">
        <v>35</v>
      </c>
      <c r="K1307">
        <v>0</v>
      </c>
      <c r="L130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307">
        <f>GhanaStream[[#This Row],[Subscription Fee]]-(GhanaStream[[#This Row],[Discount]]*GhanaStream[[#This Row],[Subscription Fee]])</f>
        <v>1500</v>
      </c>
      <c r="N1307" t="str">
        <f>IF(GhanaStream[[#This Row],[Churn Flag]]="Yes","Churned","Retained")</f>
        <v>Retained</v>
      </c>
    </row>
    <row r="1308" spans="1:14" x14ac:dyDescent="0.25">
      <c r="A1308" t="s">
        <v>1346</v>
      </c>
      <c r="B1308" s="1">
        <v>45162</v>
      </c>
      <c r="C1308" t="s">
        <v>31</v>
      </c>
      <c r="D1308" t="s">
        <v>27</v>
      </c>
      <c r="E1308">
        <v>10800</v>
      </c>
      <c r="F1308" t="s">
        <v>32</v>
      </c>
      <c r="G1308" t="s">
        <v>28</v>
      </c>
      <c r="H1308" t="s">
        <v>16</v>
      </c>
      <c r="I1308" t="s">
        <v>17</v>
      </c>
      <c r="J1308" t="s">
        <v>25</v>
      </c>
      <c r="K1308">
        <v>0.1</v>
      </c>
      <c r="L130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308">
        <f>GhanaStream[[#This Row],[Subscription Fee]]-(GhanaStream[[#This Row],[Discount]]*GhanaStream[[#This Row],[Subscription Fee]])</f>
        <v>9720</v>
      </c>
      <c r="N1308" t="str">
        <f>IF(GhanaStream[[#This Row],[Churn Flag]]="Yes","Churned","Retained")</f>
        <v>Churned</v>
      </c>
    </row>
    <row r="1309" spans="1:14" x14ac:dyDescent="0.25">
      <c r="A1309" t="s">
        <v>1347</v>
      </c>
      <c r="B1309" s="1">
        <v>45040</v>
      </c>
      <c r="C1309" t="s">
        <v>31</v>
      </c>
      <c r="D1309" t="s">
        <v>13</v>
      </c>
      <c r="E1309">
        <v>1000</v>
      </c>
      <c r="F1309" t="s">
        <v>49</v>
      </c>
      <c r="G1309" t="s">
        <v>28</v>
      </c>
      <c r="H1309" t="s">
        <v>16</v>
      </c>
      <c r="I1309" t="s">
        <v>17</v>
      </c>
      <c r="J1309" t="s">
        <v>58</v>
      </c>
      <c r="K1309">
        <v>0</v>
      </c>
      <c r="L130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309">
        <f>GhanaStream[[#This Row],[Subscription Fee]]-(GhanaStream[[#This Row],[Discount]]*GhanaStream[[#This Row],[Subscription Fee]])</f>
        <v>1000</v>
      </c>
      <c r="N1309" t="str">
        <f>IF(GhanaStream[[#This Row],[Churn Flag]]="Yes","Churned","Retained")</f>
        <v>Churned</v>
      </c>
    </row>
    <row r="1310" spans="1:14" x14ac:dyDescent="0.25">
      <c r="A1310" t="s">
        <v>1348</v>
      </c>
      <c r="B1310" s="1">
        <v>45322</v>
      </c>
      <c r="C1310" t="s">
        <v>12</v>
      </c>
      <c r="D1310" t="s">
        <v>27</v>
      </c>
      <c r="E1310">
        <v>16200</v>
      </c>
      <c r="F1310" t="s">
        <v>32</v>
      </c>
      <c r="G1310" t="s">
        <v>24</v>
      </c>
      <c r="H1310" t="s">
        <v>16</v>
      </c>
      <c r="I1310" t="s">
        <v>17</v>
      </c>
      <c r="J1310" t="s">
        <v>25</v>
      </c>
      <c r="K1310">
        <v>0.1</v>
      </c>
      <c r="L131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310">
        <f>GhanaStream[[#This Row],[Subscription Fee]]-(GhanaStream[[#This Row],[Discount]]*GhanaStream[[#This Row],[Subscription Fee]])</f>
        <v>14580</v>
      </c>
      <c r="N1310" t="str">
        <f>IF(GhanaStream[[#This Row],[Churn Flag]]="Yes","Churned","Retained")</f>
        <v>Churned</v>
      </c>
    </row>
    <row r="1311" spans="1:14" x14ac:dyDescent="0.25">
      <c r="A1311" t="s">
        <v>1349</v>
      </c>
      <c r="B1311" s="1">
        <v>44988</v>
      </c>
      <c r="C1311" t="s">
        <v>31</v>
      </c>
      <c r="D1311" t="s">
        <v>13</v>
      </c>
      <c r="E1311">
        <v>1000</v>
      </c>
      <c r="F1311" t="s">
        <v>49</v>
      </c>
      <c r="G1311" t="s">
        <v>28</v>
      </c>
      <c r="H1311" t="s">
        <v>16</v>
      </c>
      <c r="I1311" t="s">
        <v>17</v>
      </c>
      <c r="J1311" t="s">
        <v>22</v>
      </c>
      <c r="K1311">
        <v>0</v>
      </c>
      <c r="L131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311">
        <f>GhanaStream[[#This Row],[Subscription Fee]]-(GhanaStream[[#This Row],[Discount]]*GhanaStream[[#This Row],[Subscription Fee]])</f>
        <v>1000</v>
      </c>
      <c r="N1311" t="str">
        <f>IF(GhanaStream[[#This Row],[Churn Flag]]="Yes","Churned","Retained")</f>
        <v>Churned</v>
      </c>
    </row>
    <row r="1312" spans="1:14" x14ac:dyDescent="0.25">
      <c r="A1312" t="s">
        <v>1350</v>
      </c>
      <c r="B1312" s="1">
        <v>45254</v>
      </c>
      <c r="C1312" t="s">
        <v>20</v>
      </c>
      <c r="D1312" t="s">
        <v>27</v>
      </c>
      <c r="E1312">
        <v>5400</v>
      </c>
      <c r="F1312" t="s">
        <v>14</v>
      </c>
      <c r="G1312" t="s">
        <v>28</v>
      </c>
      <c r="H1312" t="s">
        <v>33</v>
      </c>
      <c r="I1312" t="s">
        <v>34</v>
      </c>
      <c r="J1312" t="s">
        <v>22</v>
      </c>
      <c r="K1312">
        <v>0.1</v>
      </c>
      <c r="L131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312">
        <f>GhanaStream[[#This Row],[Subscription Fee]]-(GhanaStream[[#This Row],[Discount]]*GhanaStream[[#This Row],[Subscription Fee]])</f>
        <v>4860</v>
      </c>
      <c r="N1312" t="str">
        <f>IF(GhanaStream[[#This Row],[Churn Flag]]="Yes","Churned","Retained")</f>
        <v>Retained</v>
      </c>
    </row>
    <row r="1313" spans="1:14" x14ac:dyDescent="0.25">
      <c r="A1313" t="s">
        <v>1351</v>
      </c>
      <c r="B1313" s="1">
        <v>45164</v>
      </c>
      <c r="C1313" t="s">
        <v>20</v>
      </c>
      <c r="D1313" t="s">
        <v>13</v>
      </c>
      <c r="E1313">
        <v>500</v>
      </c>
      <c r="F1313" t="s">
        <v>14</v>
      </c>
      <c r="G1313" t="s">
        <v>24</v>
      </c>
      <c r="H1313" t="s">
        <v>33</v>
      </c>
      <c r="I1313" t="s">
        <v>34</v>
      </c>
      <c r="J1313" t="s">
        <v>22</v>
      </c>
      <c r="K1313">
        <v>0</v>
      </c>
      <c r="L131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313">
        <f>GhanaStream[[#This Row],[Subscription Fee]]-(GhanaStream[[#This Row],[Discount]]*GhanaStream[[#This Row],[Subscription Fee]])</f>
        <v>500</v>
      </c>
      <c r="N1313" t="str">
        <f>IF(GhanaStream[[#This Row],[Churn Flag]]="Yes","Churned","Retained")</f>
        <v>Retained</v>
      </c>
    </row>
    <row r="1314" spans="1:14" x14ac:dyDescent="0.25">
      <c r="A1314" t="s">
        <v>1352</v>
      </c>
      <c r="B1314" s="1">
        <v>45435</v>
      </c>
      <c r="C1314" t="s">
        <v>20</v>
      </c>
      <c r="D1314" t="s">
        <v>27</v>
      </c>
      <c r="E1314">
        <v>5400</v>
      </c>
      <c r="F1314" t="s">
        <v>21</v>
      </c>
      <c r="G1314" t="s">
        <v>28</v>
      </c>
      <c r="H1314" t="s">
        <v>16</v>
      </c>
      <c r="I1314" t="s">
        <v>17</v>
      </c>
      <c r="J1314" t="s">
        <v>22</v>
      </c>
      <c r="K1314">
        <v>0.1</v>
      </c>
      <c r="L131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314">
        <f>GhanaStream[[#This Row],[Subscription Fee]]-(GhanaStream[[#This Row],[Discount]]*GhanaStream[[#This Row],[Subscription Fee]])</f>
        <v>4860</v>
      </c>
      <c r="N1314" t="str">
        <f>IF(GhanaStream[[#This Row],[Churn Flag]]="Yes","Churned","Retained")</f>
        <v>Churned</v>
      </c>
    </row>
    <row r="1315" spans="1:14" x14ac:dyDescent="0.25">
      <c r="A1315" t="s">
        <v>1353</v>
      </c>
      <c r="B1315" s="1">
        <v>45642</v>
      </c>
      <c r="C1315" t="s">
        <v>20</v>
      </c>
      <c r="D1315" t="s">
        <v>27</v>
      </c>
      <c r="E1315">
        <v>5400</v>
      </c>
      <c r="F1315" t="s">
        <v>32</v>
      </c>
      <c r="G1315" t="s">
        <v>28</v>
      </c>
      <c r="H1315" t="s">
        <v>16</v>
      </c>
      <c r="I1315" t="s">
        <v>17</v>
      </c>
      <c r="J1315" t="s">
        <v>25</v>
      </c>
      <c r="K1315">
        <v>0.1</v>
      </c>
      <c r="L131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315">
        <f>GhanaStream[[#This Row],[Subscription Fee]]-(GhanaStream[[#This Row],[Discount]]*GhanaStream[[#This Row],[Subscription Fee]])</f>
        <v>4860</v>
      </c>
      <c r="N1315" t="str">
        <f>IF(GhanaStream[[#This Row],[Churn Flag]]="Yes","Churned","Retained")</f>
        <v>Churned</v>
      </c>
    </row>
    <row r="1316" spans="1:14" x14ac:dyDescent="0.25">
      <c r="A1316" t="s">
        <v>1354</v>
      </c>
      <c r="B1316" s="1">
        <v>45058</v>
      </c>
      <c r="C1316" t="s">
        <v>31</v>
      </c>
      <c r="D1316" t="s">
        <v>13</v>
      </c>
      <c r="E1316">
        <v>1000</v>
      </c>
      <c r="F1316" t="s">
        <v>21</v>
      </c>
      <c r="G1316" t="s">
        <v>15</v>
      </c>
      <c r="H1316" t="s">
        <v>33</v>
      </c>
      <c r="I1316" t="s">
        <v>34</v>
      </c>
      <c r="J1316" t="s">
        <v>22</v>
      </c>
      <c r="K1316">
        <v>0</v>
      </c>
      <c r="L131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316">
        <f>GhanaStream[[#This Row],[Subscription Fee]]-(GhanaStream[[#This Row],[Discount]]*GhanaStream[[#This Row],[Subscription Fee]])</f>
        <v>1000</v>
      </c>
      <c r="N1316" t="str">
        <f>IF(GhanaStream[[#This Row],[Churn Flag]]="Yes","Churned","Retained")</f>
        <v>Retained</v>
      </c>
    </row>
    <row r="1317" spans="1:14" x14ac:dyDescent="0.25">
      <c r="A1317" t="s">
        <v>1355</v>
      </c>
      <c r="B1317" s="1">
        <v>45535</v>
      </c>
      <c r="C1317" t="s">
        <v>31</v>
      </c>
      <c r="D1317" t="s">
        <v>27</v>
      </c>
      <c r="E1317">
        <v>10800</v>
      </c>
      <c r="F1317" t="s">
        <v>14</v>
      </c>
      <c r="G1317" t="s">
        <v>24</v>
      </c>
      <c r="H1317" t="s">
        <v>33</v>
      </c>
      <c r="I1317" t="s">
        <v>34</v>
      </c>
      <c r="J1317" t="s">
        <v>22</v>
      </c>
      <c r="K1317">
        <v>0.1</v>
      </c>
      <c r="L131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317">
        <f>GhanaStream[[#This Row],[Subscription Fee]]-(GhanaStream[[#This Row],[Discount]]*GhanaStream[[#This Row],[Subscription Fee]])</f>
        <v>9720</v>
      </c>
      <c r="N1317" t="str">
        <f>IF(GhanaStream[[#This Row],[Churn Flag]]="Yes","Churned","Retained")</f>
        <v>Retained</v>
      </c>
    </row>
    <row r="1318" spans="1:14" x14ac:dyDescent="0.25">
      <c r="A1318" t="s">
        <v>1356</v>
      </c>
      <c r="B1318" s="1">
        <v>45088</v>
      </c>
      <c r="C1318" t="s">
        <v>12</v>
      </c>
      <c r="D1318" t="s">
        <v>13</v>
      </c>
      <c r="E1318">
        <v>1500</v>
      </c>
      <c r="F1318" t="s">
        <v>32</v>
      </c>
      <c r="G1318" t="s">
        <v>28</v>
      </c>
      <c r="H1318" t="s">
        <v>33</v>
      </c>
      <c r="I1318" t="s">
        <v>34</v>
      </c>
      <c r="J1318" t="s">
        <v>39</v>
      </c>
      <c r="K1318">
        <v>0</v>
      </c>
      <c r="L131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318">
        <f>GhanaStream[[#This Row],[Subscription Fee]]-(GhanaStream[[#This Row],[Discount]]*GhanaStream[[#This Row],[Subscription Fee]])</f>
        <v>1500</v>
      </c>
      <c r="N1318" t="str">
        <f>IF(GhanaStream[[#This Row],[Churn Flag]]="Yes","Churned","Retained")</f>
        <v>Retained</v>
      </c>
    </row>
    <row r="1319" spans="1:14" x14ac:dyDescent="0.25">
      <c r="A1319" t="s">
        <v>1357</v>
      </c>
      <c r="B1319" s="1">
        <v>45516</v>
      </c>
      <c r="C1319" t="s">
        <v>31</v>
      </c>
      <c r="D1319" t="s">
        <v>27</v>
      </c>
      <c r="E1319">
        <v>10800</v>
      </c>
      <c r="F1319" t="s">
        <v>21</v>
      </c>
      <c r="G1319" t="s">
        <v>28</v>
      </c>
      <c r="H1319" t="s">
        <v>16</v>
      </c>
      <c r="I1319" t="s">
        <v>17</v>
      </c>
      <c r="J1319" t="s">
        <v>18</v>
      </c>
      <c r="K1319">
        <v>0.1</v>
      </c>
      <c r="L131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319">
        <f>GhanaStream[[#This Row],[Subscription Fee]]-(GhanaStream[[#This Row],[Discount]]*GhanaStream[[#This Row],[Subscription Fee]])</f>
        <v>9720</v>
      </c>
      <c r="N1319" t="str">
        <f>IF(GhanaStream[[#This Row],[Churn Flag]]="Yes","Churned","Retained")</f>
        <v>Churned</v>
      </c>
    </row>
    <row r="1320" spans="1:14" x14ac:dyDescent="0.25">
      <c r="A1320" t="s">
        <v>1358</v>
      </c>
      <c r="B1320" s="1">
        <v>45558</v>
      </c>
      <c r="C1320" t="s">
        <v>12</v>
      </c>
      <c r="D1320" t="s">
        <v>27</v>
      </c>
      <c r="E1320">
        <v>16200</v>
      </c>
      <c r="F1320" t="s">
        <v>49</v>
      </c>
      <c r="G1320" t="s">
        <v>24</v>
      </c>
      <c r="H1320" t="s">
        <v>33</v>
      </c>
      <c r="I1320" t="s">
        <v>34</v>
      </c>
      <c r="J1320" t="s">
        <v>25</v>
      </c>
      <c r="K1320">
        <v>0.1</v>
      </c>
      <c r="L132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320">
        <f>GhanaStream[[#This Row],[Subscription Fee]]-(GhanaStream[[#This Row],[Discount]]*GhanaStream[[#This Row],[Subscription Fee]])</f>
        <v>14580</v>
      </c>
      <c r="N1320" t="str">
        <f>IF(GhanaStream[[#This Row],[Churn Flag]]="Yes","Churned","Retained")</f>
        <v>Retained</v>
      </c>
    </row>
    <row r="1321" spans="1:14" x14ac:dyDescent="0.25">
      <c r="A1321" t="s">
        <v>1359</v>
      </c>
      <c r="B1321" s="1">
        <v>45245</v>
      </c>
      <c r="C1321" t="s">
        <v>31</v>
      </c>
      <c r="D1321" t="s">
        <v>13</v>
      </c>
      <c r="E1321">
        <v>1000</v>
      </c>
      <c r="F1321" t="s">
        <v>49</v>
      </c>
      <c r="G1321" t="s">
        <v>24</v>
      </c>
      <c r="H1321" t="s">
        <v>33</v>
      </c>
      <c r="I1321" t="s">
        <v>34</v>
      </c>
      <c r="J1321" t="s">
        <v>58</v>
      </c>
      <c r="K1321">
        <v>0</v>
      </c>
      <c r="L132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321">
        <f>GhanaStream[[#This Row],[Subscription Fee]]-(GhanaStream[[#This Row],[Discount]]*GhanaStream[[#This Row],[Subscription Fee]])</f>
        <v>1000</v>
      </c>
      <c r="N1321" t="str">
        <f>IF(GhanaStream[[#This Row],[Churn Flag]]="Yes","Churned","Retained")</f>
        <v>Retained</v>
      </c>
    </row>
    <row r="1322" spans="1:14" x14ac:dyDescent="0.25">
      <c r="A1322" t="s">
        <v>1360</v>
      </c>
      <c r="B1322" s="1">
        <v>45126</v>
      </c>
      <c r="C1322" t="s">
        <v>31</v>
      </c>
      <c r="D1322" t="s">
        <v>27</v>
      </c>
      <c r="E1322">
        <v>10800</v>
      </c>
      <c r="F1322" t="s">
        <v>14</v>
      </c>
      <c r="G1322" t="s">
        <v>15</v>
      </c>
      <c r="H1322" t="s">
        <v>33</v>
      </c>
      <c r="I1322" t="s">
        <v>34</v>
      </c>
      <c r="J1322" t="s">
        <v>22</v>
      </c>
      <c r="K1322">
        <v>0.1</v>
      </c>
      <c r="L132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322">
        <f>GhanaStream[[#This Row],[Subscription Fee]]-(GhanaStream[[#This Row],[Discount]]*GhanaStream[[#This Row],[Subscription Fee]])</f>
        <v>9720</v>
      </c>
      <c r="N1322" t="str">
        <f>IF(GhanaStream[[#This Row],[Churn Flag]]="Yes","Churned","Retained")</f>
        <v>Retained</v>
      </c>
    </row>
    <row r="1323" spans="1:14" x14ac:dyDescent="0.25">
      <c r="A1323" t="s">
        <v>1361</v>
      </c>
      <c r="B1323" s="1">
        <v>45263</v>
      </c>
      <c r="C1323" t="s">
        <v>31</v>
      </c>
      <c r="D1323" t="s">
        <v>27</v>
      </c>
      <c r="E1323">
        <v>10800</v>
      </c>
      <c r="F1323" t="s">
        <v>14</v>
      </c>
      <c r="G1323" t="s">
        <v>28</v>
      </c>
      <c r="H1323" t="s">
        <v>33</v>
      </c>
      <c r="I1323" t="s">
        <v>34</v>
      </c>
      <c r="J1323" t="s">
        <v>18</v>
      </c>
      <c r="K1323">
        <v>0.1</v>
      </c>
      <c r="L132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323">
        <f>GhanaStream[[#This Row],[Subscription Fee]]-(GhanaStream[[#This Row],[Discount]]*GhanaStream[[#This Row],[Subscription Fee]])</f>
        <v>9720</v>
      </c>
      <c r="N1323" t="str">
        <f>IF(GhanaStream[[#This Row],[Churn Flag]]="Yes","Churned","Retained")</f>
        <v>Retained</v>
      </c>
    </row>
    <row r="1324" spans="1:14" x14ac:dyDescent="0.25">
      <c r="A1324" t="s">
        <v>1362</v>
      </c>
      <c r="B1324" s="1">
        <v>45231</v>
      </c>
      <c r="C1324" t="s">
        <v>12</v>
      </c>
      <c r="D1324" t="s">
        <v>13</v>
      </c>
      <c r="E1324">
        <v>1500</v>
      </c>
      <c r="F1324" t="s">
        <v>32</v>
      </c>
      <c r="G1324" t="s">
        <v>24</v>
      </c>
      <c r="H1324" t="s">
        <v>33</v>
      </c>
      <c r="I1324" t="s">
        <v>34</v>
      </c>
      <c r="J1324" t="s">
        <v>39</v>
      </c>
      <c r="K1324">
        <v>0</v>
      </c>
      <c r="L132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324">
        <f>GhanaStream[[#This Row],[Subscription Fee]]-(GhanaStream[[#This Row],[Discount]]*GhanaStream[[#This Row],[Subscription Fee]])</f>
        <v>1500</v>
      </c>
      <c r="N1324" t="str">
        <f>IF(GhanaStream[[#This Row],[Churn Flag]]="Yes","Churned","Retained")</f>
        <v>Retained</v>
      </c>
    </row>
    <row r="1325" spans="1:14" x14ac:dyDescent="0.25">
      <c r="A1325" t="s">
        <v>1363</v>
      </c>
      <c r="B1325" s="1">
        <v>45497</v>
      </c>
      <c r="C1325" t="s">
        <v>20</v>
      </c>
      <c r="D1325" t="s">
        <v>27</v>
      </c>
      <c r="E1325">
        <v>5400</v>
      </c>
      <c r="F1325" t="s">
        <v>21</v>
      </c>
      <c r="G1325" t="s">
        <v>15</v>
      </c>
      <c r="H1325" t="s">
        <v>16</v>
      </c>
      <c r="I1325" t="s">
        <v>17</v>
      </c>
      <c r="J1325" t="s">
        <v>18</v>
      </c>
      <c r="K1325">
        <v>0.1</v>
      </c>
      <c r="L132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325">
        <f>GhanaStream[[#This Row],[Subscription Fee]]-(GhanaStream[[#This Row],[Discount]]*GhanaStream[[#This Row],[Subscription Fee]])</f>
        <v>4860</v>
      </c>
      <c r="N1325" t="str">
        <f>IF(GhanaStream[[#This Row],[Churn Flag]]="Yes","Churned","Retained")</f>
        <v>Churned</v>
      </c>
    </row>
    <row r="1326" spans="1:14" x14ac:dyDescent="0.25">
      <c r="A1326" t="s">
        <v>1364</v>
      </c>
      <c r="B1326" s="1">
        <v>45482</v>
      </c>
      <c r="C1326" t="s">
        <v>20</v>
      </c>
      <c r="D1326" t="s">
        <v>13</v>
      </c>
      <c r="E1326">
        <v>500</v>
      </c>
      <c r="F1326" t="s">
        <v>14</v>
      </c>
      <c r="G1326" t="s">
        <v>28</v>
      </c>
      <c r="H1326" t="s">
        <v>16</v>
      </c>
      <c r="I1326" t="s">
        <v>17</v>
      </c>
      <c r="J1326" t="s">
        <v>18</v>
      </c>
      <c r="K1326">
        <v>0</v>
      </c>
      <c r="L132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326">
        <f>GhanaStream[[#This Row],[Subscription Fee]]-(GhanaStream[[#This Row],[Discount]]*GhanaStream[[#This Row],[Subscription Fee]])</f>
        <v>500</v>
      </c>
      <c r="N1326" t="str">
        <f>IF(GhanaStream[[#This Row],[Churn Flag]]="Yes","Churned","Retained")</f>
        <v>Churned</v>
      </c>
    </row>
    <row r="1327" spans="1:14" x14ac:dyDescent="0.25">
      <c r="A1327" t="s">
        <v>1365</v>
      </c>
      <c r="B1327" s="1">
        <v>45640</v>
      </c>
      <c r="C1327" t="s">
        <v>20</v>
      </c>
      <c r="D1327" t="s">
        <v>13</v>
      </c>
      <c r="E1327">
        <v>500</v>
      </c>
      <c r="F1327" t="s">
        <v>49</v>
      </c>
      <c r="G1327" t="s">
        <v>15</v>
      </c>
      <c r="H1327" t="s">
        <v>16</v>
      </c>
      <c r="I1327" t="s">
        <v>17</v>
      </c>
      <c r="J1327" t="s">
        <v>18</v>
      </c>
      <c r="K1327">
        <v>0</v>
      </c>
      <c r="L132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327">
        <f>GhanaStream[[#This Row],[Subscription Fee]]-(GhanaStream[[#This Row],[Discount]]*GhanaStream[[#This Row],[Subscription Fee]])</f>
        <v>500</v>
      </c>
      <c r="N1327" t="str">
        <f>IF(GhanaStream[[#This Row],[Churn Flag]]="Yes","Churned","Retained")</f>
        <v>Churned</v>
      </c>
    </row>
    <row r="1328" spans="1:14" x14ac:dyDescent="0.25">
      <c r="A1328" t="s">
        <v>1366</v>
      </c>
      <c r="B1328" s="1">
        <v>44967</v>
      </c>
      <c r="C1328" t="s">
        <v>31</v>
      </c>
      <c r="D1328" t="s">
        <v>13</v>
      </c>
      <c r="E1328">
        <v>1000</v>
      </c>
      <c r="F1328" t="s">
        <v>32</v>
      </c>
      <c r="G1328" t="s">
        <v>24</v>
      </c>
      <c r="H1328" t="s">
        <v>33</v>
      </c>
      <c r="I1328" t="s">
        <v>34</v>
      </c>
      <c r="J1328" t="s">
        <v>66</v>
      </c>
      <c r="K1328">
        <v>0</v>
      </c>
      <c r="L132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328">
        <f>GhanaStream[[#This Row],[Subscription Fee]]-(GhanaStream[[#This Row],[Discount]]*GhanaStream[[#This Row],[Subscription Fee]])</f>
        <v>1000</v>
      </c>
      <c r="N1328" t="str">
        <f>IF(GhanaStream[[#This Row],[Churn Flag]]="Yes","Churned","Retained")</f>
        <v>Retained</v>
      </c>
    </row>
    <row r="1329" spans="1:14" x14ac:dyDescent="0.25">
      <c r="A1329" t="s">
        <v>1367</v>
      </c>
      <c r="B1329" s="1">
        <v>45549</v>
      </c>
      <c r="C1329" t="s">
        <v>12</v>
      </c>
      <c r="D1329" t="s">
        <v>27</v>
      </c>
      <c r="E1329">
        <v>16200</v>
      </c>
      <c r="F1329" t="s">
        <v>14</v>
      </c>
      <c r="G1329" t="s">
        <v>28</v>
      </c>
      <c r="H1329" t="s">
        <v>16</v>
      </c>
      <c r="I1329" t="s">
        <v>17</v>
      </c>
      <c r="J1329" t="s">
        <v>18</v>
      </c>
      <c r="K1329">
        <v>0.1</v>
      </c>
      <c r="L132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329">
        <f>GhanaStream[[#This Row],[Subscription Fee]]-(GhanaStream[[#This Row],[Discount]]*GhanaStream[[#This Row],[Subscription Fee]])</f>
        <v>14580</v>
      </c>
      <c r="N1329" t="str">
        <f>IF(GhanaStream[[#This Row],[Churn Flag]]="Yes","Churned","Retained")</f>
        <v>Churned</v>
      </c>
    </row>
    <row r="1330" spans="1:14" x14ac:dyDescent="0.25">
      <c r="A1330" t="s">
        <v>1368</v>
      </c>
      <c r="B1330" s="1">
        <v>44936</v>
      </c>
      <c r="C1330" t="s">
        <v>20</v>
      </c>
      <c r="D1330" t="s">
        <v>13</v>
      </c>
      <c r="E1330">
        <v>500</v>
      </c>
      <c r="F1330" t="s">
        <v>21</v>
      </c>
      <c r="G1330" t="s">
        <v>15</v>
      </c>
      <c r="H1330" t="s">
        <v>33</v>
      </c>
      <c r="I1330" t="s">
        <v>34</v>
      </c>
      <c r="J1330" t="s">
        <v>18</v>
      </c>
      <c r="K1330">
        <v>0</v>
      </c>
      <c r="L133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330">
        <f>GhanaStream[[#This Row],[Subscription Fee]]-(GhanaStream[[#This Row],[Discount]]*GhanaStream[[#This Row],[Subscription Fee]])</f>
        <v>500</v>
      </c>
      <c r="N1330" t="str">
        <f>IF(GhanaStream[[#This Row],[Churn Flag]]="Yes","Churned","Retained")</f>
        <v>Retained</v>
      </c>
    </row>
    <row r="1331" spans="1:14" x14ac:dyDescent="0.25">
      <c r="A1331" t="s">
        <v>1369</v>
      </c>
      <c r="B1331" s="1">
        <v>44940</v>
      </c>
      <c r="C1331" t="s">
        <v>31</v>
      </c>
      <c r="D1331" t="s">
        <v>27</v>
      </c>
      <c r="E1331">
        <v>10800</v>
      </c>
      <c r="F1331" t="s">
        <v>14</v>
      </c>
      <c r="G1331" t="s">
        <v>15</v>
      </c>
      <c r="H1331" t="s">
        <v>33</v>
      </c>
      <c r="I1331" t="s">
        <v>34</v>
      </c>
      <c r="J1331" t="s">
        <v>41</v>
      </c>
      <c r="K1331">
        <v>0.1</v>
      </c>
      <c r="L133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331">
        <f>GhanaStream[[#This Row],[Subscription Fee]]-(GhanaStream[[#This Row],[Discount]]*GhanaStream[[#This Row],[Subscription Fee]])</f>
        <v>9720</v>
      </c>
      <c r="N1331" t="str">
        <f>IF(GhanaStream[[#This Row],[Churn Flag]]="Yes","Churned","Retained")</f>
        <v>Retained</v>
      </c>
    </row>
    <row r="1332" spans="1:14" x14ac:dyDescent="0.25">
      <c r="A1332" t="s">
        <v>1370</v>
      </c>
      <c r="B1332" s="1">
        <v>45417</v>
      </c>
      <c r="C1332" t="s">
        <v>20</v>
      </c>
      <c r="D1332" t="s">
        <v>27</v>
      </c>
      <c r="E1332">
        <v>5400</v>
      </c>
      <c r="F1332" t="s">
        <v>32</v>
      </c>
      <c r="G1332" t="s">
        <v>24</v>
      </c>
      <c r="H1332" t="s">
        <v>16</v>
      </c>
      <c r="I1332" t="s">
        <v>17</v>
      </c>
      <c r="J1332" t="s">
        <v>66</v>
      </c>
      <c r="K1332">
        <v>0.1</v>
      </c>
      <c r="L133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332">
        <f>GhanaStream[[#This Row],[Subscription Fee]]-(GhanaStream[[#This Row],[Discount]]*GhanaStream[[#This Row],[Subscription Fee]])</f>
        <v>4860</v>
      </c>
      <c r="N1332" t="str">
        <f>IF(GhanaStream[[#This Row],[Churn Flag]]="Yes","Churned","Retained")</f>
        <v>Churned</v>
      </c>
    </row>
    <row r="1333" spans="1:14" x14ac:dyDescent="0.25">
      <c r="A1333" t="s">
        <v>1371</v>
      </c>
      <c r="B1333" s="1">
        <v>44947</v>
      </c>
      <c r="C1333" t="s">
        <v>12</v>
      </c>
      <c r="D1333" t="s">
        <v>27</v>
      </c>
      <c r="E1333">
        <v>16200</v>
      </c>
      <c r="F1333" t="s">
        <v>32</v>
      </c>
      <c r="G1333" t="s">
        <v>28</v>
      </c>
      <c r="H1333" t="s">
        <v>33</v>
      </c>
      <c r="I1333" t="s">
        <v>34</v>
      </c>
      <c r="J1333" t="s">
        <v>44</v>
      </c>
      <c r="K1333">
        <v>0.1</v>
      </c>
      <c r="L133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333">
        <f>GhanaStream[[#This Row],[Subscription Fee]]-(GhanaStream[[#This Row],[Discount]]*GhanaStream[[#This Row],[Subscription Fee]])</f>
        <v>14580</v>
      </c>
      <c r="N1333" t="str">
        <f>IF(GhanaStream[[#This Row],[Churn Flag]]="Yes","Churned","Retained")</f>
        <v>Retained</v>
      </c>
    </row>
    <row r="1334" spans="1:14" x14ac:dyDescent="0.25">
      <c r="A1334" t="s">
        <v>1372</v>
      </c>
      <c r="B1334" s="1">
        <v>45049</v>
      </c>
      <c r="C1334" t="s">
        <v>31</v>
      </c>
      <c r="D1334" t="s">
        <v>13</v>
      </c>
      <c r="E1334">
        <v>1000</v>
      </c>
      <c r="F1334" t="s">
        <v>21</v>
      </c>
      <c r="G1334" t="s">
        <v>24</v>
      </c>
      <c r="H1334" t="s">
        <v>33</v>
      </c>
      <c r="I1334" t="s">
        <v>34</v>
      </c>
      <c r="J1334" t="s">
        <v>29</v>
      </c>
      <c r="K1334">
        <v>0</v>
      </c>
      <c r="L133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334">
        <f>GhanaStream[[#This Row],[Subscription Fee]]-(GhanaStream[[#This Row],[Discount]]*GhanaStream[[#This Row],[Subscription Fee]])</f>
        <v>1000</v>
      </c>
      <c r="N1334" t="str">
        <f>IF(GhanaStream[[#This Row],[Churn Flag]]="Yes","Churned","Retained")</f>
        <v>Retained</v>
      </c>
    </row>
    <row r="1335" spans="1:14" x14ac:dyDescent="0.25">
      <c r="A1335" t="s">
        <v>1373</v>
      </c>
      <c r="B1335" s="1">
        <v>45263</v>
      </c>
      <c r="C1335" t="s">
        <v>20</v>
      </c>
      <c r="D1335" t="s">
        <v>13</v>
      </c>
      <c r="E1335">
        <v>500</v>
      </c>
      <c r="F1335" t="s">
        <v>32</v>
      </c>
      <c r="G1335" t="s">
        <v>24</v>
      </c>
      <c r="H1335" t="s">
        <v>33</v>
      </c>
      <c r="I1335" t="s">
        <v>34</v>
      </c>
      <c r="J1335" t="s">
        <v>35</v>
      </c>
      <c r="K1335">
        <v>0</v>
      </c>
      <c r="L133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335">
        <f>GhanaStream[[#This Row],[Subscription Fee]]-(GhanaStream[[#This Row],[Discount]]*GhanaStream[[#This Row],[Subscription Fee]])</f>
        <v>500</v>
      </c>
      <c r="N1335" t="str">
        <f>IF(GhanaStream[[#This Row],[Churn Flag]]="Yes","Churned","Retained")</f>
        <v>Retained</v>
      </c>
    </row>
    <row r="1336" spans="1:14" x14ac:dyDescent="0.25">
      <c r="A1336" t="s">
        <v>1374</v>
      </c>
      <c r="B1336" s="1">
        <v>45164</v>
      </c>
      <c r="C1336" t="s">
        <v>12</v>
      </c>
      <c r="D1336" t="s">
        <v>13</v>
      </c>
      <c r="E1336">
        <v>1500</v>
      </c>
      <c r="F1336" t="s">
        <v>32</v>
      </c>
      <c r="G1336" t="s">
        <v>28</v>
      </c>
      <c r="H1336" t="s">
        <v>16</v>
      </c>
      <c r="I1336" t="s">
        <v>17</v>
      </c>
      <c r="J1336" t="s">
        <v>35</v>
      </c>
      <c r="K1336">
        <v>0</v>
      </c>
      <c r="L133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336">
        <f>GhanaStream[[#This Row],[Subscription Fee]]-(GhanaStream[[#This Row],[Discount]]*GhanaStream[[#This Row],[Subscription Fee]])</f>
        <v>1500</v>
      </c>
      <c r="N1336" t="str">
        <f>IF(GhanaStream[[#This Row],[Churn Flag]]="Yes","Churned","Retained")</f>
        <v>Churned</v>
      </c>
    </row>
    <row r="1337" spans="1:14" x14ac:dyDescent="0.25">
      <c r="A1337" t="s">
        <v>1375</v>
      </c>
      <c r="B1337" s="1">
        <v>45091</v>
      </c>
      <c r="C1337" t="s">
        <v>12</v>
      </c>
      <c r="D1337" t="s">
        <v>13</v>
      </c>
      <c r="E1337">
        <v>1500</v>
      </c>
      <c r="F1337" t="s">
        <v>21</v>
      </c>
      <c r="G1337" t="s">
        <v>28</v>
      </c>
      <c r="H1337" t="s">
        <v>33</v>
      </c>
      <c r="I1337" t="s">
        <v>34</v>
      </c>
      <c r="J1337" t="s">
        <v>29</v>
      </c>
      <c r="K1337">
        <v>0</v>
      </c>
      <c r="L133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337">
        <f>GhanaStream[[#This Row],[Subscription Fee]]-(GhanaStream[[#This Row],[Discount]]*GhanaStream[[#This Row],[Subscription Fee]])</f>
        <v>1500</v>
      </c>
      <c r="N1337" t="str">
        <f>IF(GhanaStream[[#This Row],[Churn Flag]]="Yes","Churned","Retained")</f>
        <v>Retained</v>
      </c>
    </row>
    <row r="1338" spans="1:14" x14ac:dyDescent="0.25">
      <c r="A1338" t="s">
        <v>1376</v>
      </c>
      <c r="B1338" s="1">
        <v>45313</v>
      </c>
      <c r="C1338" t="s">
        <v>20</v>
      </c>
      <c r="D1338" t="s">
        <v>13</v>
      </c>
      <c r="E1338">
        <v>500</v>
      </c>
      <c r="F1338" t="s">
        <v>14</v>
      </c>
      <c r="G1338" t="s">
        <v>28</v>
      </c>
      <c r="H1338" t="s">
        <v>33</v>
      </c>
      <c r="I1338" t="s">
        <v>34</v>
      </c>
      <c r="J1338" t="s">
        <v>55</v>
      </c>
      <c r="K1338">
        <v>0</v>
      </c>
      <c r="L133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338">
        <f>GhanaStream[[#This Row],[Subscription Fee]]-(GhanaStream[[#This Row],[Discount]]*GhanaStream[[#This Row],[Subscription Fee]])</f>
        <v>500</v>
      </c>
      <c r="N1338" t="str">
        <f>IF(GhanaStream[[#This Row],[Churn Flag]]="Yes","Churned","Retained")</f>
        <v>Retained</v>
      </c>
    </row>
    <row r="1339" spans="1:14" x14ac:dyDescent="0.25">
      <c r="A1339" t="s">
        <v>1377</v>
      </c>
      <c r="B1339" s="1">
        <v>45221</v>
      </c>
      <c r="C1339" t="s">
        <v>12</v>
      </c>
      <c r="D1339" t="s">
        <v>13</v>
      </c>
      <c r="E1339">
        <v>1500</v>
      </c>
      <c r="F1339" t="s">
        <v>49</v>
      </c>
      <c r="G1339" t="s">
        <v>24</v>
      </c>
      <c r="H1339" t="s">
        <v>16</v>
      </c>
      <c r="I1339" t="s">
        <v>17</v>
      </c>
      <c r="J1339" t="s">
        <v>22</v>
      </c>
      <c r="K1339">
        <v>0</v>
      </c>
      <c r="L133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339">
        <f>GhanaStream[[#This Row],[Subscription Fee]]-(GhanaStream[[#This Row],[Discount]]*GhanaStream[[#This Row],[Subscription Fee]])</f>
        <v>1500</v>
      </c>
      <c r="N1339" t="str">
        <f>IF(GhanaStream[[#This Row],[Churn Flag]]="Yes","Churned","Retained")</f>
        <v>Churned</v>
      </c>
    </row>
    <row r="1340" spans="1:14" x14ac:dyDescent="0.25">
      <c r="A1340" t="s">
        <v>1378</v>
      </c>
      <c r="B1340" s="1">
        <v>45129</v>
      </c>
      <c r="C1340" t="s">
        <v>20</v>
      </c>
      <c r="D1340" t="s">
        <v>13</v>
      </c>
      <c r="E1340">
        <v>500</v>
      </c>
      <c r="F1340" t="s">
        <v>21</v>
      </c>
      <c r="G1340" t="s">
        <v>24</v>
      </c>
      <c r="H1340" t="s">
        <v>33</v>
      </c>
      <c r="I1340" t="s">
        <v>34</v>
      </c>
      <c r="J1340" t="s">
        <v>18</v>
      </c>
      <c r="K1340">
        <v>0</v>
      </c>
      <c r="L134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340">
        <f>GhanaStream[[#This Row],[Subscription Fee]]-(GhanaStream[[#This Row],[Discount]]*GhanaStream[[#This Row],[Subscription Fee]])</f>
        <v>500</v>
      </c>
      <c r="N1340" t="str">
        <f>IF(GhanaStream[[#This Row],[Churn Flag]]="Yes","Churned","Retained")</f>
        <v>Retained</v>
      </c>
    </row>
    <row r="1341" spans="1:14" x14ac:dyDescent="0.25">
      <c r="A1341" t="s">
        <v>1379</v>
      </c>
      <c r="B1341" s="1">
        <v>45544</v>
      </c>
      <c r="C1341" t="s">
        <v>12</v>
      </c>
      <c r="D1341" t="s">
        <v>27</v>
      </c>
      <c r="E1341">
        <v>16200</v>
      </c>
      <c r="F1341" t="s">
        <v>49</v>
      </c>
      <c r="G1341" t="s">
        <v>15</v>
      </c>
      <c r="H1341" t="s">
        <v>16</v>
      </c>
      <c r="I1341" t="s">
        <v>17</v>
      </c>
      <c r="J1341" t="s">
        <v>22</v>
      </c>
      <c r="K1341">
        <v>0.1</v>
      </c>
      <c r="L134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341">
        <f>GhanaStream[[#This Row],[Subscription Fee]]-(GhanaStream[[#This Row],[Discount]]*GhanaStream[[#This Row],[Subscription Fee]])</f>
        <v>14580</v>
      </c>
      <c r="N1341" t="str">
        <f>IF(GhanaStream[[#This Row],[Churn Flag]]="Yes","Churned","Retained")</f>
        <v>Churned</v>
      </c>
    </row>
    <row r="1342" spans="1:14" x14ac:dyDescent="0.25">
      <c r="A1342" t="s">
        <v>1380</v>
      </c>
      <c r="B1342" s="1">
        <v>45108</v>
      </c>
      <c r="C1342" t="s">
        <v>12</v>
      </c>
      <c r="D1342" t="s">
        <v>27</v>
      </c>
      <c r="E1342">
        <v>16200</v>
      </c>
      <c r="F1342" t="s">
        <v>32</v>
      </c>
      <c r="G1342" t="s">
        <v>28</v>
      </c>
      <c r="H1342" t="s">
        <v>33</v>
      </c>
      <c r="I1342" t="s">
        <v>34</v>
      </c>
      <c r="J1342" t="s">
        <v>25</v>
      </c>
      <c r="K1342">
        <v>0.1</v>
      </c>
      <c r="L134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342">
        <f>GhanaStream[[#This Row],[Subscription Fee]]-(GhanaStream[[#This Row],[Discount]]*GhanaStream[[#This Row],[Subscription Fee]])</f>
        <v>14580</v>
      </c>
      <c r="N1342" t="str">
        <f>IF(GhanaStream[[#This Row],[Churn Flag]]="Yes","Churned","Retained")</f>
        <v>Retained</v>
      </c>
    </row>
    <row r="1343" spans="1:14" x14ac:dyDescent="0.25">
      <c r="A1343" t="s">
        <v>1381</v>
      </c>
      <c r="B1343" s="1">
        <v>45131</v>
      </c>
      <c r="C1343" t="s">
        <v>20</v>
      </c>
      <c r="D1343" t="s">
        <v>13</v>
      </c>
      <c r="E1343">
        <v>500</v>
      </c>
      <c r="F1343" t="s">
        <v>21</v>
      </c>
      <c r="G1343" t="s">
        <v>28</v>
      </c>
      <c r="H1343" t="s">
        <v>33</v>
      </c>
      <c r="I1343" t="s">
        <v>34</v>
      </c>
      <c r="J1343" t="s">
        <v>18</v>
      </c>
      <c r="K1343">
        <v>0</v>
      </c>
      <c r="L134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343">
        <f>GhanaStream[[#This Row],[Subscription Fee]]-(GhanaStream[[#This Row],[Discount]]*GhanaStream[[#This Row],[Subscription Fee]])</f>
        <v>500</v>
      </c>
      <c r="N1343" t="str">
        <f>IF(GhanaStream[[#This Row],[Churn Flag]]="Yes","Churned","Retained")</f>
        <v>Retained</v>
      </c>
    </row>
    <row r="1344" spans="1:14" x14ac:dyDescent="0.25">
      <c r="A1344" t="s">
        <v>1382</v>
      </c>
      <c r="B1344" s="1">
        <v>45081</v>
      </c>
      <c r="C1344" t="s">
        <v>12</v>
      </c>
      <c r="D1344" t="s">
        <v>13</v>
      </c>
      <c r="E1344">
        <v>1500</v>
      </c>
      <c r="F1344" t="s">
        <v>21</v>
      </c>
      <c r="G1344" t="s">
        <v>15</v>
      </c>
      <c r="H1344" t="s">
        <v>33</v>
      </c>
      <c r="I1344" t="s">
        <v>34</v>
      </c>
      <c r="J1344" t="s">
        <v>18</v>
      </c>
      <c r="K1344">
        <v>0</v>
      </c>
      <c r="L134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344">
        <f>GhanaStream[[#This Row],[Subscription Fee]]-(GhanaStream[[#This Row],[Discount]]*GhanaStream[[#This Row],[Subscription Fee]])</f>
        <v>1500</v>
      </c>
      <c r="N1344" t="str">
        <f>IF(GhanaStream[[#This Row],[Churn Flag]]="Yes","Churned","Retained")</f>
        <v>Retained</v>
      </c>
    </row>
    <row r="1345" spans="1:14" x14ac:dyDescent="0.25">
      <c r="A1345" t="s">
        <v>1383</v>
      </c>
      <c r="B1345" s="1">
        <v>45561</v>
      </c>
      <c r="C1345" t="s">
        <v>12</v>
      </c>
      <c r="D1345" t="s">
        <v>13</v>
      </c>
      <c r="E1345">
        <v>1500</v>
      </c>
      <c r="F1345" t="s">
        <v>49</v>
      </c>
      <c r="G1345" t="s">
        <v>28</v>
      </c>
      <c r="H1345" t="s">
        <v>16</v>
      </c>
      <c r="I1345" t="s">
        <v>17</v>
      </c>
      <c r="J1345" t="s">
        <v>50</v>
      </c>
      <c r="K1345">
        <v>0</v>
      </c>
      <c r="L134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345">
        <f>GhanaStream[[#This Row],[Subscription Fee]]-(GhanaStream[[#This Row],[Discount]]*GhanaStream[[#This Row],[Subscription Fee]])</f>
        <v>1500</v>
      </c>
      <c r="N1345" t="str">
        <f>IF(GhanaStream[[#This Row],[Churn Flag]]="Yes","Churned","Retained")</f>
        <v>Churned</v>
      </c>
    </row>
    <row r="1346" spans="1:14" x14ac:dyDescent="0.25">
      <c r="A1346" t="s">
        <v>1384</v>
      </c>
      <c r="B1346" s="1">
        <v>45083</v>
      </c>
      <c r="C1346" t="s">
        <v>12</v>
      </c>
      <c r="D1346" t="s">
        <v>27</v>
      </c>
      <c r="E1346">
        <v>16200</v>
      </c>
      <c r="F1346" t="s">
        <v>21</v>
      </c>
      <c r="G1346" t="s">
        <v>15</v>
      </c>
      <c r="H1346" t="s">
        <v>33</v>
      </c>
      <c r="I1346" t="s">
        <v>34</v>
      </c>
      <c r="J1346" t="s">
        <v>18</v>
      </c>
      <c r="K1346">
        <v>0.1</v>
      </c>
      <c r="L134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346">
        <f>GhanaStream[[#This Row],[Subscription Fee]]-(GhanaStream[[#This Row],[Discount]]*GhanaStream[[#This Row],[Subscription Fee]])</f>
        <v>14580</v>
      </c>
      <c r="N1346" t="str">
        <f>IF(GhanaStream[[#This Row],[Churn Flag]]="Yes","Churned","Retained")</f>
        <v>Retained</v>
      </c>
    </row>
    <row r="1347" spans="1:14" x14ac:dyDescent="0.25">
      <c r="A1347" t="s">
        <v>1385</v>
      </c>
      <c r="B1347" s="1">
        <v>45059</v>
      </c>
      <c r="C1347" t="s">
        <v>20</v>
      </c>
      <c r="D1347" t="s">
        <v>27</v>
      </c>
      <c r="E1347">
        <v>5400</v>
      </c>
      <c r="F1347" t="s">
        <v>49</v>
      </c>
      <c r="G1347" t="s">
        <v>15</v>
      </c>
      <c r="H1347" t="s">
        <v>16</v>
      </c>
      <c r="I1347" t="s">
        <v>17</v>
      </c>
      <c r="J1347" t="s">
        <v>58</v>
      </c>
      <c r="K1347">
        <v>0.1</v>
      </c>
      <c r="L134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347">
        <f>GhanaStream[[#This Row],[Subscription Fee]]-(GhanaStream[[#This Row],[Discount]]*GhanaStream[[#This Row],[Subscription Fee]])</f>
        <v>4860</v>
      </c>
      <c r="N1347" t="str">
        <f>IF(GhanaStream[[#This Row],[Churn Flag]]="Yes","Churned","Retained")</f>
        <v>Churned</v>
      </c>
    </row>
    <row r="1348" spans="1:14" x14ac:dyDescent="0.25">
      <c r="A1348" t="s">
        <v>1386</v>
      </c>
      <c r="B1348" s="1">
        <v>45261</v>
      </c>
      <c r="C1348" t="s">
        <v>20</v>
      </c>
      <c r="D1348" t="s">
        <v>27</v>
      </c>
      <c r="E1348">
        <v>5400</v>
      </c>
      <c r="F1348" t="s">
        <v>21</v>
      </c>
      <c r="G1348" t="s">
        <v>15</v>
      </c>
      <c r="H1348" t="s">
        <v>16</v>
      </c>
      <c r="I1348" t="s">
        <v>17</v>
      </c>
      <c r="J1348" t="s">
        <v>22</v>
      </c>
      <c r="K1348">
        <v>0.1</v>
      </c>
      <c r="L134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348">
        <f>GhanaStream[[#This Row],[Subscription Fee]]-(GhanaStream[[#This Row],[Discount]]*GhanaStream[[#This Row],[Subscription Fee]])</f>
        <v>4860</v>
      </c>
      <c r="N1348" t="str">
        <f>IF(GhanaStream[[#This Row],[Churn Flag]]="Yes","Churned","Retained")</f>
        <v>Churned</v>
      </c>
    </row>
    <row r="1349" spans="1:14" x14ac:dyDescent="0.25">
      <c r="A1349" t="s">
        <v>1387</v>
      </c>
      <c r="B1349" s="1">
        <v>45009</v>
      </c>
      <c r="C1349" t="s">
        <v>20</v>
      </c>
      <c r="D1349" t="s">
        <v>27</v>
      </c>
      <c r="E1349">
        <v>5400</v>
      </c>
      <c r="F1349" t="s">
        <v>21</v>
      </c>
      <c r="G1349" t="s">
        <v>28</v>
      </c>
      <c r="H1349" t="s">
        <v>33</v>
      </c>
      <c r="I1349" t="s">
        <v>34</v>
      </c>
      <c r="J1349" t="s">
        <v>18</v>
      </c>
      <c r="K1349">
        <v>0.1</v>
      </c>
      <c r="L134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349">
        <f>GhanaStream[[#This Row],[Subscription Fee]]-(GhanaStream[[#This Row],[Discount]]*GhanaStream[[#This Row],[Subscription Fee]])</f>
        <v>4860</v>
      </c>
      <c r="N1349" t="str">
        <f>IF(GhanaStream[[#This Row],[Churn Flag]]="Yes","Churned","Retained")</f>
        <v>Retained</v>
      </c>
    </row>
    <row r="1350" spans="1:14" x14ac:dyDescent="0.25">
      <c r="A1350" t="s">
        <v>1388</v>
      </c>
      <c r="B1350" s="1">
        <v>45455</v>
      </c>
      <c r="C1350" t="s">
        <v>31</v>
      </c>
      <c r="D1350" t="s">
        <v>13</v>
      </c>
      <c r="E1350">
        <v>1000</v>
      </c>
      <c r="F1350" t="s">
        <v>49</v>
      </c>
      <c r="G1350" t="s">
        <v>15</v>
      </c>
      <c r="H1350" t="s">
        <v>33</v>
      </c>
      <c r="I1350" t="s">
        <v>34</v>
      </c>
      <c r="J1350" t="s">
        <v>25</v>
      </c>
      <c r="K1350">
        <v>0</v>
      </c>
      <c r="L135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350">
        <f>GhanaStream[[#This Row],[Subscription Fee]]-(GhanaStream[[#This Row],[Discount]]*GhanaStream[[#This Row],[Subscription Fee]])</f>
        <v>1000</v>
      </c>
      <c r="N1350" t="str">
        <f>IF(GhanaStream[[#This Row],[Churn Flag]]="Yes","Churned","Retained")</f>
        <v>Retained</v>
      </c>
    </row>
    <row r="1351" spans="1:14" x14ac:dyDescent="0.25">
      <c r="A1351" t="s">
        <v>1389</v>
      </c>
      <c r="B1351" s="1">
        <v>44932</v>
      </c>
      <c r="C1351" t="s">
        <v>20</v>
      </c>
      <c r="D1351" t="s">
        <v>13</v>
      </c>
      <c r="E1351">
        <v>500</v>
      </c>
      <c r="F1351" t="s">
        <v>14</v>
      </c>
      <c r="G1351" t="s">
        <v>15</v>
      </c>
      <c r="H1351" t="s">
        <v>16</v>
      </c>
      <c r="I1351" t="s">
        <v>17</v>
      </c>
      <c r="J1351" t="s">
        <v>22</v>
      </c>
      <c r="K1351">
        <v>0</v>
      </c>
      <c r="L135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351">
        <f>GhanaStream[[#This Row],[Subscription Fee]]-(GhanaStream[[#This Row],[Discount]]*GhanaStream[[#This Row],[Subscription Fee]])</f>
        <v>500</v>
      </c>
      <c r="N1351" t="str">
        <f>IF(GhanaStream[[#This Row],[Churn Flag]]="Yes","Churned","Retained")</f>
        <v>Churned</v>
      </c>
    </row>
    <row r="1352" spans="1:14" x14ac:dyDescent="0.25">
      <c r="A1352" t="s">
        <v>1390</v>
      </c>
      <c r="B1352" s="1">
        <v>44972</v>
      </c>
      <c r="C1352" t="s">
        <v>20</v>
      </c>
      <c r="D1352" t="s">
        <v>13</v>
      </c>
      <c r="E1352">
        <v>500</v>
      </c>
      <c r="F1352" t="s">
        <v>32</v>
      </c>
      <c r="G1352" t="s">
        <v>24</v>
      </c>
      <c r="H1352" t="s">
        <v>33</v>
      </c>
      <c r="I1352" t="s">
        <v>34</v>
      </c>
      <c r="J1352" t="s">
        <v>25</v>
      </c>
      <c r="K1352">
        <v>0</v>
      </c>
      <c r="L135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352">
        <f>GhanaStream[[#This Row],[Subscription Fee]]-(GhanaStream[[#This Row],[Discount]]*GhanaStream[[#This Row],[Subscription Fee]])</f>
        <v>500</v>
      </c>
      <c r="N1352" t="str">
        <f>IF(GhanaStream[[#This Row],[Churn Flag]]="Yes","Churned","Retained")</f>
        <v>Retained</v>
      </c>
    </row>
    <row r="1353" spans="1:14" x14ac:dyDescent="0.25">
      <c r="A1353" t="s">
        <v>1391</v>
      </c>
      <c r="B1353" s="1">
        <v>45349</v>
      </c>
      <c r="C1353" t="s">
        <v>20</v>
      </c>
      <c r="D1353" t="s">
        <v>27</v>
      </c>
      <c r="E1353">
        <v>5400</v>
      </c>
      <c r="F1353" t="s">
        <v>14</v>
      </c>
      <c r="G1353" t="s">
        <v>28</v>
      </c>
      <c r="H1353" t="s">
        <v>33</v>
      </c>
      <c r="I1353" t="s">
        <v>34</v>
      </c>
      <c r="J1353" t="s">
        <v>55</v>
      </c>
      <c r="K1353">
        <v>0.1</v>
      </c>
      <c r="L135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353">
        <f>GhanaStream[[#This Row],[Subscription Fee]]-(GhanaStream[[#This Row],[Discount]]*GhanaStream[[#This Row],[Subscription Fee]])</f>
        <v>4860</v>
      </c>
      <c r="N1353" t="str">
        <f>IF(GhanaStream[[#This Row],[Churn Flag]]="Yes","Churned","Retained")</f>
        <v>Retained</v>
      </c>
    </row>
    <row r="1354" spans="1:14" x14ac:dyDescent="0.25">
      <c r="A1354" t="s">
        <v>1392</v>
      </c>
      <c r="B1354" s="1">
        <v>45553</v>
      </c>
      <c r="C1354" t="s">
        <v>20</v>
      </c>
      <c r="D1354" t="s">
        <v>13</v>
      </c>
      <c r="E1354">
        <v>500</v>
      </c>
      <c r="F1354" t="s">
        <v>21</v>
      </c>
      <c r="G1354" t="s">
        <v>15</v>
      </c>
      <c r="H1354" t="s">
        <v>33</v>
      </c>
      <c r="I1354" t="s">
        <v>34</v>
      </c>
      <c r="J1354" t="s">
        <v>18</v>
      </c>
      <c r="K1354">
        <v>0</v>
      </c>
      <c r="L135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354">
        <f>GhanaStream[[#This Row],[Subscription Fee]]-(GhanaStream[[#This Row],[Discount]]*GhanaStream[[#This Row],[Subscription Fee]])</f>
        <v>500</v>
      </c>
      <c r="N1354" t="str">
        <f>IF(GhanaStream[[#This Row],[Churn Flag]]="Yes","Churned","Retained")</f>
        <v>Retained</v>
      </c>
    </row>
    <row r="1355" spans="1:14" x14ac:dyDescent="0.25">
      <c r="A1355" t="s">
        <v>1393</v>
      </c>
      <c r="B1355" s="1">
        <v>45488</v>
      </c>
      <c r="C1355" t="s">
        <v>12</v>
      </c>
      <c r="D1355" t="s">
        <v>13</v>
      </c>
      <c r="E1355">
        <v>1500</v>
      </c>
      <c r="F1355" t="s">
        <v>14</v>
      </c>
      <c r="G1355" t="s">
        <v>28</v>
      </c>
      <c r="H1355" t="s">
        <v>33</v>
      </c>
      <c r="I1355" t="s">
        <v>34</v>
      </c>
      <c r="J1355" t="s">
        <v>37</v>
      </c>
      <c r="K1355">
        <v>0</v>
      </c>
      <c r="L135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355">
        <f>GhanaStream[[#This Row],[Subscription Fee]]-(GhanaStream[[#This Row],[Discount]]*GhanaStream[[#This Row],[Subscription Fee]])</f>
        <v>1500</v>
      </c>
      <c r="N1355" t="str">
        <f>IF(GhanaStream[[#This Row],[Churn Flag]]="Yes","Churned","Retained")</f>
        <v>Retained</v>
      </c>
    </row>
    <row r="1356" spans="1:14" x14ac:dyDescent="0.25">
      <c r="A1356" t="s">
        <v>1394</v>
      </c>
      <c r="B1356" s="1">
        <v>44962</v>
      </c>
      <c r="C1356" t="s">
        <v>31</v>
      </c>
      <c r="D1356" t="s">
        <v>27</v>
      </c>
      <c r="E1356">
        <v>10800</v>
      </c>
      <c r="F1356" t="s">
        <v>21</v>
      </c>
      <c r="G1356" t="s">
        <v>24</v>
      </c>
      <c r="H1356" t="s">
        <v>33</v>
      </c>
      <c r="I1356" t="s">
        <v>34</v>
      </c>
      <c r="J1356" t="s">
        <v>29</v>
      </c>
      <c r="K1356">
        <v>0.1</v>
      </c>
      <c r="L135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356">
        <f>GhanaStream[[#This Row],[Subscription Fee]]-(GhanaStream[[#This Row],[Discount]]*GhanaStream[[#This Row],[Subscription Fee]])</f>
        <v>9720</v>
      </c>
      <c r="N1356" t="str">
        <f>IF(GhanaStream[[#This Row],[Churn Flag]]="Yes","Churned","Retained")</f>
        <v>Retained</v>
      </c>
    </row>
    <row r="1357" spans="1:14" x14ac:dyDescent="0.25">
      <c r="A1357" t="s">
        <v>1395</v>
      </c>
      <c r="B1357" s="1">
        <v>45190</v>
      </c>
      <c r="C1357" t="s">
        <v>31</v>
      </c>
      <c r="D1357" t="s">
        <v>13</v>
      </c>
      <c r="E1357">
        <v>1000</v>
      </c>
      <c r="F1357" t="s">
        <v>14</v>
      </c>
      <c r="G1357" t="s">
        <v>28</v>
      </c>
      <c r="H1357" t="s">
        <v>33</v>
      </c>
      <c r="I1357" t="s">
        <v>34</v>
      </c>
      <c r="J1357" t="s">
        <v>18</v>
      </c>
      <c r="K1357">
        <v>0</v>
      </c>
      <c r="L135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357">
        <f>GhanaStream[[#This Row],[Subscription Fee]]-(GhanaStream[[#This Row],[Discount]]*GhanaStream[[#This Row],[Subscription Fee]])</f>
        <v>1000</v>
      </c>
      <c r="N1357" t="str">
        <f>IF(GhanaStream[[#This Row],[Churn Flag]]="Yes","Churned","Retained")</f>
        <v>Retained</v>
      </c>
    </row>
    <row r="1358" spans="1:14" x14ac:dyDescent="0.25">
      <c r="A1358" t="s">
        <v>1396</v>
      </c>
      <c r="B1358" s="1">
        <v>45498</v>
      </c>
      <c r="C1358" t="s">
        <v>12</v>
      </c>
      <c r="D1358" t="s">
        <v>27</v>
      </c>
      <c r="E1358">
        <v>16200</v>
      </c>
      <c r="F1358" t="s">
        <v>14</v>
      </c>
      <c r="G1358" t="s">
        <v>24</v>
      </c>
      <c r="H1358" t="s">
        <v>16</v>
      </c>
      <c r="I1358" t="s">
        <v>17</v>
      </c>
      <c r="J1358" t="s">
        <v>37</v>
      </c>
      <c r="K1358">
        <v>0.1</v>
      </c>
      <c r="L135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358">
        <f>GhanaStream[[#This Row],[Subscription Fee]]-(GhanaStream[[#This Row],[Discount]]*GhanaStream[[#This Row],[Subscription Fee]])</f>
        <v>14580</v>
      </c>
      <c r="N1358" t="str">
        <f>IF(GhanaStream[[#This Row],[Churn Flag]]="Yes","Churned","Retained")</f>
        <v>Churned</v>
      </c>
    </row>
    <row r="1359" spans="1:14" x14ac:dyDescent="0.25">
      <c r="A1359" t="s">
        <v>1397</v>
      </c>
      <c r="B1359" s="1">
        <v>45541</v>
      </c>
      <c r="C1359" t="s">
        <v>20</v>
      </c>
      <c r="D1359" t="s">
        <v>13</v>
      </c>
      <c r="E1359">
        <v>500</v>
      </c>
      <c r="F1359" t="s">
        <v>32</v>
      </c>
      <c r="G1359" t="s">
        <v>24</v>
      </c>
      <c r="H1359" t="s">
        <v>33</v>
      </c>
      <c r="I1359" t="s">
        <v>34</v>
      </c>
      <c r="J1359" t="s">
        <v>25</v>
      </c>
      <c r="K1359">
        <v>0</v>
      </c>
      <c r="L135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359">
        <f>GhanaStream[[#This Row],[Subscription Fee]]-(GhanaStream[[#This Row],[Discount]]*GhanaStream[[#This Row],[Subscription Fee]])</f>
        <v>500</v>
      </c>
      <c r="N1359" t="str">
        <f>IF(GhanaStream[[#This Row],[Churn Flag]]="Yes","Churned","Retained")</f>
        <v>Retained</v>
      </c>
    </row>
    <row r="1360" spans="1:14" x14ac:dyDescent="0.25">
      <c r="A1360" t="s">
        <v>1398</v>
      </c>
      <c r="B1360" s="1">
        <v>45283</v>
      </c>
      <c r="C1360" t="s">
        <v>12</v>
      </c>
      <c r="D1360" t="s">
        <v>27</v>
      </c>
      <c r="E1360">
        <v>16200</v>
      </c>
      <c r="F1360" t="s">
        <v>32</v>
      </c>
      <c r="G1360" t="s">
        <v>15</v>
      </c>
      <c r="H1360" t="s">
        <v>33</v>
      </c>
      <c r="I1360" t="s">
        <v>34</v>
      </c>
      <c r="J1360" t="s">
        <v>25</v>
      </c>
      <c r="K1360">
        <v>0.1</v>
      </c>
      <c r="L136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360">
        <f>GhanaStream[[#This Row],[Subscription Fee]]-(GhanaStream[[#This Row],[Discount]]*GhanaStream[[#This Row],[Subscription Fee]])</f>
        <v>14580</v>
      </c>
      <c r="N1360" t="str">
        <f>IF(GhanaStream[[#This Row],[Churn Flag]]="Yes","Churned","Retained")</f>
        <v>Retained</v>
      </c>
    </row>
    <row r="1361" spans="1:14" x14ac:dyDescent="0.25">
      <c r="A1361" t="s">
        <v>1399</v>
      </c>
      <c r="B1361" s="1">
        <v>45016</v>
      </c>
      <c r="C1361" t="s">
        <v>31</v>
      </c>
      <c r="D1361" t="s">
        <v>27</v>
      </c>
      <c r="E1361">
        <v>10800</v>
      </c>
      <c r="F1361" t="s">
        <v>32</v>
      </c>
      <c r="G1361" t="s">
        <v>15</v>
      </c>
      <c r="H1361" t="s">
        <v>16</v>
      </c>
      <c r="I1361" t="s">
        <v>17</v>
      </c>
      <c r="J1361" t="s">
        <v>35</v>
      </c>
      <c r="K1361">
        <v>0.1</v>
      </c>
      <c r="L136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361">
        <f>GhanaStream[[#This Row],[Subscription Fee]]-(GhanaStream[[#This Row],[Discount]]*GhanaStream[[#This Row],[Subscription Fee]])</f>
        <v>9720</v>
      </c>
      <c r="N1361" t="str">
        <f>IF(GhanaStream[[#This Row],[Churn Flag]]="Yes","Churned","Retained")</f>
        <v>Churned</v>
      </c>
    </row>
    <row r="1362" spans="1:14" x14ac:dyDescent="0.25">
      <c r="A1362" t="s">
        <v>1400</v>
      </c>
      <c r="B1362" s="1">
        <v>45095</v>
      </c>
      <c r="C1362" t="s">
        <v>31</v>
      </c>
      <c r="D1362" t="s">
        <v>27</v>
      </c>
      <c r="E1362">
        <v>10800</v>
      </c>
      <c r="F1362" t="s">
        <v>49</v>
      </c>
      <c r="G1362" t="s">
        <v>24</v>
      </c>
      <c r="H1362" t="s">
        <v>33</v>
      </c>
      <c r="I1362" t="s">
        <v>34</v>
      </c>
      <c r="J1362" t="s">
        <v>50</v>
      </c>
      <c r="K1362">
        <v>0.1</v>
      </c>
      <c r="L136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362">
        <f>GhanaStream[[#This Row],[Subscription Fee]]-(GhanaStream[[#This Row],[Discount]]*GhanaStream[[#This Row],[Subscription Fee]])</f>
        <v>9720</v>
      </c>
      <c r="N1362" t="str">
        <f>IF(GhanaStream[[#This Row],[Churn Flag]]="Yes","Churned","Retained")</f>
        <v>Retained</v>
      </c>
    </row>
    <row r="1363" spans="1:14" x14ac:dyDescent="0.25">
      <c r="A1363" t="s">
        <v>1401</v>
      </c>
      <c r="B1363" s="1">
        <v>45387</v>
      </c>
      <c r="C1363" t="s">
        <v>31</v>
      </c>
      <c r="D1363" t="s">
        <v>13</v>
      </c>
      <c r="E1363">
        <v>1000</v>
      </c>
      <c r="F1363" t="s">
        <v>49</v>
      </c>
      <c r="G1363" t="s">
        <v>24</v>
      </c>
      <c r="H1363" t="s">
        <v>33</v>
      </c>
      <c r="I1363" t="s">
        <v>34</v>
      </c>
      <c r="J1363" t="s">
        <v>25</v>
      </c>
      <c r="K1363">
        <v>0</v>
      </c>
      <c r="L136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363">
        <f>GhanaStream[[#This Row],[Subscription Fee]]-(GhanaStream[[#This Row],[Discount]]*GhanaStream[[#This Row],[Subscription Fee]])</f>
        <v>1000</v>
      </c>
      <c r="N1363" t="str">
        <f>IF(GhanaStream[[#This Row],[Churn Flag]]="Yes","Churned","Retained")</f>
        <v>Retained</v>
      </c>
    </row>
    <row r="1364" spans="1:14" x14ac:dyDescent="0.25">
      <c r="A1364" t="s">
        <v>1402</v>
      </c>
      <c r="B1364" s="1">
        <v>45356</v>
      </c>
      <c r="C1364" t="s">
        <v>12</v>
      </c>
      <c r="D1364" t="s">
        <v>13</v>
      </c>
      <c r="E1364">
        <v>1500</v>
      </c>
      <c r="F1364" t="s">
        <v>49</v>
      </c>
      <c r="G1364" t="s">
        <v>15</v>
      </c>
      <c r="H1364" t="s">
        <v>33</v>
      </c>
      <c r="I1364" t="s">
        <v>34</v>
      </c>
      <c r="J1364" t="s">
        <v>18</v>
      </c>
      <c r="K1364">
        <v>0</v>
      </c>
      <c r="L136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364">
        <f>GhanaStream[[#This Row],[Subscription Fee]]-(GhanaStream[[#This Row],[Discount]]*GhanaStream[[#This Row],[Subscription Fee]])</f>
        <v>1500</v>
      </c>
      <c r="N1364" t="str">
        <f>IF(GhanaStream[[#This Row],[Churn Flag]]="Yes","Churned","Retained")</f>
        <v>Retained</v>
      </c>
    </row>
    <row r="1365" spans="1:14" x14ac:dyDescent="0.25">
      <c r="A1365" t="s">
        <v>1403</v>
      </c>
      <c r="B1365" s="1">
        <v>45554</v>
      </c>
      <c r="C1365" t="s">
        <v>12</v>
      </c>
      <c r="D1365" t="s">
        <v>27</v>
      </c>
      <c r="E1365">
        <v>16200</v>
      </c>
      <c r="F1365" t="s">
        <v>21</v>
      </c>
      <c r="G1365" t="s">
        <v>24</v>
      </c>
      <c r="H1365" t="s">
        <v>16</v>
      </c>
      <c r="I1365" t="s">
        <v>17</v>
      </c>
      <c r="J1365" t="s">
        <v>29</v>
      </c>
      <c r="K1365">
        <v>0.1</v>
      </c>
      <c r="L136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365">
        <f>GhanaStream[[#This Row],[Subscription Fee]]-(GhanaStream[[#This Row],[Discount]]*GhanaStream[[#This Row],[Subscription Fee]])</f>
        <v>14580</v>
      </c>
      <c r="N1365" t="str">
        <f>IF(GhanaStream[[#This Row],[Churn Flag]]="Yes","Churned","Retained")</f>
        <v>Churned</v>
      </c>
    </row>
    <row r="1366" spans="1:14" x14ac:dyDescent="0.25">
      <c r="A1366" t="s">
        <v>1404</v>
      </c>
      <c r="B1366" s="1">
        <v>45064</v>
      </c>
      <c r="C1366" t="s">
        <v>31</v>
      </c>
      <c r="D1366" t="s">
        <v>13</v>
      </c>
      <c r="E1366">
        <v>1000</v>
      </c>
      <c r="F1366" t="s">
        <v>32</v>
      </c>
      <c r="G1366" t="s">
        <v>15</v>
      </c>
      <c r="H1366" t="s">
        <v>16</v>
      </c>
      <c r="I1366" t="s">
        <v>17</v>
      </c>
      <c r="J1366" t="s">
        <v>35</v>
      </c>
      <c r="K1366">
        <v>0</v>
      </c>
      <c r="L136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366">
        <f>GhanaStream[[#This Row],[Subscription Fee]]-(GhanaStream[[#This Row],[Discount]]*GhanaStream[[#This Row],[Subscription Fee]])</f>
        <v>1000</v>
      </c>
      <c r="N1366" t="str">
        <f>IF(GhanaStream[[#This Row],[Churn Flag]]="Yes","Churned","Retained")</f>
        <v>Churned</v>
      </c>
    </row>
    <row r="1367" spans="1:14" x14ac:dyDescent="0.25">
      <c r="A1367" t="s">
        <v>1405</v>
      </c>
      <c r="B1367" s="1">
        <v>45449</v>
      </c>
      <c r="C1367" t="s">
        <v>12</v>
      </c>
      <c r="D1367" t="s">
        <v>13</v>
      </c>
      <c r="E1367">
        <v>1500</v>
      </c>
      <c r="F1367" t="s">
        <v>21</v>
      </c>
      <c r="G1367" t="s">
        <v>28</v>
      </c>
      <c r="H1367" t="s">
        <v>16</v>
      </c>
      <c r="I1367" t="s">
        <v>17</v>
      </c>
      <c r="J1367" t="s">
        <v>29</v>
      </c>
      <c r="K1367">
        <v>0</v>
      </c>
      <c r="L136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367">
        <f>GhanaStream[[#This Row],[Subscription Fee]]-(GhanaStream[[#This Row],[Discount]]*GhanaStream[[#This Row],[Subscription Fee]])</f>
        <v>1500</v>
      </c>
      <c r="N1367" t="str">
        <f>IF(GhanaStream[[#This Row],[Churn Flag]]="Yes","Churned","Retained")</f>
        <v>Churned</v>
      </c>
    </row>
    <row r="1368" spans="1:14" x14ac:dyDescent="0.25">
      <c r="A1368" t="s">
        <v>1406</v>
      </c>
      <c r="B1368" s="1">
        <v>44993</v>
      </c>
      <c r="C1368" t="s">
        <v>12</v>
      </c>
      <c r="D1368" t="s">
        <v>27</v>
      </c>
      <c r="E1368">
        <v>16200</v>
      </c>
      <c r="F1368" t="s">
        <v>32</v>
      </c>
      <c r="G1368" t="s">
        <v>15</v>
      </c>
      <c r="H1368" t="s">
        <v>16</v>
      </c>
      <c r="I1368" t="s">
        <v>17</v>
      </c>
      <c r="J1368" t="s">
        <v>66</v>
      </c>
      <c r="K1368">
        <v>0.1</v>
      </c>
      <c r="L136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368">
        <f>GhanaStream[[#This Row],[Subscription Fee]]-(GhanaStream[[#This Row],[Discount]]*GhanaStream[[#This Row],[Subscription Fee]])</f>
        <v>14580</v>
      </c>
      <c r="N1368" t="str">
        <f>IF(GhanaStream[[#This Row],[Churn Flag]]="Yes","Churned","Retained")</f>
        <v>Churned</v>
      </c>
    </row>
    <row r="1369" spans="1:14" x14ac:dyDescent="0.25">
      <c r="A1369" t="s">
        <v>1407</v>
      </c>
      <c r="B1369" s="1">
        <v>45362</v>
      </c>
      <c r="C1369" t="s">
        <v>31</v>
      </c>
      <c r="D1369" t="s">
        <v>27</v>
      </c>
      <c r="E1369">
        <v>10800</v>
      </c>
      <c r="F1369" t="s">
        <v>14</v>
      </c>
      <c r="G1369" t="s">
        <v>24</v>
      </c>
      <c r="H1369" t="s">
        <v>16</v>
      </c>
      <c r="I1369" t="s">
        <v>17</v>
      </c>
      <c r="J1369" t="s">
        <v>37</v>
      </c>
      <c r="K1369">
        <v>0.1</v>
      </c>
      <c r="L136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369">
        <f>GhanaStream[[#This Row],[Subscription Fee]]-(GhanaStream[[#This Row],[Discount]]*GhanaStream[[#This Row],[Subscription Fee]])</f>
        <v>9720</v>
      </c>
      <c r="N1369" t="str">
        <f>IF(GhanaStream[[#This Row],[Churn Flag]]="Yes","Churned","Retained")</f>
        <v>Churned</v>
      </c>
    </row>
    <row r="1370" spans="1:14" x14ac:dyDescent="0.25">
      <c r="A1370" t="s">
        <v>1408</v>
      </c>
      <c r="B1370" s="1">
        <v>45261</v>
      </c>
      <c r="C1370" t="s">
        <v>31</v>
      </c>
      <c r="D1370" t="s">
        <v>13</v>
      </c>
      <c r="E1370">
        <v>1000</v>
      </c>
      <c r="F1370" t="s">
        <v>49</v>
      </c>
      <c r="G1370" t="s">
        <v>28</v>
      </c>
      <c r="H1370" t="s">
        <v>33</v>
      </c>
      <c r="I1370" t="s">
        <v>34</v>
      </c>
      <c r="J1370" t="s">
        <v>25</v>
      </c>
      <c r="K1370">
        <v>0</v>
      </c>
      <c r="L137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370">
        <f>GhanaStream[[#This Row],[Subscription Fee]]-(GhanaStream[[#This Row],[Discount]]*GhanaStream[[#This Row],[Subscription Fee]])</f>
        <v>1000</v>
      </c>
      <c r="N1370" t="str">
        <f>IF(GhanaStream[[#This Row],[Churn Flag]]="Yes","Churned","Retained")</f>
        <v>Retained</v>
      </c>
    </row>
    <row r="1371" spans="1:14" x14ac:dyDescent="0.25">
      <c r="A1371" t="s">
        <v>1409</v>
      </c>
      <c r="B1371" s="1">
        <v>44958</v>
      </c>
      <c r="C1371" t="s">
        <v>31</v>
      </c>
      <c r="D1371" t="s">
        <v>27</v>
      </c>
      <c r="E1371">
        <v>10800</v>
      </c>
      <c r="F1371" t="s">
        <v>21</v>
      </c>
      <c r="G1371" t="s">
        <v>24</v>
      </c>
      <c r="H1371" t="s">
        <v>16</v>
      </c>
      <c r="I1371" t="s">
        <v>17</v>
      </c>
      <c r="J1371" t="s">
        <v>22</v>
      </c>
      <c r="K1371">
        <v>0.1</v>
      </c>
      <c r="L137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371">
        <f>GhanaStream[[#This Row],[Subscription Fee]]-(GhanaStream[[#This Row],[Discount]]*GhanaStream[[#This Row],[Subscription Fee]])</f>
        <v>9720</v>
      </c>
      <c r="N1371" t="str">
        <f>IF(GhanaStream[[#This Row],[Churn Flag]]="Yes","Churned","Retained")</f>
        <v>Churned</v>
      </c>
    </row>
    <row r="1372" spans="1:14" x14ac:dyDescent="0.25">
      <c r="A1372" t="s">
        <v>1410</v>
      </c>
      <c r="B1372" s="1">
        <v>45310</v>
      </c>
      <c r="C1372" t="s">
        <v>20</v>
      </c>
      <c r="D1372" t="s">
        <v>27</v>
      </c>
      <c r="E1372">
        <v>5400</v>
      </c>
      <c r="F1372" t="s">
        <v>49</v>
      </c>
      <c r="G1372" t="s">
        <v>24</v>
      </c>
      <c r="H1372" t="s">
        <v>33</v>
      </c>
      <c r="I1372" t="s">
        <v>34</v>
      </c>
      <c r="J1372" t="s">
        <v>35</v>
      </c>
      <c r="K1372">
        <v>0.1</v>
      </c>
      <c r="L137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372">
        <f>GhanaStream[[#This Row],[Subscription Fee]]-(GhanaStream[[#This Row],[Discount]]*GhanaStream[[#This Row],[Subscription Fee]])</f>
        <v>4860</v>
      </c>
      <c r="N1372" t="str">
        <f>IF(GhanaStream[[#This Row],[Churn Flag]]="Yes","Churned","Retained")</f>
        <v>Retained</v>
      </c>
    </row>
    <row r="1373" spans="1:14" x14ac:dyDescent="0.25">
      <c r="A1373" t="s">
        <v>1411</v>
      </c>
      <c r="B1373" s="1">
        <v>45493</v>
      </c>
      <c r="C1373" t="s">
        <v>20</v>
      </c>
      <c r="D1373" t="s">
        <v>13</v>
      </c>
      <c r="E1373">
        <v>500</v>
      </c>
      <c r="F1373" t="s">
        <v>49</v>
      </c>
      <c r="G1373" t="s">
        <v>15</v>
      </c>
      <c r="H1373" t="s">
        <v>33</v>
      </c>
      <c r="I1373" t="s">
        <v>34</v>
      </c>
      <c r="J1373" t="s">
        <v>18</v>
      </c>
      <c r="K1373">
        <v>0</v>
      </c>
      <c r="L137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373">
        <f>GhanaStream[[#This Row],[Subscription Fee]]-(GhanaStream[[#This Row],[Discount]]*GhanaStream[[#This Row],[Subscription Fee]])</f>
        <v>500</v>
      </c>
      <c r="N1373" t="str">
        <f>IF(GhanaStream[[#This Row],[Churn Flag]]="Yes","Churned","Retained")</f>
        <v>Retained</v>
      </c>
    </row>
    <row r="1374" spans="1:14" x14ac:dyDescent="0.25">
      <c r="A1374" t="s">
        <v>1412</v>
      </c>
      <c r="B1374" s="1">
        <v>45352</v>
      </c>
      <c r="C1374" t="s">
        <v>20</v>
      </c>
      <c r="D1374" t="s">
        <v>27</v>
      </c>
      <c r="E1374">
        <v>5400</v>
      </c>
      <c r="F1374" t="s">
        <v>32</v>
      </c>
      <c r="G1374" t="s">
        <v>28</v>
      </c>
      <c r="H1374" t="s">
        <v>16</v>
      </c>
      <c r="I1374" t="s">
        <v>17</v>
      </c>
      <c r="J1374" t="s">
        <v>35</v>
      </c>
      <c r="K1374">
        <v>0.1</v>
      </c>
      <c r="L137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374">
        <f>GhanaStream[[#This Row],[Subscription Fee]]-(GhanaStream[[#This Row],[Discount]]*GhanaStream[[#This Row],[Subscription Fee]])</f>
        <v>4860</v>
      </c>
      <c r="N1374" t="str">
        <f>IF(GhanaStream[[#This Row],[Churn Flag]]="Yes","Churned","Retained")</f>
        <v>Churned</v>
      </c>
    </row>
    <row r="1375" spans="1:14" x14ac:dyDescent="0.25">
      <c r="A1375" t="s">
        <v>1413</v>
      </c>
      <c r="B1375" s="1">
        <v>45026</v>
      </c>
      <c r="C1375" t="s">
        <v>20</v>
      </c>
      <c r="D1375" t="s">
        <v>13</v>
      </c>
      <c r="E1375">
        <v>500</v>
      </c>
      <c r="F1375" t="s">
        <v>14</v>
      </c>
      <c r="G1375" t="s">
        <v>28</v>
      </c>
      <c r="H1375" t="s">
        <v>33</v>
      </c>
      <c r="I1375" t="s">
        <v>34</v>
      </c>
      <c r="J1375" t="s">
        <v>41</v>
      </c>
      <c r="K1375">
        <v>0</v>
      </c>
      <c r="L137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375">
        <f>GhanaStream[[#This Row],[Subscription Fee]]-(GhanaStream[[#This Row],[Discount]]*GhanaStream[[#This Row],[Subscription Fee]])</f>
        <v>500</v>
      </c>
      <c r="N1375" t="str">
        <f>IF(GhanaStream[[#This Row],[Churn Flag]]="Yes","Churned","Retained")</f>
        <v>Retained</v>
      </c>
    </row>
    <row r="1376" spans="1:14" x14ac:dyDescent="0.25">
      <c r="A1376" t="s">
        <v>1414</v>
      </c>
      <c r="B1376" s="1">
        <v>45135</v>
      </c>
      <c r="C1376" t="s">
        <v>31</v>
      </c>
      <c r="D1376" t="s">
        <v>27</v>
      </c>
      <c r="E1376">
        <v>10800</v>
      </c>
      <c r="F1376" t="s">
        <v>49</v>
      </c>
      <c r="G1376" t="s">
        <v>15</v>
      </c>
      <c r="H1376" t="s">
        <v>16</v>
      </c>
      <c r="I1376" t="s">
        <v>17</v>
      </c>
      <c r="J1376" t="s">
        <v>22</v>
      </c>
      <c r="K1376">
        <v>0.1</v>
      </c>
      <c r="L137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376">
        <f>GhanaStream[[#This Row],[Subscription Fee]]-(GhanaStream[[#This Row],[Discount]]*GhanaStream[[#This Row],[Subscription Fee]])</f>
        <v>9720</v>
      </c>
      <c r="N1376" t="str">
        <f>IF(GhanaStream[[#This Row],[Churn Flag]]="Yes","Churned","Retained")</f>
        <v>Churned</v>
      </c>
    </row>
    <row r="1377" spans="1:14" x14ac:dyDescent="0.25">
      <c r="A1377" t="s">
        <v>1415</v>
      </c>
      <c r="B1377" s="1">
        <v>45262</v>
      </c>
      <c r="C1377" t="s">
        <v>12</v>
      </c>
      <c r="D1377" t="s">
        <v>27</v>
      </c>
      <c r="E1377">
        <v>16200</v>
      </c>
      <c r="F1377" t="s">
        <v>32</v>
      </c>
      <c r="G1377" t="s">
        <v>24</v>
      </c>
      <c r="H1377" t="s">
        <v>16</v>
      </c>
      <c r="I1377" t="s">
        <v>17</v>
      </c>
      <c r="J1377" t="s">
        <v>66</v>
      </c>
      <c r="K1377">
        <v>0.1</v>
      </c>
      <c r="L137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377">
        <f>GhanaStream[[#This Row],[Subscription Fee]]-(GhanaStream[[#This Row],[Discount]]*GhanaStream[[#This Row],[Subscription Fee]])</f>
        <v>14580</v>
      </c>
      <c r="N1377" t="str">
        <f>IF(GhanaStream[[#This Row],[Churn Flag]]="Yes","Churned","Retained")</f>
        <v>Churned</v>
      </c>
    </row>
    <row r="1378" spans="1:14" x14ac:dyDescent="0.25">
      <c r="A1378" t="s">
        <v>1416</v>
      </c>
      <c r="B1378" s="1">
        <v>45226</v>
      </c>
      <c r="C1378" t="s">
        <v>31</v>
      </c>
      <c r="D1378" t="s">
        <v>13</v>
      </c>
      <c r="E1378">
        <v>1000</v>
      </c>
      <c r="F1378" t="s">
        <v>32</v>
      </c>
      <c r="G1378" t="s">
        <v>28</v>
      </c>
      <c r="H1378" t="s">
        <v>16</v>
      </c>
      <c r="I1378" t="s">
        <v>17</v>
      </c>
      <c r="J1378" t="s">
        <v>25</v>
      </c>
      <c r="K1378">
        <v>0</v>
      </c>
      <c r="L137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378">
        <f>GhanaStream[[#This Row],[Subscription Fee]]-(GhanaStream[[#This Row],[Discount]]*GhanaStream[[#This Row],[Subscription Fee]])</f>
        <v>1000</v>
      </c>
      <c r="N1378" t="str">
        <f>IF(GhanaStream[[#This Row],[Churn Flag]]="Yes","Churned","Retained")</f>
        <v>Churned</v>
      </c>
    </row>
    <row r="1379" spans="1:14" x14ac:dyDescent="0.25">
      <c r="A1379" t="s">
        <v>1417</v>
      </c>
      <c r="B1379" s="1">
        <v>44954</v>
      </c>
      <c r="C1379" t="s">
        <v>20</v>
      </c>
      <c r="D1379" t="s">
        <v>13</v>
      </c>
      <c r="E1379">
        <v>500</v>
      </c>
      <c r="F1379" t="s">
        <v>14</v>
      </c>
      <c r="G1379" t="s">
        <v>24</v>
      </c>
      <c r="H1379" t="s">
        <v>33</v>
      </c>
      <c r="I1379" t="s">
        <v>34</v>
      </c>
      <c r="J1379" t="s">
        <v>18</v>
      </c>
      <c r="K1379">
        <v>0</v>
      </c>
      <c r="L137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379">
        <f>GhanaStream[[#This Row],[Subscription Fee]]-(GhanaStream[[#This Row],[Discount]]*GhanaStream[[#This Row],[Subscription Fee]])</f>
        <v>500</v>
      </c>
      <c r="N1379" t="str">
        <f>IF(GhanaStream[[#This Row],[Churn Flag]]="Yes","Churned","Retained")</f>
        <v>Retained</v>
      </c>
    </row>
    <row r="1380" spans="1:14" x14ac:dyDescent="0.25">
      <c r="A1380" t="s">
        <v>1418</v>
      </c>
      <c r="B1380" s="1">
        <v>44988</v>
      </c>
      <c r="C1380" t="s">
        <v>31</v>
      </c>
      <c r="D1380" t="s">
        <v>13</v>
      </c>
      <c r="E1380">
        <v>1000</v>
      </c>
      <c r="F1380" t="s">
        <v>14</v>
      </c>
      <c r="G1380" t="s">
        <v>24</v>
      </c>
      <c r="H1380" t="s">
        <v>33</v>
      </c>
      <c r="I1380" t="s">
        <v>34</v>
      </c>
      <c r="J1380" t="s">
        <v>55</v>
      </c>
      <c r="K1380">
        <v>0</v>
      </c>
      <c r="L138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380">
        <f>GhanaStream[[#This Row],[Subscription Fee]]-(GhanaStream[[#This Row],[Discount]]*GhanaStream[[#This Row],[Subscription Fee]])</f>
        <v>1000</v>
      </c>
      <c r="N1380" t="str">
        <f>IF(GhanaStream[[#This Row],[Churn Flag]]="Yes","Churned","Retained")</f>
        <v>Retained</v>
      </c>
    </row>
    <row r="1381" spans="1:14" x14ac:dyDescent="0.25">
      <c r="A1381" t="s">
        <v>1419</v>
      </c>
      <c r="B1381" s="1">
        <v>45030</v>
      </c>
      <c r="C1381" t="s">
        <v>20</v>
      </c>
      <c r="D1381" t="s">
        <v>27</v>
      </c>
      <c r="E1381">
        <v>5400</v>
      </c>
      <c r="F1381" t="s">
        <v>14</v>
      </c>
      <c r="G1381" t="s">
        <v>15</v>
      </c>
      <c r="H1381" t="s">
        <v>16</v>
      </c>
      <c r="I1381" t="s">
        <v>17</v>
      </c>
      <c r="J1381" t="s">
        <v>37</v>
      </c>
      <c r="K1381">
        <v>0.1</v>
      </c>
      <c r="L138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381">
        <f>GhanaStream[[#This Row],[Subscription Fee]]-(GhanaStream[[#This Row],[Discount]]*GhanaStream[[#This Row],[Subscription Fee]])</f>
        <v>4860</v>
      </c>
      <c r="N1381" t="str">
        <f>IF(GhanaStream[[#This Row],[Churn Flag]]="Yes","Churned","Retained")</f>
        <v>Churned</v>
      </c>
    </row>
    <row r="1382" spans="1:14" x14ac:dyDescent="0.25">
      <c r="A1382" t="s">
        <v>1420</v>
      </c>
      <c r="B1382" s="1">
        <v>45462</v>
      </c>
      <c r="C1382" t="s">
        <v>20</v>
      </c>
      <c r="D1382" t="s">
        <v>27</v>
      </c>
      <c r="E1382">
        <v>5400</v>
      </c>
      <c r="F1382" t="s">
        <v>14</v>
      </c>
      <c r="G1382" t="s">
        <v>28</v>
      </c>
      <c r="H1382" t="s">
        <v>33</v>
      </c>
      <c r="I1382" t="s">
        <v>34</v>
      </c>
      <c r="J1382" t="s">
        <v>37</v>
      </c>
      <c r="K1382">
        <v>0.1</v>
      </c>
      <c r="L138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382">
        <f>GhanaStream[[#This Row],[Subscription Fee]]-(GhanaStream[[#This Row],[Discount]]*GhanaStream[[#This Row],[Subscription Fee]])</f>
        <v>4860</v>
      </c>
      <c r="N1382" t="str">
        <f>IF(GhanaStream[[#This Row],[Churn Flag]]="Yes","Churned","Retained")</f>
        <v>Retained</v>
      </c>
    </row>
    <row r="1383" spans="1:14" x14ac:dyDescent="0.25">
      <c r="A1383" t="s">
        <v>1421</v>
      </c>
      <c r="B1383" s="1">
        <v>45155</v>
      </c>
      <c r="C1383" t="s">
        <v>31</v>
      </c>
      <c r="D1383" t="s">
        <v>13</v>
      </c>
      <c r="E1383">
        <v>1000</v>
      </c>
      <c r="F1383" t="s">
        <v>21</v>
      </c>
      <c r="G1383" t="s">
        <v>28</v>
      </c>
      <c r="H1383" t="s">
        <v>33</v>
      </c>
      <c r="I1383" t="s">
        <v>34</v>
      </c>
      <c r="J1383" t="s">
        <v>18</v>
      </c>
      <c r="K1383">
        <v>0</v>
      </c>
      <c r="L138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383">
        <f>GhanaStream[[#This Row],[Subscription Fee]]-(GhanaStream[[#This Row],[Discount]]*GhanaStream[[#This Row],[Subscription Fee]])</f>
        <v>1000</v>
      </c>
      <c r="N1383" t="str">
        <f>IF(GhanaStream[[#This Row],[Churn Flag]]="Yes","Churned","Retained")</f>
        <v>Retained</v>
      </c>
    </row>
    <row r="1384" spans="1:14" x14ac:dyDescent="0.25">
      <c r="A1384" t="s">
        <v>1422</v>
      </c>
      <c r="B1384" s="1">
        <v>45115</v>
      </c>
      <c r="C1384" t="s">
        <v>31</v>
      </c>
      <c r="D1384" t="s">
        <v>13</v>
      </c>
      <c r="E1384">
        <v>1000</v>
      </c>
      <c r="F1384" t="s">
        <v>32</v>
      </c>
      <c r="G1384" t="s">
        <v>24</v>
      </c>
      <c r="H1384" t="s">
        <v>16</v>
      </c>
      <c r="I1384" t="s">
        <v>17</v>
      </c>
      <c r="J1384" t="s">
        <v>25</v>
      </c>
      <c r="K1384">
        <v>0</v>
      </c>
      <c r="L138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384">
        <f>GhanaStream[[#This Row],[Subscription Fee]]-(GhanaStream[[#This Row],[Discount]]*GhanaStream[[#This Row],[Subscription Fee]])</f>
        <v>1000</v>
      </c>
      <c r="N1384" t="str">
        <f>IF(GhanaStream[[#This Row],[Churn Flag]]="Yes","Churned","Retained")</f>
        <v>Churned</v>
      </c>
    </row>
    <row r="1385" spans="1:14" x14ac:dyDescent="0.25">
      <c r="A1385" t="s">
        <v>1423</v>
      </c>
      <c r="B1385" s="1">
        <v>45344</v>
      </c>
      <c r="C1385" t="s">
        <v>20</v>
      </c>
      <c r="D1385" t="s">
        <v>13</v>
      </c>
      <c r="E1385">
        <v>500</v>
      </c>
      <c r="F1385" t="s">
        <v>32</v>
      </c>
      <c r="G1385" t="s">
        <v>15</v>
      </c>
      <c r="H1385" t="s">
        <v>33</v>
      </c>
      <c r="I1385" t="s">
        <v>34</v>
      </c>
      <c r="J1385" t="s">
        <v>35</v>
      </c>
      <c r="K1385">
        <v>0</v>
      </c>
      <c r="L138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385">
        <f>GhanaStream[[#This Row],[Subscription Fee]]-(GhanaStream[[#This Row],[Discount]]*GhanaStream[[#This Row],[Subscription Fee]])</f>
        <v>500</v>
      </c>
      <c r="N1385" t="str">
        <f>IF(GhanaStream[[#This Row],[Churn Flag]]="Yes","Churned","Retained")</f>
        <v>Retained</v>
      </c>
    </row>
    <row r="1386" spans="1:14" x14ac:dyDescent="0.25">
      <c r="A1386" t="s">
        <v>1424</v>
      </c>
      <c r="B1386" s="1">
        <v>45407</v>
      </c>
      <c r="C1386" t="s">
        <v>12</v>
      </c>
      <c r="D1386" t="s">
        <v>27</v>
      </c>
      <c r="E1386">
        <v>16200</v>
      </c>
      <c r="F1386" t="s">
        <v>14</v>
      </c>
      <c r="G1386" t="s">
        <v>24</v>
      </c>
      <c r="H1386" t="s">
        <v>33</v>
      </c>
      <c r="I1386" t="s">
        <v>34</v>
      </c>
      <c r="J1386" t="s">
        <v>37</v>
      </c>
      <c r="K1386">
        <v>0.1</v>
      </c>
      <c r="L138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386">
        <f>GhanaStream[[#This Row],[Subscription Fee]]-(GhanaStream[[#This Row],[Discount]]*GhanaStream[[#This Row],[Subscription Fee]])</f>
        <v>14580</v>
      </c>
      <c r="N1386" t="str">
        <f>IF(GhanaStream[[#This Row],[Churn Flag]]="Yes","Churned","Retained")</f>
        <v>Retained</v>
      </c>
    </row>
    <row r="1387" spans="1:14" x14ac:dyDescent="0.25">
      <c r="A1387" t="s">
        <v>1425</v>
      </c>
      <c r="B1387" s="1">
        <v>45566</v>
      </c>
      <c r="C1387" t="s">
        <v>20</v>
      </c>
      <c r="D1387" t="s">
        <v>13</v>
      </c>
      <c r="E1387">
        <v>500</v>
      </c>
      <c r="F1387" t="s">
        <v>14</v>
      </c>
      <c r="G1387" t="s">
        <v>24</v>
      </c>
      <c r="H1387" t="s">
        <v>33</v>
      </c>
      <c r="I1387" t="s">
        <v>34</v>
      </c>
      <c r="J1387" t="s">
        <v>37</v>
      </c>
      <c r="K1387">
        <v>0</v>
      </c>
      <c r="L138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387">
        <f>GhanaStream[[#This Row],[Subscription Fee]]-(GhanaStream[[#This Row],[Discount]]*GhanaStream[[#This Row],[Subscription Fee]])</f>
        <v>500</v>
      </c>
      <c r="N1387" t="str">
        <f>IF(GhanaStream[[#This Row],[Churn Flag]]="Yes","Churned","Retained")</f>
        <v>Retained</v>
      </c>
    </row>
    <row r="1388" spans="1:14" x14ac:dyDescent="0.25">
      <c r="A1388" t="s">
        <v>1426</v>
      </c>
      <c r="B1388" s="1">
        <v>45143</v>
      </c>
      <c r="C1388" t="s">
        <v>12</v>
      </c>
      <c r="D1388" t="s">
        <v>27</v>
      </c>
      <c r="E1388">
        <v>16200</v>
      </c>
      <c r="F1388" t="s">
        <v>49</v>
      </c>
      <c r="G1388" t="s">
        <v>28</v>
      </c>
      <c r="H1388" t="s">
        <v>16</v>
      </c>
      <c r="I1388" t="s">
        <v>17</v>
      </c>
      <c r="J1388" t="s">
        <v>35</v>
      </c>
      <c r="K1388">
        <v>0.1</v>
      </c>
      <c r="L138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388">
        <f>GhanaStream[[#This Row],[Subscription Fee]]-(GhanaStream[[#This Row],[Discount]]*GhanaStream[[#This Row],[Subscription Fee]])</f>
        <v>14580</v>
      </c>
      <c r="N1388" t="str">
        <f>IF(GhanaStream[[#This Row],[Churn Flag]]="Yes","Churned","Retained")</f>
        <v>Churned</v>
      </c>
    </row>
    <row r="1389" spans="1:14" x14ac:dyDescent="0.25">
      <c r="A1389" t="s">
        <v>1427</v>
      </c>
      <c r="B1389" s="1">
        <v>45267</v>
      </c>
      <c r="C1389" t="s">
        <v>12</v>
      </c>
      <c r="D1389" t="s">
        <v>27</v>
      </c>
      <c r="E1389">
        <v>16200</v>
      </c>
      <c r="F1389" t="s">
        <v>21</v>
      </c>
      <c r="G1389" t="s">
        <v>28</v>
      </c>
      <c r="H1389" t="s">
        <v>16</v>
      </c>
      <c r="I1389" t="s">
        <v>17</v>
      </c>
      <c r="J1389" t="s">
        <v>25</v>
      </c>
      <c r="K1389">
        <v>0.1</v>
      </c>
      <c r="L138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389">
        <f>GhanaStream[[#This Row],[Subscription Fee]]-(GhanaStream[[#This Row],[Discount]]*GhanaStream[[#This Row],[Subscription Fee]])</f>
        <v>14580</v>
      </c>
      <c r="N1389" t="str">
        <f>IF(GhanaStream[[#This Row],[Churn Flag]]="Yes","Churned","Retained")</f>
        <v>Churned</v>
      </c>
    </row>
    <row r="1390" spans="1:14" x14ac:dyDescent="0.25">
      <c r="A1390" t="s">
        <v>1428</v>
      </c>
      <c r="B1390" s="1">
        <v>45042</v>
      </c>
      <c r="C1390" t="s">
        <v>20</v>
      </c>
      <c r="D1390" t="s">
        <v>13</v>
      </c>
      <c r="E1390">
        <v>500</v>
      </c>
      <c r="F1390" t="s">
        <v>49</v>
      </c>
      <c r="G1390" t="s">
        <v>15</v>
      </c>
      <c r="H1390" t="s">
        <v>33</v>
      </c>
      <c r="I1390" t="s">
        <v>34</v>
      </c>
      <c r="J1390" t="s">
        <v>35</v>
      </c>
      <c r="K1390">
        <v>0</v>
      </c>
      <c r="L139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390">
        <f>GhanaStream[[#This Row],[Subscription Fee]]-(GhanaStream[[#This Row],[Discount]]*GhanaStream[[#This Row],[Subscription Fee]])</f>
        <v>500</v>
      </c>
      <c r="N1390" t="str">
        <f>IF(GhanaStream[[#This Row],[Churn Flag]]="Yes","Churned","Retained")</f>
        <v>Retained</v>
      </c>
    </row>
    <row r="1391" spans="1:14" x14ac:dyDescent="0.25">
      <c r="A1391" t="s">
        <v>1429</v>
      </c>
      <c r="B1391" s="1">
        <v>45605</v>
      </c>
      <c r="C1391" t="s">
        <v>12</v>
      </c>
      <c r="D1391" t="s">
        <v>13</v>
      </c>
      <c r="E1391">
        <v>1500</v>
      </c>
      <c r="F1391" t="s">
        <v>32</v>
      </c>
      <c r="G1391" t="s">
        <v>28</v>
      </c>
      <c r="H1391" t="s">
        <v>16</v>
      </c>
      <c r="I1391" t="s">
        <v>17</v>
      </c>
      <c r="J1391" t="s">
        <v>35</v>
      </c>
      <c r="K1391">
        <v>0</v>
      </c>
      <c r="L139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391">
        <f>GhanaStream[[#This Row],[Subscription Fee]]-(GhanaStream[[#This Row],[Discount]]*GhanaStream[[#This Row],[Subscription Fee]])</f>
        <v>1500</v>
      </c>
      <c r="N1391" t="str">
        <f>IF(GhanaStream[[#This Row],[Churn Flag]]="Yes","Churned","Retained")</f>
        <v>Churned</v>
      </c>
    </row>
    <row r="1392" spans="1:14" x14ac:dyDescent="0.25">
      <c r="A1392" t="s">
        <v>1430</v>
      </c>
      <c r="B1392" s="1">
        <v>45044</v>
      </c>
      <c r="C1392" t="s">
        <v>20</v>
      </c>
      <c r="D1392" t="s">
        <v>13</v>
      </c>
      <c r="E1392">
        <v>500</v>
      </c>
      <c r="F1392" t="s">
        <v>32</v>
      </c>
      <c r="G1392" t="s">
        <v>15</v>
      </c>
      <c r="H1392" t="s">
        <v>33</v>
      </c>
      <c r="I1392" t="s">
        <v>34</v>
      </c>
      <c r="J1392" t="s">
        <v>66</v>
      </c>
      <c r="K1392">
        <v>0</v>
      </c>
      <c r="L139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392">
        <f>GhanaStream[[#This Row],[Subscription Fee]]-(GhanaStream[[#This Row],[Discount]]*GhanaStream[[#This Row],[Subscription Fee]])</f>
        <v>500</v>
      </c>
      <c r="N1392" t="str">
        <f>IF(GhanaStream[[#This Row],[Churn Flag]]="Yes","Churned","Retained")</f>
        <v>Retained</v>
      </c>
    </row>
    <row r="1393" spans="1:14" x14ac:dyDescent="0.25">
      <c r="A1393" t="s">
        <v>1431</v>
      </c>
      <c r="B1393" s="1">
        <v>45326</v>
      </c>
      <c r="C1393" t="s">
        <v>12</v>
      </c>
      <c r="D1393" t="s">
        <v>27</v>
      </c>
      <c r="E1393">
        <v>16200</v>
      </c>
      <c r="F1393" t="s">
        <v>21</v>
      </c>
      <c r="G1393" t="s">
        <v>24</v>
      </c>
      <c r="H1393" t="s">
        <v>33</v>
      </c>
      <c r="I1393" t="s">
        <v>34</v>
      </c>
      <c r="J1393" t="s">
        <v>29</v>
      </c>
      <c r="K1393">
        <v>0.1</v>
      </c>
      <c r="L139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393">
        <f>GhanaStream[[#This Row],[Subscription Fee]]-(GhanaStream[[#This Row],[Discount]]*GhanaStream[[#This Row],[Subscription Fee]])</f>
        <v>14580</v>
      </c>
      <c r="N1393" t="str">
        <f>IF(GhanaStream[[#This Row],[Churn Flag]]="Yes","Churned","Retained")</f>
        <v>Retained</v>
      </c>
    </row>
    <row r="1394" spans="1:14" x14ac:dyDescent="0.25">
      <c r="A1394" t="s">
        <v>1432</v>
      </c>
      <c r="B1394" s="1">
        <v>45068</v>
      </c>
      <c r="C1394" t="s">
        <v>20</v>
      </c>
      <c r="D1394" t="s">
        <v>13</v>
      </c>
      <c r="E1394">
        <v>500</v>
      </c>
      <c r="F1394" t="s">
        <v>32</v>
      </c>
      <c r="G1394" t="s">
        <v>24</v>
      </c>
      <c r="H1394" t="s">
        <v>33</v>
      </c>
      <c r="I1394" t="s">
        <v>34</v>
      </c>
      <c r="J1394" t="s">
        <v>44</v>
      </c>
      <c r="K1394">
        <v>0</v>
      </c>
      <c r="L139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394">
        <f>GhanaStream[[#This Row],[Subscription Fee]]-(GhanaStream[[#This Row],[Discount]]*GhanaStream[[#This Row],[Subscription Fee]])</f>
        <v>500</v>
      </c>
      <c r="N1394" t="str">
        <f>IF(GhanaStream[[#This Row],[Churn Flag]]="Yes","Churned","Retained")</f>
        <v>Retained</v>
      </c>
    </row>
    <row r="1395" spans="1:14" x14ac:dyDescent="0.25">
      <c r="A1395" t="s">
        <v>1433</v>
      </c>
      <c r="B1395" s="1">
        <v>44962</v>
      </c>
      <c r="C1395" t="s">
        <v>12</v>
      </c>
      <c r="D1395" t="s">
        <v>27</v>
      </c>
      <c r="E1395">
        <v>16200</v>
      </c>
      <c r="F1395" t="s">
        <v>14</v>
      </c>
      <c r="G1395" t="s">
        <v>24</v>
      </c>
      <c r="H1395" t="s">
        <v>33</v>
      </c>
      <c r="I1395" t="s">
        <v>34</v>
      </c>
      <c r="J1395" t="s">
        <v>55</v>
      </c>
      <c r="K1395">
        <v>0.1</v>
      </c>
      <c r="L139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395">
        <f>GhanaStream[[#This Row],[Subscription Fee]]-(GhanaStream[[#This Row],[Discount]]*GhanaStream[[#This Row],[Subscription Fee]])</f>
        <v>14580</v>
      </c>
      <c r="N1395" t="str">
        <f>IF(GhanaStream[[#This Row],[Churn Flag]]="Yes","Churned","Retained")</f>
        <v>Retained</v>
      </c>
    </row>
    <row r="1396" spans="1:14" x14ac:dyDescent="0.25">
      <c r="A1396" t="s">
        <v>1434</v>
      </c>
      <c r="B1396" s="1">
        <v>44943</v>
      </c>
      <c r="C1396" t="s">
        <v>31</v>
      </c>
      <c r="D1396" t="s">
        <v>13</v>
      </c>
      <c r="E1396">
        <v>1000</v>
      </c>
      <c r="F1396" t="s">
        <v>49</v>
      </c>
      <c r="G1396" t="s">
        <v>24</v>
      </c>
      <c r="H1396" t="s">
        <v>33</v>
      </c>
      <c r="I1396" t="s">
        <v>34</v>
      </c>
      <c r="J1396" t="s">
        <v>35</v>
      </c>
      <c r="K1396">
        <v>0</v>
      </c>
      <c r="L139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396">
        <f>GhanaStream[[#This Row],[Subscription Fee]]-(GhanaStream[[#This Row],[Discount]]*GhanaStream[[#This Row],[Subscription Fee]])</f>
        <v>1000</v>
      </c>
      <c r="N1396" t="str">
        <f>IF(GhanaStream[[#This Row],[Churn Flag]]="Yes","Churned","Retained")</f>
        <v>Retained</v>
      </c>
    </row>
    <row r="1397" spans="1:14" x14ac:dyDescent="0.25">
      <c r="A1397" t="s">
        <v>1435</v>
      </c>
      <c r="B1397" s="1">
        <v>45408</v>
      </c>
      <c r="C1397" t="s">
        <v>12</v>
      </c>
      <c r="D1397" t="s">
        <v>27</v>
      </c>
      <c r="E1397">
        <v>16200</v>
      </c>
      <c r="F1397" t="s">
        <v>32</v>
      </c>
      <c r="G1397" t="s">
        <v>24</v>
      </c>
      <c r="H1397" t="s">
        <v>33</v>
      </c>
      <c r="I1397" t="s">
        <v>34</v>
      </c>
      <c r="J1397" t="s">
        <v>25</v>
      </c>
      <c r="K1397">
        <v>0.1</v>
      </c>
      <c r="L139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397">
        <f>GhanaStream[[#This Row],[Subscription Fee]]-(GhanaStream[[#This Row],[Discount]]*GhanaStream[[#This Row],[Subscription Fee]])</f>
        <v>14580</v>
      </c>
      <c r="N1397" t="str">
        <f>IF(GhanaStream[[#This Row],[Churn Flag]]="Yes","Churned","Retained")</f>
        <v>Retained</v>
      </c>
    </row>
    <row r="1398" spans="1:14" x14ac:dyDescent="0.25">
      <c r="A1398" t="s">
        <v>1436</v>
      </c>
      <c r="B1398" s="1">
        <v>45121</v>
      </c>
      <c r="C1398" t="s">
        <v>20</v>
      </c>
      <c r="D1398" t="s">
        <v>13</v>
      </c>
      <c r="E1398">
        <v>500</v>
      </c>
      <c r="F1398" t="s">
        <v>21</v>
      </c>
      <c r="G1398" t="s">
        <v>15</v>
      </c>
      <c r="H1398" t="s">
        <v>16</v>
      </c>
      <c r="I1398" t="s">
        <v>17</v>
      </c>
      <c r="J1398" t="s">
        <v>25</v>
      </c>
      <c r="K1398">
        <v>0</v>
      </c>
      <c r="L139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398">
        <f>GhanaStream[[#This Row],[Subscription Fee]]-(GhanaStream[[#This Row],[Discount]]*GhanaStream[[#This Row],[Subscription Fee]])</f>
        <v>500</v>
      </c>
      <c r="N1398" t="str">
        <f>IF(GhanaStream[[#This Row],[Churn Flag]]="Yes","Churned","Retained")</f>
        <v>Churned</v>
      </c>
    </row>
    <row r="1399" spans="1:14" x14ac:dyDescent="0.25">
      <c r="A1399" t="s">
        <v>1437</v>
      </c>
      <c r="B1399" s="1">
        <v>45517</v>
      </c>
      <c r="C1399" t="s">
        <v>31</v>
      </c>
      <c r="D1399" t="s">
        <v>13</v>
      </c>
      <c r="E1399">
        <v>1000</v>
      </c>
      <c r="F1399" t="s">
        <v>32</v>
      </c>
      <c r="G1399" t="s">
        <v>28</v>
      </c>
      <c r="H1399" t="s">
        <v>16</v>
      </c>
      <c r="I1399" t="s">
        <v>17</v>
      </c>
      <c r="J1399" t="s">
        <v>25</v>
      </c>
      <c r="K1399">
        <v>0</v>
      </c>
      <c r="L139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399">
        <f>GhanaStream[[#This Row],[Subscription Fee]]-(GhanaStream[[#This Row],[Discount]]*GhanaStream[[#This Row],[Subscription Fee]])</f>
        <v>1000</v>
      </c>
      <c r="N1399" t="str">
        <f>IF(GhanaStream[[#This Row],[Churn Flag]]="Yes","Churned","Retained")</f>
        <v>Churned</v>
      </c>
    </row>
    <row r="1400" spans="1:14" x14ac:dyDescent="0.25">
      <c r="A1400" t="s">
        <v>1438</v>
      </c>
      <c r="B1400" s="1">
        <v>45221</v>
      </c>
      <c r="C1400" t="s">
        <v>20</v>
      </c>
      <c r="D1400" t="s">
        <v>27</v>
      </c>
      <c r="E1400">
        <v>5400</v>
      </c>
      <c r="F1400" t="s">
        <v>49</v>
      </c>
      <c r="G1400" t="s">
        <v>15</v>
      </c>
      <c r="H1400" t="s">
        <v>16</v>
      </c>
      <c r="I1400" t="s">
        <v>17</v>
      </c>
      <c r="J1400" t="s">
        <v>58</v>
      </c>
      <c r="K1400">
        <v>0.1</v>
      </c>
      <c r="L140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400">
        <f>GhanaStream[[#This Row],[Subscription Fee]]-(GhanaStream[[#This Row],[Discount]]*GhanaStream[[#This Row],[Subscription Fee]])</f>
        <v>4860</v>
      </c>
      <c r="N1400" t="str">
        <f>IF(GhanaStream[[#This Row],[Churn Flag]]="Yes","Churned","Retained")</f>
        <v>Churned</v>
      </c>
    </row>
    <row r="1401" spans="1:14" x14ac:dyDescent="0.25">
      <c r="A1401" t="s">
        <v>1439</v>
      </c>
      <c r="B1401" s="1">
        <v>45590</v>
      </c>
      <c r="C1401" t="s">
        <v>31</v>
      </c>
      <c r="D1401" t="s">
        <v>27</v>
      </c>
      <c r="E1401">
        <v>10800</v>
      </c>
      <c r="F1401" t="s">
        <v>32</v>
      </c>
      <c r="G1401" t="s">
        <v>24</v>
      </c>
      <c r="H1401" t="s">
        <v>33</v>
      </c>
      <c r="I1401" t="s">
        <v>34</v>
      </c>
      <c r="J1401" t="s">
        <v>35</v>
      </c>
      <c r="K1401">
        <v>0.1</v>
      </c>
      <c r="L140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401">
        <f>GhanaStream[[#This Row],[Subscription Fee]]-(GhanaStream[[#This Row],[Discount]]*GhanaStream[[#This Row],[Subscription Fee]])</f>
        <v>9720</v>
      </c>
      <c r="N1401" t="str">
        <f>IF(GhanaStream[[#This Row],[Churn Flag]]="Yes","Churned","Retained")</f>
        <v>Retained</v>
      </c>
    </row>
    <row r="1402" spans="1:14" x14ac:dyDescent="0.25">
      <c r="A1402" t="s">
        <v>1440</v>
      </c>
      <c r="B1402" s="1">
        <v>45264</v>
      </c>
      <c r="C1402" t="s">
        <v>20</v>
      </c>
      <c r="D1402" t="s">
        <v>13</v>
      </c>
      <c r="E1402">
        <v>500</v>
      </c>
      <c r="F1402" t="s">
        <v>32</v>
      </c>
      <c r="G1402" t="s">
        <v>15</v>
      </c>
      <c r="H1402" t="s">
        <v>33</v>
      </c>
      <c r="I1402" t="s">
        <v>34</v>
      </c>
      <c r="J1402" t="s">
        <v>66</v>
      </c>
      <c r="K1402">
        <v>0</v>
      </c>
      <c r="L140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402">
        <f>GhanaStream[[#This Row],[Subscription Fee]]-(GhanaStream[[#This Row],[Discount]]*GhanaStream[[#This Row],[Subscription Fee]])</f>
        <v>500</v>
      </c>
      <c r="N1402" t="str">
        <f>IF(GhanaStream[[#This Row],[Churn Flag]]="Yes","Churned","Retained")</f>
        <v>Retained</v>
      </c>
    </row>
    <row r="1403" spans="1:14" x14ac:dyDescent="0.25">
      <c r="A1403" t="s">
        <v>1441</v>
      </c>
      <c r="B1403" s="1">
        <v>45574</v>
      </c>
      <c r="C1403" t="s">
        <v>31</v>
      </c>
      <c r="D1403" t="s">
        <v>13</v>
      </c>
      <c r="E1403">
        <v>1000</v>
      </c>
      <c r="F1403" t="s">
        <v>32</v>
      </c>
      <c r="G1403" t="s">
        <v>24</v>
      </c>
      <c r="H1403" t="s">
        <v>33</v>
      </c>
      <c r="I1403" t="s">
        <v>34</v>
      </c>
      <c r="J1403" t="s">
        <v>44</v>
      </c>
      <c r="K1403">
        <v>0</v>
      </c>
      <c r="L140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403">
        <f>GhanaStream[[#This Row],[Subscription Fee]]-(GhanaStream[[#This Row],[Discount]]*GhanaStream[[#This Row],[Subscription Fee]])</f>
        <v>1000</v>
      </c>
      <c r="N1403" t="str">
        <f>IF(GhanaStream[[#This Row],[Churn Flag]]="Yes","Churned","Retained")</f>
        <v>Retained</v>
      </c>
    </row>
    <row r="1404" spans="1:14" x14ac:dyDescent="0.25">
      <c r="A1404" t="s">
        <v>1442</v>
      </c>
      <c r="B1404" s="1">
        <v>45466</v>
      </c>
      <c r="C1404" t="s">
        <v>20</v>
      </c>
      <c r="D1404" t="s">
        <v>13</v>
      </c>
      <c r="E1404">
        <v>500</v>
      </c>
      <c r="F1404" t="s">
        <v>32</v>
      </c>
      <c r="G1404" t="s">
        <v>24</v>
      </c>
      <c r="H1404" t="s">
        <v>33</v>
      </c>
      <c r="I1404" t="s">
        <v>34</v>
      </c>
      <c r="J1404" t="s">
        <v>25</v>
      </c>
      <c r="K1404">
        <v>0</v>
      </c>
      <c r="L140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404">
        <f>GhanaStream[[#This Row],[Subscription Fee]]-(GhanaStream[[#This Row],[Discount]]*GhanaStream[[#This Row],[Subscription Fee]])</f>
        <v>500</v>
      </c>
      <c r="N1404" t="str">
        <f>IF(GhanaStream[[#This Row],[Churn Flag]]="Yes","Churned","Retained")</f>
        <v>Retained</v>
      </c>
    </row>
    <row r="1405" spans="1:14" x14ac:dyDescent="0.25">
      <c r="A1405" t="s">
        <v>1443</v>
      </c>
      <c r="B1405" s="1">
        <v>45596</v>
      </c>
      <c r="C1405" t="s">
        <v>12</v>
      </c>
      <c r="D1405" t="s">
        <v>27</v>
      </c>
      <c r="E1405">
        <v>16200</v>
      </c>
      <c r="F1405" t="s">
        <v>21</v>
      </c>
      <c r="G1405" t="s">
        <v>15</v>
      </c>
      <c r="H1405" t="s">
        <v>33</v>
      </c>
      <c r="I1405" t="s">
        <v>34</v>
      </c>
      <c r="J1405" t="s">
        <v>22</v>
      </c>
      <c r="K1405">
        <v>0.1</v>
      </c>
      <c r="L140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405">
        <f>GhanaStream[[#This Row],[Subscription Fee]]-(GhanaStream[[#This Row],[Discount]]*GhanaStream[[#This Row],[Subscription Fee]])</f>
        <v>14580</v>
      </c>
      <c r="N1405" t="str">
        <f>IF(GhanaStream[[#This Row],[Churn Flag]]="Yes","Churned","Retained")</f>
        <v>Retained</v>
      </c>
    </row>
    <row r="1406" spans="1:14" x14ac:dyDescent="0.25">
      <c r="A1406" t="s">
        <v>1444</v>
      </c>
      <c r="B1406" s="1">
        <v>45040</v>
      </c>
      <c r="C1406" t="s">
        <v>31</v>
      </c>
      <c r="D1406" t="s">
        <v>27</v>
      </c>
      <c r="E1406">
        <v>10800</v>
      </c>
      <c r="F1406" t="s">
        <v>32</v>
      </c>
      <c r="G1406" t="s">
        <v>24</v>
      </c>
      <c r="H1406" t="s">
        <v>16</v>
      </c>
      <c r="I1406" t="s">
        <v>17</v>
      </c>
      <c r="J1406" t="s">
        <v>44</v>
      </c>
      <c r="K1406">
        <v>0.1</v>
      </c>
      <c r="L140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406">
        <f>GhanaStream[[#This Row],[Subscription Fee]]-(GhanaStream[[#This Row],[Discount]]*GhanaStream[[#This Row],[Subscription Fee]])</f>
        <v>9720</v>
      </c>
      <c r="N1406" t="str">
        <f>IF(GhanaStream[[#This Row],[Churn Flag]]="Yes","Churned","Retained")</f>
        <v>Churned</v>
      </c>
    </row>
    <row r="1407" spans="1:14" x14ac:dyDescent="0.25">
      <c r="A1407" t="s">
        <v>1445</v>
      </c>
      <c r="B1407" s="1">
        <v>44966</v>
      </c>
      <c r="C1407" t="s">
        <v>20</v>
      </c>
      <c r="D1407" t="s">
        <v>13</v>
      </c>
      <c r="E1407">
        <v>500</v>
      </c>
      <c r="F1407" t="s">
        <v>14</v>
      </c>
      <c r="G1407" t="s">
        <v>28</v>
      </c>
      <c r="H1407" t="s">
        <v>16</v>
      </c>
      <c r="I1407" t="s">
        <v>17</v>
      </c>
      <c r="J1407" t="s">
        <v>22</v>
      </c>
      <c r="K1407">
        <v>0</v>
      </c>
      <c r="L140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407">
        <f>GhanaStream[[#This Row],[Subscription Fee]]-(GhanaStream[[#This Row],[Discount]]*GhanaStream[[#This Row],[Subscription Fee]])</f>
        <v>500</v>
      </c>
      <c r="N1407" t="str">
        <f>IF(GhanaStream[[#This Row],[Churn Flag]]="Yes","Churned","Retained")</f>
        <v>Churned</v>
      </c>
    </row>
    <row r="1408" spans="1:14" x14ac:dyDescent="0.25">
      <c r="A1408" t="s">
        <v>1446</v>
      </c>
      <c r="B1408" s="1">
        <v>45245</v>
      </c>
      <c r="C1408" t="s">
        <v>20</v>
      </c>
      <c r="D1408" t="s">
        <v>27</v>
      </c>
      <c r="E1408">
        <v>5400</v>
      </c>
      <c r="F1408" t="s">
        <v>32</v>
      </c>
      <c r="G1408" t="s">
        <v>15</v>
      </c>
      <c r="H1408" t="s">
        <v>33</v>
      </c>
      <c r="I1408" t="s">
        <v>34</v>
      </c>
      <c r="J1408" t="s">
        <v>66</v>
      </c>
      <c r="K1408">
        <v>0.1</v>
      </c>
      <c r="L140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408">
        <f>GhanaStream[[#This Row],[Subscription Fee]]-(GhanaStream[[#This Row],[Discount]]*GhanaStream[[#This Row],[Subscription Fee]])</f>
        <v>4860</v>
      </c>
      <c r="N1408" t="str">
        <f>IF(GhanaStream[[#This Row],[Churn Flag]]="Yes","Churned","Retained")</f>
        <v>Retained</v>
      </c>
    </row>
    <row r="1409" spans="1:14" x14ac:dyDescent="0.25">
      <c r="A1409" t="s">
        <v>1447</v>
      </c>
      <c r="B1409" s="1">
        <v>45252</v>
      </c>
      <c r="C1409" t="s">
        <v>31</v>
      </c>
      <c r="D1409" t="s">
        <v>27</v>
      </c>
      <c r="E1409">
        <v>10800</v>
      </c>
      <c r="F1409" t="s">
        <v>49</v>
      </c>
      <c r="G1409" t="s">
        <v>28</v>
      </c>
      <c r="H1409" t="s">
        <v>16</v>
      </c>
      <c r="I1409" t="s">
        <v>17</v>
      </c>
      <c r="J1409" t="s">
        <v>22</v>
      </c>
      <c r="K1409">
        <v>0.1</v>
      </c>
      <c r="L140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409">
        <f>GhanaStream[[#This Row],[Subscription Fee]]-(GhanaStream[[#This Row],[Discount]]*GhanaStream[[#This Row],[Subscription Fee]])</f>
        <v>9720</v>
      </c>
      <c r="N1409" t="str">
        <f>IF(GhanaStream[[#This Row],[Churn Flag]]="Yes","Churned","Retained")</f>
        <v>Churned</v>
      </c>
    </row>
    <row r="1410" spans="1:14" x14ac:dyDescent="0.25">
      <c r="A1410" t="s">
        <v>1448</v>
      </c>
      <c r="B1410" s="1">
        <v>45559</v>
      </c>
      <c r="C1410" t="s">
        <v>31</v>
      </c>
      <c r="D1410" t="s">
        <v>27</v>
      </c>
      <c r="E1410">
        <v>10800</v>
      </c>
      <c r="F1410" t="s">
        <v>21</v>
      </c>
      <c r="G1410" t="s">
        <v>24</v>
      </c>
      <c r="H1410" t="s">
        <v>16</v>
      </c>
      <c r="I1410" t="s">
        <v>17</v>
      </c>
      <c r="J1410" t="s">
        <v>29</v>
      </c>
      <c r="K1410">
        <v>0.1</v>
      </c>
      <c r="L141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410">
        <f>GhanaStream[[#This Row],[Subscription Fee]]-(GhanaStream[[#This Row],[Discount]]*GhanaStream[[#This Row],[Subscription Fee]])</f>
        <v>9720</v>
      </c>
      <c r="N1410" t="str">
        <f>IF(GhanaStream[[#This Row],[Churn Flag]]="Yes","Churned","Retained")</f>
        <v>Churned</v>
      </c>
    </row>
    <row r="1411" spans="1:14" x14ac:dyDescent="0.25">
      <c r="A1411" t="s">
        <v>1449</v>
      </c>
      <c r="B1411" s="1">
        <v>44984</v>
      </c>
      <c r="C1411" t="s">
        <v>20</v>
      </c>
      <c r="D1411" t="s">
        <v>13</v>
      </c>
      <c r="E1411">
        <v>500</v>
      </c>
      <c r="F1411" t="s">
        <v>32</v>
      </c>
      <c r="G1411" t="s">
        <v>28</v>
      </c>
      <c r="H1411" t="s">
        <v>33</v>
      </c>
      <c r="I1411" t="s">
        <v>34</v>
      </c>
      <c r="J1411" t="s">
        <v>44</v>
      </c>
      <c r="K1411">
        <v>0</v>
      </c>
      <c r="L141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411">
        <f>GhanaStream[[#This Row],[Subscription Fee]]-(GhanaStream[[#This Row],[Discount]]*GhanaStream[[#This Row],[Subscription Fee]])</f>
        <v>500</v>
      </c>
      <c r="N1411" t="str">
        <f>IF(GhanaStream[[#This Row],[Churn Flag]]="Yes","Churned","Retained")</f>
        <v>Retained</v>
      </c>
    </row>
    <row r="1412" spans="1:14" x14ac:dyDescent="0.25">
      <c r="A1412" t="s">
        <v>1450</v>
      </c>
      <c r="B1412" s="1">
        <v>45397</v>
      </c>
      <c r="C1412" t="s">
        <v>31</v>
      </c>
      <c r="D1412" t="s">
        <v>13</v>
      </c>
      <c r="E1412">
        <v>1000</v>
      </c>
      <c r="F1412" t="s">
        <v>21</v>
      </c>
      <c r="G1412" t="s">
        <v>24</v>
      </c>
      <c r="H1412" t="s">
        <v>33</v>
      </c>
      <c r="I1412" t="s">
        <v>34</v>
      </c>
      <c r="J1412" t="s">
        <v>22</v>
      </c>
      <c r="K1412">
        <v>0</v>
      </c>
      <c r="L141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412">
        <f>GhanaStream[[#This Row],[Subscription Fee]]-(GhanaStream[[#This Row],[Discount]]*GhanaStream[[#This Row],[Subscription Fee]])</f>
        <v>1000</v>
      </c>
      <c r="N1412" t="str">
        <f>IF(GhanaStream[[#This Row],[Churn Flag]]="Yes","Churned","Retained")</f>
        <v>Retained</v>
      </c>
    </row>
    <row r="1413" spans="1:14" x14ac:dyDescent="0.25">
      <c r="A1413" t="s">
        <v>1451</v>
      </c>
      <c r="B1413" s="1">
        <v>45657</v>
      </c>
      <c r="C1413" t="s">
        <v>31</v>
      </c>
      <c r="D1413" t="s">
        <v>13</v>
      </c>
      <c r="E1413">
        <v>1000</v>
      </c>
      <c r="F1413" t="s">
        <v>14</v>
      </c>
      <c r="G1413" t="s">
        <v>28</v>
      </c>
      <c r="H1413" t="s">
        <v>33</v>
      </c>
      <c r="I1413" t="s">
        <v>34</v>
      </c>
      <c r="J1413" t="s">
        <v>22</v>
      </c>
      <c r="K1413">
        <v>0</v>
      </c>
      <c r="L141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413">
        <f>GhanaStream[[#This Row],[Subscription Fee]]-(GhanaStream[[#This Row],[Discount]]*GhanaStream[[#This Row],[Subscription Fee]])</f>
        <v>1000</v>
      </c>
      <c r="N1413" t="str">
        <f>IF(GhanaStream[[#This Row],[Churn Flag]]="Yes","Churned","Retained")</f>
        <v>Retained</v>
      </c>
    </row>
    <row r="1414" spans="1:14" x14ac:dyDescent="0.25">
      <c r="A1414" t="s">
        <v>1452</v>
      </c>
      <c r="B1414" s="1">
        <v>45606</v>
      </c>
      <c r="C1414" t="s">
        <v>12</v>
      </c>
      <c r="D1414" t="s">
        <v>13</v>
      </c>
      <c r="E1414">
        <v>1500</v>
      </c>
      <c r="F1414" t="s">
        <v>21</v>
      </c>
      <c r="G1414" t="s">
        <v>15</v>
      </c>
      <c r="H1414" t="s">
        <v>16</v>
      </c>
      <c r="I1414" t="s">
        <v>17</v>
      </c>
      <c r="J1414" t="s">
        <v>22</v>
      </c>
      <c r="K1414">
        <v>0</v>
      </c>
      <c r="L141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414">
        <f>GhanaStream[[#This Row],[Subscription Fee]]-(GhanaStream[[#This Row],[Discount]]*GhanaStream[[#This Row],[Subscription Fee]])</f>
        <v>1500</v>
      </c>
      <c r="N1414" t="str">
        <f>IF(GhanaStream[[#This Row],[Churn Flag]]="Yes","Churned","Retained")</f>
        <v>Churned</v>
      </c>
    </row>
    <row r="1415" spans="1:14" x14ac:dyDescent="0.25">
      <c r="A1415" t="s">
        <v>1453</v>
      </c>
      <c r="B1415" s="1">
        <v>45443</v>
      </c>
      <c r="C1415" t="s">
        <v>20</v>
      </c>
      <c r="D1415" t="s">
        <v>27</v>
      </c>
      <c r="E1415">
        <v>5400</v>
      </c>
      <c r="F1415" t="s">
        <v>49</v>
      </c>
      <c r="G1415" t="s">
        <v>15</v>
      </c>
      <c r="H1415" t="s">
        <v>33</v>
      </c>
      <c r="I1415" t="s">
        <v>34</v>
      </c>
      <c r="J1415" t="s">
        <v>22</v>
      </c>
      <c r="K1415">
        <v>0.1</v>
      </c>
      <c r="L141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415">
        <f>GhanaStream[[#This Row],[Subscription Fee]]-(GhanaStream[[#This Row],[Discount]]*GhanaStream[[#This Row],[Subscription Fee]])</f>
        <v>4860</v>
      </c>
      <c r="N1415" t="str">
        <f>IF(GhanaStream[[#This Row],[Churn Flag]]="Yes","Churned","Retained")</f>
        <v>Retained</v>
      </c>
    </row>
    <row r="1416" spans="1:14" x14ac:dyDescent="0.25">
      <c r="A1416" t="s">
        <v>1454</v>
      </c>
      <c r="B1416" s="1">
        <v>44938</v>
      </c>
      <c r="C1416" t="s">
        <v>20</v>
      </c>
      <c r="D1416" t="s">
        <v>13</v>
      </c>
      <c r="E1416">
        <v>500</v>
      </c>
      <c r="F1416" t="s">
        <v>49</v>
      </c>
      <c r="G1416" t="s">
        <v>15</v>
      </c>
      <c r="H1416" t="s">
        <v>16</v>
      </c>
      <c r="I1416" t="s">
        <v>17</v>
      </c>
      <c r="J1416" t="s">
        <v>18</v>
      </c>
      <c r="K1416">
        <v>0</v>
      </c>
      <c r="L141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416">
        <f>GhanaStream[[#This Row],[Subscription Fee]]-(GhanaStream[[#This Row],[Discount]]*GhanaStream[[#This Row],[Subscription Fee]])</f>
        <v>500</v>
      </c>
      <c r="N1416" t="str">
        <f>IF(GhanaStream[[#This Row],[Churn Flag]]="Yes","Churned","Retained")</f>
        <v>Churned</v>
      </c>
    </row>
    <row r="1417" spans="1:14" x14ac:dyDescent="0.25">
      <c r="A1417" t="s">
        <v>1455</v>
      </c>
      <c r="B1417" s="1">
        <v>45395</v>
      </c>
      <c r="C1417" t="s">
        <v>12</v>
      </c>
      <c r="D1417" t="s">
        <v>13</v>
      </c>
      <c r="E1417">
        <v>1500</v>
      </c>
      <c r="F1417" t="s">
        <v>32</v>
      </c>
      <c r="G1417" t="s">
        <v>24</v>
      </c>
      <c r="H1417" t="s">
        <v>16</v>
      </c>
      <c r="I1417" t="s">
        <v>17</v>
      </c>
      <c r="J1417" t="s">
        <v>35</v>
      </c>
      <c r="K1417">
        <v>0</v>
      </c>
      <c r="L141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417">
        <f>GhanaStream[[#This Row],[Subscription Fee]]-(GhanaStream[[#This Row],[Discount]]*GhanaStream[[#This Row],[Subscription Fee]])</f>
        <v>1500</v>
      </c>
      <c r="N1417" t="str">
        <f>IF(GhanaStream[[#This Row],[Churn Flag]]="Yes","Churned","Retained")</f>
        <v>Churned</v>
      </c>
    </row>
    <row r="1418" spans="1:14" x14ac:dyDescent="0.25">
      <c r="A1418" t="s">
        <v>1456</v>
      </c>
      <c r="B1418" s="1">
        <v>45650</v>
      </c>
      <c r="C1418" t="s">
        <v>20</v>
      </c>
      <c r="D1418" t="s">
        <v>27</v>
      </c>
      <c r="E1418">
        <v>5400</v>
      </c>
      <c r="F1418" t="s">
        <v>14</v>
      </c>
      <c r="G1418" t="s">
        <v>15</v>
      </c>
      <c r="H1418" t="s">
        <v>16</v>
      </c>
      <c r="I1418" t="s">
        <v>17</v>
      </c>
      <c r="J1418" t="s">
        <v>22</v>
      </c>
      <c r="K1418">
        <v>0.1</v>
      </c>
      <c r="L141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418">
        <f>GhanaStream[[#This Row],[Subscription Fee]]-(GhanaStream[[#This Row],[Discount]]*GhanaStream[[#This Row],[Subscription Fee]])</f>
        <v>4860</v>
      </c>
      <c r="N1418" t="str">
        <f>IF(GhanaStream[[#This Row],[Churn Flag]]="Yes","Churned","Retained")</f>
        <v>Churned</v>
      </c>
    </row>
    <row r="1419" spans="1:14" x14ac:dyDescent="0.25">
      <c r="A1419" t="s">
        <v>1457</v>
      </c>
      <c r="B1419" s="1">
        <v>45519</v>
      </c>
      <c r="C1419" t="s">
        <v>20</v>
      </c>
      <c r="D1419" t="s">
        <v>27</v>
      </c>
      <c r="E1419">
        <v>5400</v>
      </c>
      <c r="F1419" t="s">
        <v>32</v>
      </c>
      <c r="G1419" t="s">
        <v>28</v>
      </c>
      <c r="H1419" t="s">
        <v>16</v>
      </c>
      <c r="I1419" t="s">
        <v>17</v>
      </c>
      <c r="J1419" t="s">
        <v>25</v>
      </c>
      <c r="K1419">
        <v>0.1</v>
      </c>
      <c r="L141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419">
        <f>GhanaStream[[#This Row],[Subscription Fee]]-(GhanaStream[[#This Row],[Discount]]*GhanaStream[[#This Row],[Subscription Fee]])</f>
        <v>4860</v>
      </c>
      <c r="N1419" t="str">
        <f>IF(GhanaStream[[#This Row],[Churn Flag]]="Yes","Churned","Retained")</f>
        <v>Churned</v>
      </c>
    </row>
    <row r="1420" spans="1:14" x14ac:dyDescent="0.25">
      <c r="A1420" t="s">
        <v>1458</v>
      </c>
      <c r="B1420" s="1">
        <v>45009</v>
      </c>
      <c r="C1420" t="s">
        <v>12</v>
      </c>
      <c r="D1420" t="s">
        <v>27</v>
      </c>
      <c r="E1420">
        <v>16200</v>
      </c>
      <c r="F1420" t="s">
        <v>21</v>
      </c>
      <c r="G1420" t="s">
        <v>24</v>
      </c>
      <c r="H1420" t="s">
        <v>16</v>
      </c>
      <c r="I1420" t="s">
        <v>17</v>
      </c>
      <c r="J1420" t="s">
        <v>29</v>
      </c>
      <c r="K1420">
        <v>0.1</v>
      </c>
      <c r="L142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420">
        <f>GhanaStream[[#This Row],[Subscription Fee]]-(GhanaStream[[#This Row],[Discount]]*GhanaStream[[#This Row],[Subscription Fee]])</f>
        <v>14580</v>
      </c>
      <c r="N1420" t="str">
        <f>IF(GhanaStream[[#This Row],[Churn Flag]]="Yes","Churned","Retained")</f>
        <v>Churned</v>
      </c>
    </row>
    <row r="1421" spans="1:14" x14ac:dyDescent="0.25">
      <c r="A1421" t="s">
        <v>1459</v>
      </c>
      <c r="B1421" s="1">
        <v>45574</v>
      </c>
      <c r="C1421" t="s">
        <v>31</v>
      </c>
      <c r="D1421" t="s">
        <v>13</v>
      </c>
      <c r="E1421">
        <v>1000</v>
      </c>
      <c r="F1421" t="s">
        <v>32</v>
      </c>
      <c r="G1421" t="s">
        <v>24</v>
      </c>
      <c r="H1421" t="s">
        <v>33</v>
      </c>
      <c r="I1421" t="s">
        <v>34</v>
      </c>
      <c r="J1421" t="s">
        <v>25</v>
      </c>
      <c r="K1421">
        <v>0</v>
      </c>
      <c r="L142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421">
        <f>GhanaStream[[#This Row],[Subscription Fee]]-(GhanaStream[[#This Row],[Discount]]*GhanaStream[[#This Row],[Subscription Fee]])</f>
        <v>1000</v>
      </c>
      <c r="N1421" t="str">
        <f>IF(GhanaStream[[#This Row],[Churn Flag]]="Yes","Churned","Retained")</f>
        <v>Retained</v>
      </c>
    </row>
    <row r="1422" spans="1:14" x14ac:dyDescent="0.25">
      <c r="A1422" t="s">
        <v>1460</v>
      </c>
      <c r="B1422" s="1">
        <v>45445</v>
      </c>
      <c r="C1422" t="s">
        <v>20</v>
      </c>
      <c r="D1422" t="s">
        <v>27</v>
      </c>
      <c r="E1422">
        <v>5400</v>
      </c>
      <c r="F1422" t="s">
        <v>14</v>
      </c>
      <c r="G1422" t="s">
        <v>24</v>
      </c>
      <c r="H1422" t="s">
        <v>16</v>
      </c>
      <c r="I1422" t="s">
        <v>17</v>
      </c>
      <c r="J1422" t="s">
        <v>41</v>
      </c>
      <c r="K1422">
        <v>0.1</v>
      </c>
      <c r="L142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422">
        <f>GhanaStream[[#This Row],[Subscription Fee]]-(GhanaStream[[#This Row],[Discount]]*GhanaStream[[#This Row],[Subscription Fee]])</f>
        <v>4860</v>
      </c>
      <c r="N1422" t="str">
        <f>IF(GhanaStream[[#This Row],[Churn Flag]]="Yes","Churned","Retained")</f>
        <v>Churned</v>
      </c>
    </row>
    <row r="1423" spans="1:14" x14ac:dyDescent="0.25">
      <c r="A1423" t="s">
        <v>1461</v>
      </c>
      <c r="B1423" s="1">
        <v>45113</v>
      </c>
      <c r="C1423" t="s">
        <v>20</v>
      </c>
      <c r="D1423" t="s">
        <v>13</v>
      </c>
      <c r="E1423">
        <v>500</v>
      </c>
      <c r="F1423" t="s">
        <v>32</v>
      </c>
      <c r="G1423" t="s">
        <v>28</v>
      </c>
      <c r="H1423" t="s">
        <v>16</v>
      </c>
      <c r="I1423" t="s">
        <v>17</v>
      </c>
      <c r="J1423" t="s">
        <v>66</v>
      </c>
      <c r="K1423">
        <v>0</v>
      </c>
      <c r="L142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423">
        <f>GhanaStream[[#This Row],[Subscription Fee]]-(GhanaStream[[#This Row],[Discount]]*GhanaStream[[#This Row],[Subscription Fee]])</f>
        <v>500</v>
      </c>
      <c r="N1423" t="str">
        <f>IF(GhanaStream[[#This Row],[Churn Flag]]="Yes","Churned","Retained")</f>
        <v>Churned</v>
      </c>
    </row>
    <row r="1424" spans="1:14" x14ac:dyDescent="0.25">
      <c r="A1424" t="s">
        <v>1462</v>
      </c>
      <c r="B1424" s="1">
        <v>45272</v>
      </c>
      <c r="C1424" t="s">
        <v>12</v>
      </c>
      <c r="D1424" t="s">
        <v>27</v>
      </c>
      <c r="E1424">
        <v>16200</v>
      </c>
      <c r="F1424" t="s">
        <v>32</v>
      </c>
      <c r="G1424" t="s">
        <v>28</v>
      </c>
      <c r="H1424" t="s">
        <v>33</v>
      </c>
      <c r="I1424" t="s">
        <v>34</v>
      </c>
      <c r="J1424" t="s">
        <v>35</v>
      </c>
      <c r="K1424">
        <v>0.1</v>
      </c>
      <c r="L142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424">
        <f>GhanaStream[[#This Row],[Subscription Fee]]-(GhanaStream[[#This Row],[Discount]]*GhanaStream[[#This Row],[Subscription Fee]])</f>
        <v>14580</v>
      </c>
      <c r="N1424" t="str">
        <f>IF(GhanaStream[[#This Row],[Churn Flag]]="Yes","Churned","Retained")</f>
        <v>Retained</v>
      </c>
    </row>
    <row r="1425" spans="1:14" x14ac:dyDescent="0.25">
      <c r="A1425" t="s">
        <v>1463</v>
      </c>
      <c r="B1425" s="1">
        <v>44961</v>
      </c>
      <c r="C1425" t="s">
        <v>20</v>
      </c>
      <c r="D1425" t="s">
        <v>13</v>
      </c>
      <c r="E1425">
        <v>500</v>
      </c>
      <c r="F1425" t="s">
        <v>49</v>
      </c>
      <c r="G1425" t="s">
        <v>15</v>
      </c>
      <c r="H1425" t="s">
        <v>33</v>
      </c>
      <c r="I1425" t="s">
        <v>34</v>
      </c>
      <c r="J1425" t="s">
        <v>22</v>
      </c>
      <c r="K1425">
        <v>0</v>
      </c>
      <c r="L142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425">
        <f>GhanaStream[[#This Row],[Subscription Fee]]-(GhanaStream[[#This Row],[Discount]]*GhanaStream[[#This Row],[Subscription Fee]])</f>
        <v>500</v>
      </c>
      <c r="N1425" t="str">
        <f>IF(GhanaStream[[#This Row],[Churn Flag]]="Yes","Churned","Retained")</f>
        <v>Retained</v>
      </c>
    </row>
    <row r="1426" spans="1:14" x14ac:dyDescent="0.25">
      <c r="A1426" t="s">
        <v>1464</v>
      </c>
      <c r="B1426" s="1">
        <v>45262</v>
      </c>
      <c r="C1426" t="s">
        <v>31</v>
      </c>
      <c r="D1426" t="s">
        <v>27</v>
      </c>
      <c r="E1426">
        <v>10800</v>
      </c>
      <c r="F1426" t="s">
        <v>49</v>
      </c>
      <c r="G1426" t="s">
        <v>24</v>
      </c>
      <c r="H1426" t="s">
        <v>33</v>
      </c>
      <c r="I1426" t="s">
        <v>34</v>
      </c>
      <c r="J1426" t="s">
        <v>58</v>
      </c>
      <c r="K1426">
        <v>0.1</v>
      </c>
      <c r="L142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426">
        <f>GhanaStream[[#This Row],[Subscription Fee]]-(GhanaStream[[#This Row],[Discount]]*GhanaStream[[#This Row],[Subscription Fee]])</f>
        <v>9720</v>
      </c>
      <c r="N1426" t="str">
        <f>IF(GhanaStream[[#This Row],[Churn Flag]]="Yes","Churned","Retained")</f>
        <v>Retained</v>
      </c>
    </row>
    <row r="1427" spans="1:14" x14ac:dyDescent="0.25">
      <c r="A1427" t="s">
        <v>1465</v>
      </c>
      <c r="B1427" s="1">
        <v>45531</v>
      </c>
      <c r="C1427" t="s">
        <v>31</v>
      </c>
      <c r="D1427" t="s">
        <v>27</v>
      </c>
      <c r="E1427">
        <v>10800</v>
      </c>
      <c r="F1427" t="s">
        <v>14</v>
      </c>
      <c r="G1427" t="s">
        <v>15</v>
      </c>
      <c r="H1427" t="s">
        <v>33</v>
      </c>
      <c r="I1427" t="s">
        <v>34</v>
      </c>
      <c r="J1427" t="s">
        <v>37</v>
      </c>
      <c r="K1427">
        <v>0.1</v>
      </c>
      <c r="L142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427">
        <f>GhanaStream[[#This Row],[Subscription Fee]]-(GhanaStream[[#This Row],[Discount]]*GhanaStream[[#This Row],[Subscription Fee]])</f>
        <v>9720</v>
      </c>
      <c r="N1427" t="str">
        <f>IF(GhanaStream[[#This Row],[Churn Flag]]="Yes","Churned","Retained")</f>
        <v>Retained</v>
      </c>
    </row>
    <row r="1428" spans="1:14" x14ac:dyDescent="0.25">
      <c r="A1428" t="s">
        <v>1466</v>
      </c>
      <c r="B1428" s="1">
        <v>45536</v>
      </c>
      <c r="C1428" t="s">
        <v>20</v>
      </c>
      <c r="D1428" t="s">
        <v>13</v>
      </c>
      <c r="E1428">
        <v>500</v>
      </c>
      <c r="F1428" t="s">
        <v>32</v>
      </c>
      <c r="G1428" t="s">
        <v>15</v>
      </c>
      <c r="H1428" t="s">
        <v>33</v>
      </c>
      <c r="I1428" t="s">
        <v>34</v>
      </c>
      <c r="J1428" t="s">
        <v>44</v>
      </c>
      <c r="K1428">
        <v>0</v>
      </c>
      <c r="L142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428">
        <f>GhanaStream[[#This Row],[Subscription Fee]]-(GhanaStream[[#This Row],[Discount]]*GhanaStream[[#This Row],[Subscription Fee]])</f>
        <v>500</v>
      </c>
      <c r="N1428" t="str">
        <f>IF(GhanaStream[[#This Row],[Churn Flag]]="Yes","Churned","Retained")</f>
        <v>Retained</v>
      </c>
    </row>
    <row r="1429" spans="1:14" x14ac:dyDescent="0.25">
      <c r="A1429" t="s">
        <v>1467</v>
      </c>
      <c r="B1429" s="1">
        <v>45465</v>
      </c>
      <c r="C1429" t="s">
        <v>12</v>
      </c>
      <c r="D1429" t="s">
        <v>27</v>
      </c>
      <c r="E1429">
        <v>16200</v>
      </c>
      <c r="F1429" t="s">
        <v>21</v>
      </c>
      <c r="G1429" t="s">
        <v>24</v>
      </c>
      <c r="H1429" t="s">
        <v>16</v>
      </c>
      <c r="I1429" t="s">
        <v>17</v>
      </c>
      <c r="J1429" t="s">
        <v>22</v>
      </c>
      <c r="K1429">
        <v>0.1</v>
      </c>
      <c r="L142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429">
        <f>GhanaStream[[#This Row],[Subscription Fee]]-(GhanaStream[[#This Row],[Discount]]*GhanaStream[[#This Row],[Subscription Fee]])</f>
        <v>14580</v>
      </c>
      <c r="N1429" t="str">
        <f>IF(GhanaStream[[#This Row],[Churn Flag]]="Yes","Churned","Retained")</f>
        <v>Churned</v>
      </c>
    </row>
    <row r="1430" spans="1:14" x14ac:dyDescent="0.25">
      <c r="A1430" t="s">
        <v>1468</v>
      </c>
      <c r="B1430" s="1">
        <v>45135</v>
      </c>
      <c r="C1430" t="s">
        <v>20</v>
      </c>
      <c r="D1430" t="s">
        <v>27</v>
      </c>
      <c r="E1430">
        <v>5400</v>
      </c>
      <c r="F1430" t="s">
        <v>14</v>
      </c>
      <c r="G1430" t="s">
        <v>15</v>
      </c>
      <c r="H1430" t="s">
        <v>33</v>
      </c>
      <c r="I1430" t="s">
        <v>34</v>
      </c>
      <c r="J1430" t="s">
        <v>41</v>
      </c>
      <c r="K1430">
        <v>0.1</v>
      </c>
      <c r="L143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430">
        <f>GhanaStream[[#This Row],[Subscription Fee]]-(GhanaStream[[#This Row],[Discount]]*GhanaStream[[#This Row],[Subscription Fee]])</f>
        <v>4860</v>
      </c>
      <c r="N1430" t="str">
        <f>IF(GhanaStream[[#This Row],[Churn Flag]]="Yes","Churned","Retained")</f>
        <v>Retained</v>
      </c>
    </row>
    <row r="1431" spans="1:14" x14ac:dyDescent="0.25">
      <c r="A1431" t="s">
        <v>1469</v>
      </c>
      <c r="B1431" s="1">
        <v>45496</v>
      </c>
      <c r="C1431" t="s">
        <v>20</v>
      </c>
      <c r="D1431" t="s">
        <v>13</v>
      </c>
      <c r="E1431">
        <v>500</v>
      </c>
      <c r="F1431" t="s">
        <v>32</v>
      </c>
      <c r="G1431" t="s">
        <v>15</v>
      </c>
      <c r="H1431" t="s">
        <v>16</v>
      </c>
      <c r="I1431" t="s">
        <v>17</v>
      </c>
      <c r="J1431" t="s">
        <v>66</v>
      </c>
      <c r="K1431">
        <v>0</v>
      </c>
      <c r="L143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431">
        <f>GhanaStream[[#This Row],[Subscription Fee]]-(GhanaStream[[#This Row],[Discount]]*GhanaStream[[#This Row],[Subscription Fee]])</f>
        <v>500</v>
      </c>
      <c r="N1431" t="str">
        <f>IF(GhanaStream[[#This Row],[Churn Flag]]="Yes","Churned","Retained")</f>
        <v>Churned</v>
      </c>
    </row>
    <row r="1432" spans="1:14" x14ac:dyDescent="0.25">
      <c r="A1432" t="s">
        <v>1470</v>
      </c>
      <c r="B1432" s="1">
        <v>45318</v>
      </c>
      <c r="C1432" t="s">
        <v>20</v>
      </c>
      <c r="D1432" t="s">
        <v>13</v>
      </c>
      <c r="E1432">
        <v>500</v>
      </c>
      <c r="F1432" t="s">
        <v>14</v>
      </c>
      <c r="G1432" t="s">
        <v>15</v>
      </c>
      <c r="H1432" t="s">
        <v>16</v>
      </c>
      <c r="I1432" t="s">
        <v>17</v>
      </c>
      <c r="J1432" t="s">
        <v>18</v>
      </c>
      <c r="K1432">
        <v>0</v>
      </c>
      <c r="L143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432">
        <f>GhanaStream[[#This Row],[Subscription Fee]]-(GhanaStream[[#This Row],[Discount]]*GhanaStream[[#This Row],[Subscription Fee]])</f>
        <v>500</v>
      </c>
      <c r="N1432" t="str">
        <f>IF(GhanaStream[[#This Row],[Churn Flag]]="Yes","Churned","Retained")</f>
        <v>Churned</v>
      </c>
    </row>
    <row r="1433" spans="1:14" x14ac:dyDescent="0.25">
      <c r="A1433" t="s">
        <v>1471</v>
      </c>
      <c r="B1433" s="1">
        <v>44988</v>
      </c>
      <c r="C1433" t="s">
        <v>12</v>
      </c>
      <c r="D1433" t="s">
        <v>13</v>
      </c>
      <c r="E1433">
        <v>1500</v>
      </c>
      <c r="F1433" t="s">
        <v>14</v>
      </c>
      <c r="G1433" t="s">
        <v>28</v>
      </c>
      <c r="H1433" t="s">
        <v>33</v>
      </c>
      <c r="I1433" t="s">
        <v>34</v>
      </c>
      <c r="J1433" t="s">
        <v>55</v>
      </c>
      <c r="K1433">
        <v>0</v>
      </c>
      <c r="L143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433">
        <f>GhanaStream[[#This Row],[Subscription Fee]]-(GhanaStream[[#This Row],[Discount]]*GhanaStream[[#This Row],[Subscription Fee]])</f>
        <v>1500</v>
      </c>
      <c r="N1433" t="str">
        <f>IF(GhanaStream[[#This Row],[Churn Flag]]="Yes","Churned","Retained")</f>
        <v>Retained</v>
      </c>
    </row>
    <row r="1434" spans="1:14" x14ac:dyDescent="0.25">
      <c r="A1434" t="s">
        <v>1472</v>
      </c>
      <c r="B1434" s="1">
        <v>45119</v>
      </c>
      <c r="C1434" t="s">
        <v>12</v>
      </c>
      <c r="D1434" t="s">
        <v>13</v>
      </c>
      <c r="E1434">
        <v>1500</v>
      </c>
      <c r="F1434" t="s">
        <v>14</v>
      </c>
      <c r="G1434" t="s">
        <v>28</v>
      </c>
      <c r="H1434" t="s">
        <v>33</v>
      </c>
      <c r="I1434" t="s">
        <v>34</v>
      </c>
      <c r="J1434" t="s">
        <v>37</v>
      </c>
      <c r="K1434">
        <v>0</v>
      </c>
      <c r="L143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434">
        <f>GhanaStream[[#This Row],[Subscription Fee]]-(GhanaStream[[#This Row],[Discount]]*GhanaStream[[#This Row],[Subscription Fee]])</f>
        <v>1500</v>
      </c>
      <c r="N1434" t="str">
        <f>IF(GhanaStream[[#This Row],[Churn Flag]]="Yes","Churned","Retained")</f>
        <v>Retained</v>
      </c>
    </row>
    <row r="1435" spans="1:14" x14ac:dyDescent="0.25">
      <c r="A1435" t="s">
        <v>1473</v>
      </c>
      <c r="B1435" s="1">
        <v>45509</v>
      </c>
      <c r="C1435" t="s">
        <v>31</v>
      </c>
      <c r="D1435" t="s">
        <v>27</v>
      </c>
      <c r="E1435">
        <v>10800</v>
      </c>
      <c r="F1435" t="s">
        <v>32</v>
      </c>
      <c r="G1435" t="s">
        <v>28</v>
      </c>
      <c r="H1435" t="s">
        <v>16</v>
      </c>
      <c r="I1435" t="s">
        <v>17</v>
      </c>
      <c r="J1435" t="s">
        <v>66</v>
      </c>
      <c r="K1435">
        <v>0.1</v>
      </c>
      <c r="L143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435">
        <f>GhanaStream[[#This Row],[Subscription Fee]]-(GhanaStream[[#This Row],[Discount]]*GhanaStream[[#This Row],[Subscription Fee]])</f>
        <v>9720</v>
      </c>
      <c r="N1435" t="str">
        <f>IF(GhanaStream[[#This Row],[Churn Flag]]="Yes","Churned","Retained")</f>
        <v>Churned</v>
      </c>
    </row>
    <row r="1436" spans="1:14" x14ac:dyDescent="0.25">
      <c r="A1436" t="s">
        <v>1474</v>
      </c>
      <c r="B1436" s="1">
        <v>45640</v>
      </c>
      <c r="C1436" t="s">
        <v>20</v>
      </c>
      <c r="D1436" t="s">
        <v>13</v>
      </c>
      <c r="E1436">
        <v>500</v>
      </c>
      <c r="F1436" t="s">
        <v>14</v>
      </c>
      <c r="G1436" t="s">
        <v>15</v>
      </c>
      <c r="H1436" t="s">
        <v>16</v>
      </c>
      <c r="I1436" t="s">
        <v>17</v>
      </c>
      <c r="J1436" t="s">
        <v>37</v>
      </c>
      <c r="K1436">
        <v>0</v>
      </c>
      <c r="L143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436">
        <f>GhanaStream[[#This Row],[Subscription Fee]]-(GhanaStream[[#This Row],[Discount]]*GhanaStream[[#This Row],[Subscription Fee]])</f>
        <v>500</v>
      </c>
      <c r="N1436" t="str">
        <f>IF(GhanaStream[[#This Row],[Churn Flag]]="Yes","Churned","Retained")</f>
        <v>Churned</v>
      </c>
    </row>
    <row r="1437" spans="1:14" x14ac:dyDescent="0.25">
      <c r="A1437" t="s">
        <v>1475</v>
      </c>
      <c r="B1437" s="1">
        <v>45027</v>
      </c>
      <c r="C1437" t="s">
        <v>20</v>
      </c>
      <c r="D1437" t="s">
        <v>27</v>
      </c>
      <c r="E1437">
        <v>5400</v>
      </c>
      <c r="F1437" t="s">
        <v>32</v>
      </c>
      <c r="G1437" t="s">
        <v>28</v>
      </c>
      <c r="H1437" t="s">
        <v>33</v>
      </c>
      <c r="I1437" t="s">
        <v>34</v>
      </c>
      <c r="J1437" t="s">
        <v>35</v>
      </c>
      <c r="K1437">
        <v>0.1</v>
      </c>
      <c r="L143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437">
        <f>GhanaStream[[#This Row],[Subscription Fee]]-(GhanaStream[[#This Row],[Discount]]*GhanaStream[[#This Row],[Subscription Fee]])</f>
        <v>4860</v>
      </c>
      <c r="N1437" t="str">
        <f>IF(GhanaStream[[#This Row],[Churn Flag]]="Yes","Churned","Retained")</f>
        <v>Retained</v>
      </c>
    </row>
    <row r="1438" spans="1:14" x14ac:dyDescent="0.25">
      <c r="A1438" t="s">
        <v>1476</v>
      </c>
      <c r="B1438" s="1">
        <v>45538</v>
      </c>
      <c r="C1438" t="s">
        <v>31</v>
      </c>
      <c r="D1438" t="s">
        <v>27</v>
      </c>
      <c r="E1438">
        <v>10800</v>
      </c>
      <c r="F1438" t="s">
        <v>14</v>
      </c>
      <c r="G1438" t="s">
        <v>15</v>
      </c>
      <c r="H1438" t="s">
        <v>16</v>
      </c>
      <c r="I1438" t="s">
        <v>17</v>
      </c>
      <c r="J1438" t="s">
        <v>22</v>
      </c>
      <c r="K1438">
        <v>0.1</v>
      </c>
      <c r="L143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438">
        <f>GhanaStream[[#This Row],[Subscription Fee]]-(GhanaStream[[#This Row],[Discount]]*GhanaStream[[#This Row],[Subscription Fee]])</f>
        <v>9720</v>
      </c>
      <c r="N1438" t="str">
        <f>IF(GhanaStream[[#This Row],[Churn Flag]]="Yes","Churned","Retained")</f>
        <v>Churned</v>
      </c>
    </row>
    <row r="1439" spans="1:14" x14ac:dyDescent="0.25">
      <c r="A1439" t="s">
        <v>1477</v>
      </c>
      <c r="B1439" s="1">
        <v>45054</v>
      </c>
      <c r="C1439" t="s">
        <v>31</v>
      </c>
      <c r="D1439" t="s">
        <v>27</v>
      </c>
      <c r="E1439">
        <v>10800</v>
      </c>
      <c r="F1439" t="s">
        <v>32</v>
      </c>
      <c r="G1439" t="s">
        <v>28</v>
      </c>
      <c r="H1439" t="s">
        <v>16</v>
      </c>
      <c r="I1439" t="s">
        <v>17</v>
      </c>
      <c r="J1439" t="s">
        <v>35</v>
      </c>
      <c r="K1439">
        <v>0.1</v>
      </c>
      <c r="L143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439">
        <f>GhanaStream[[#This Row],[Subscription Fee]]-(GhanaStream[[#This Row],[Discount]]*GhanaStream[[#This Row],[Subscription Fee]])</f>
        <v>9720</v>
      </c>
      <c r="N1439" t="str">
        <f>IF(GhanaStream[[#This Row],[Churn Flag]]="Yes","Churned","Retained")</f>
        <v>Churned</v>
      </c>
    </row>
    <row r="1440" spans="1:14" x14ac:dyDescent="0.25">
      <c r="A1440" t="s">
        <v>1478</v>
      </c>
      <c r="B1440" s="1">
        <v>45219</v>
      </c>
      <c r="C1440" t="s">
        <v>12</v>
      </c>
      <c r="D1440" t="s">
        <v>27</v>
      </c>
      <c r="E1440">
        <v>16200</v>
      </c>
      <c r="F1440" t="s">
        <v>49</v>
      </c>
      <c r="G1440" t="s">
        <v>24</v>
      </c>
      <c r="H1440" t="s">
        <v>33</v>
      </c>
      <c r="I1440" t="s">
        <v>34</v>
      </c>
      <c r="J1440" t="s">
        <v>22</v>
      </c>
      <c r="K1440">
        <v>0.1</v>
      </c>
      <c r="L144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440">
        <f>GhanaStream[[#This Row],[Subscription Fee]]-(GhanaStream[[#This Row],[Discount]]*GhanaStream[[#This Row],[Subscription Fee]])</f>
        <v>14580</v>
      </c>
      <c r="N1440" t="str">
        <f>IF(GhanaStream[[#This Row],[Churn Flag]]="Yes","Churned","Retained")</f>
        <v>Retained</v>
      </c>
    </row>
    <row r="1441" spans="1:14" x14ac:dyDescent="0.25">
      <c r="A1441" t="s">
        <v>1479</v>
      </c>
      <c r="B1441" s="1">
        <v>45126</v>
      </c>
      <c r="C1441" t="s">
        <v>20</v>
      </c>
      <c r="D1441" t="s">
        <v>13</v>
      </c>
      <c r="E1441">
        <v>500</v>
      </c>
      <c r="F1441" t="s">
        <v>21</v>
      </c>
      <c r="G1441" t="s">
        <v>15</v>
      </c>
      <c r="H1441" t="s">
        <v>33</v>
      </c>
      <c r="I1441" t="s">
        <v>34</v>
      </c>
      <c r="J1441" t="s">
        <v>18</v>
      </c>
      <c r="K1441">
        <v>0</v>
      </c>
      <c r="L144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441">
        <f>GhanaStream[[#This Row],[Subscription Fee]]-(GhanaStream[[#This Row],[Discount]]*GhanaStream[[#This Row],[Subscription Fee]])</f>
        <v>500</v>
      </c>
      <c r="N1441" t="str">
        <f>IF(GhanaStream[[#This Row],[Churn Flag]]="Yes","Churned","Retained")</f>
        <v>Retained</v>
      </c>
    </row>
    <row r="1442" spans="1:14" x14ac:dyDescent="0.25">
      <c r="A1442" t="s">
        <v>1480</v>
      </c>
      <c r="B1442" s="1">
        <v>45383</v>
      </c>
      <c r="C1442" t="s">
        <v>31</v>
      </c>
      <c r="D1442" t="s">
        <v>27</v>
      </c>
      <c r="E1442">
        <v>10800</v>
      </c>
      <c r="F1442" t="s">
        <v>14</v>
      </c>
      <c r="G1442" t="s">
        <v>24</v>
      </c>
      <c r="H1442" t="s">
        <v>16</v>
      </c>
      <c r="I1442" t="s">
        <v>17</v>
      </c>
      <c r="J1442" t="s">
        <v>37</v>
      </c>
      <c r="K1442">
        <v>0.1</v>
      </c>
      <c r="L144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442">
        <f>GhanaStream[[#This Row],[Subscription Fee]]-(GhanaStream[[#This Row],[Discount]]*GhanaStream[[#This Row],[Subscription Fee]])</f>
        <v>9720</v>
      </c>
      <c r="N1442" t="str">
        <f>IF(GhanaStream[[#This Row],[Churn Flag]]="Yes","Churned","Retained")</f>
        <v>Churned</v>
      </c>
    </row>
    <row r="1443" spans="1:14" x14ac:dyDescent="0.25">
      <c r="A1443" t="s">
        <v>1481</v>
      </c>
      <c r="B1443" s="1">
        <v>45232</v>
      </c>
      <c r="C1443" t="s">
        <v>31</v>
      </c>
      <c r="D1443" t="s">
        <v>27</v>
      </c>
      <c r="E1443">
        <v>10800</v>
      </c>
      <c r="F1443" t="s">
        <v>49</v>
      </c>
      <c r="G1443" t="s">
        <v>28</v>
      </c>
      <c r="H1443" t="s">
        <v>33</v>
      </c>
      <c r="I1443" t="s">
        <v>34</v>
      </c>
      <c r="J1443" t="s">
        <v>22</v>
      </c>
      <c r="K1443">
        <v>0.1</v>
      </c>
      <c r="L144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443">
        <f>GhanaStream[[#This Row],[Subscription Fee]]-(GhanaStream[[#This Row],[Discount]]*GhanaStream[[#This Row],[Subscription Fee]])</f>
        <v>9720</v>
      </c>
      <c r="N1443" t="str">
        <f>IF(GhanaStream[[#This Row],[Churn Flag]]="Yes","Churned","Retained")</f>
        <v>Retained</v>
      </c>
    </row>
    <row r="1444" spans="1:14" x14ac:dyDescent="0.25">
      <c r="A1444" t="s">
        <v>1482</v>
      </c>
      <c r="B1444" s="1">
        <v>45019</v>
      </c>
      <c r="C1444" t="s">
        <v>20</v>
      </c>
      <c r="D1444" t="s">
        <v>13</v>
      </c>
      <c r="E1444">
        <v>500</v>
      </c>
      <c r="F1444" t="s">
        <v>32</v>
      </c>
      <c r="G1444" t="s">
        <v>28</v>
      </c>
      <c r="H1444" t="s">
        <v>16</v>
      </c>
      <c r="I1444" t="s">
        <v>17</v>
      </c>
      <c r="J1444" t="s">
        <v>25</v>
      </c>
      <c r="K1444">
        <v>0</v>
      </c>
      <c r="L144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444">
        <f>GhanaStream[[#This Row],[Subscription Fee]]-(GhanaStream[[#This Row],[Discount]]*GhanaStream[[#This Row],[Subscription Fee]])</f>
        <v>500</v>
      </c>
      <c r="N1444" t="str">
        <f>IF(GhanaStream[[#This Row],[Churn Flag]]="Yes","Churned","Retained")</f>
        <v>Churned</v>
      </c>
    </row>
    <row r="1445" spans="1:14" x14ac:dyDescent="0.25">
      <c r="A1445" t="s">
        <v>1483</v>
      </c>
      <c r="B1445" s="1">
        <v>45535</v>
      </c>
      <c r="C1445" t="s">
        <v>20</v>
      </c>
      <c r="D1445" t="s">
        <v>27</v>
      </c>
      <c r="E1445">
        <v>5400</v>
      </c>
      <c r="F1445" t="s">
        <v>32</v>
      </c>
      <c r="G1445" t="s">
        <v>24</v>
      </c>
      <c r="H1445" t="s">
        <v>16</v>
      </c>
      <c r="I1445" t="s">
        <v>17</v>
      </c>
      <c r="J1445" t="s">
        <v>35</v>
      </c>
      <c r="K1445">
        <v>0.1</v>
      </c>
      <c r="L144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445">
        <f>GhanaStream[[#This Row],[Subscription Fee]]-(GhanaStream[[#This Row],[Discount]]*GhanaStream[[#This Row],[Subscription Fee]])</f>
        <v>4860</v>
      </c>
      <c r="N1445" t="str">
        <f>IF(GhanaStream[[#This Row],[Churn Flag]]="Yes","Churned","Retained")</f>
        <v>Churned</v>
      </c>
    </row>
    <row r="1446" spans="1:14" x14ac:dyDescent="0.25">
      <c r="A1446" t="s">
        <v>1484</v>
      </c>
      <c r="B1446" s="1">
        <v>45148</v>
      </c>
      <c r="C1446" t="s">
        <v>31</v>
      </c>
      <c r="D1446" t="s">
        <v>27</v>
      </c>
      <c r="E1446">
        <v>10800</v>
      </c>
      <c r="F1446" t="s">
        <v>21</v>
      </c>
      <c r="G1446" t="s">
        <v>28</v>
      </c>
      <c r="H1446" t="s">
        <v>16</v>
      </c>
      <c r="I1446" t="s">
        <v>17</v>
      </c>
      <c r="J1446" t="s">
        <v>18</v>
      </c>
      <c r="K1446">
        <v>0.1</v>
      </c>
      <c r="L144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446">
        <f>GhanaStream[[#This Row],[Subscription Fee]]-(GhanaStream[[#This Row],[Discount]]*GhanaStream[[#This Row],[Subscription Fee]])</f>
        <v>9720</v>
      </c>
      <c r="N1446" t="str">
        <f>IF(GhanaStream[[#This Row],[Churn Flag]]="Yes","Churned","Retained")</f>
        <v>Churned</v>
      </c>
    </row>
    <row r="1447" spans="1:14" x14ac:dyDescent="0.25">
      <c r="A1447" t="s">
        <v>1485</v>
      </c>
      <c r="B1447" s="1">
        <v>45047</v>
      </c>
      <c r="C1447" t="s">
        <v>31</v>
      </c>
      <c r="D1447" t="s">
        <v>27</v>
      </c>
      <c r="E1447">
        <v>10800</v>
      </c>
      <c r="F1447" t="s">
        <v>49</v>
      </c>
      <c r="G1447" t="s">
        <v>15</v>
      </c>
      <c r="H1447" t="s">
        <v>33</v>
      </c>
      <c r="I1447" t="s">
        <v>34</v>
      </c>
      <c r="J1447" t="s">
        <v>22</v>
      </c>
      <c r="K1447">
        <v>0.1</v>
      </c>
      <c r="L144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447">
        <f>GhanaStream[[#This Row],[Subscription Fee]]-(GhanaStream[[#This Row],[Discount]]*GhanaStream[[#This Row],[Subscription Fee]])</f>
        <v>9720</v>
      </c>
      <c r="N1447" t="str">
        <f>IF(GhanaStream[[#This Row],[Churn Flag]]="Yes","Churned","Retained")</f>
        <v>Retained</v>
      </c>
    </row>
    <row r="1448" spans="1:14" x14ac:dyDescent="0.25">
      <c r="A1448" t="s">
        <v>1486</v>
      </c>
      <c r="B1448" s="1">
        <v>45189</v>
      </c>
      <c r="C1448" t="s">
        <v>20</v>
      </c>
      <c r="D1448" t="s">
        <v>27</v>
      </c>
      <c r="E1448">
        <v>5400</v>
      </c>
      <c r="F1448" t="s">
        <v>21</v>
      </c>
      <c r="G1448" t="s">
        <v>24</v>
      </c>
      <c r="H1448" t="s">
        <v>16</v>
      </c>
      <c r="I1448" t="s">
        <v>17</v>
      </c>
      <c r="J1448" t="s">
        <v>29</v>
      </c>
      <c r="K1448">
        <v>0.1</v>
      </c>
      <c r="L144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448">
        <f>GhanaStream[[#This Row],[Subscription Fee]]-(GhanaStream[[#This Row],[Discount]]*GhanaStream[[#This Row],[Subscription Fee]])</f>
        <v>4860</v>
      </c>
      <c r="N1448" t="str">
        <f>IF(GhanaStream[[#This Row],[Churn Flag]]="Yes","Churned","Retained")</f>
        <v>Churned</v>
      </c>
    </row>
    <row r="1449" spans="1:14" x14ac:dyDescent="0.25">
      <c r="A1449" t="s">
        <v>1487</v>
      </c>
      <c r="B1449" s="1">
        <v>45061</v>
      </c>
      <c r="C1449" t="s">
        <v>20</v>
      </c>
      <c r="D1449" t="s">
        <v>27</v>
      </c>
      <c r="E1449">
        <v>5400</v>
      </c>
      <c r="F1449" t="s">
        <v>21</v>
      </c>
      <c r="G1449" t="s">
        <v>15</v>
      </c>
      <c r="H1449" t="s">
        <v>16</v>
      </c>
      <c r="I1449" t="s">
        <v>17</v>
      </c>
      <c r="J1449" t="s">
        <v>25</v>
      </c>
      <c r="K1449">
        <v>0.1</v>
      </c>
      <c r="L144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449">
        <f>GhanaStream[[#This Row],[Subscription Fee]]-(GhanaStream[[#This Row],[Discount]]*GhanaStream[[#This Row],[Subscription Fee]])</f>
        <v>4860</v>
      </c>
      <c r="N1449" t="str">
        <f>IF(GhanaStream[[#This Row],[Churn Flag]]="Yes","Churned","Retained")</f>
        <v>Churned</v>
      </c>
    </row>
    <row r="1450" spans="1:14" x14ac:dyDescent="0.25">
      <c r="A1450" t="s">
        <v>1488</v>
      </c>
      <c r="B1450" s="1">
        <v>45554</v>
      </c>
      <c r="C1450" t="s">
        <v>20</v>
      </c>
      <c r="D1450" t="s">
        <v>27</v>
      </c>
      <c r="E1450">
        <v>5400</v>
      </c>
      <c r="F1450" t="s">
        <v>14</v>
      </c>
      <c r="G1450" t="s">
        <v>15</v>
      </c>
      <c r="H1450" t="s">
        <v>33</v>
      </c>
      <c r="I1450" t="s">
        <v>34</v>
      </c>
      <c r="J1450" t="s">
        <v>37</v>
      </c>
      <c r="K1450">
        <v>0.1</v>
      </c>
      <c r="L145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450">
        <f>GhanaStream[[#This Row],[Subscription Fee]]-(GhanaStream[[#This Row],[Discount]]*GhanaStream[[#This Row],[Subscription Fee]])</f>
        <v>4860</v>
      </c>
      <c r="N1450" t="str">
        <f>IF(GhanaStream[[#This Row],[Churn Flag]]="Yes","Churned","Retained")</f>
        <v>Retained</v>
      </c>
    </row>
    <row r="1451" spans="1:14" x14ac:dyDescent="0.25">
      <c r="A1451" t="s">
        <v>1489</v>
      </c>
      <c r="B1451" s="1">
        <v>45536</v>
      </c>
      <c r="C1451" t="s">
        <v>31</v>
      </c>
      <c r="D1451" t="s">
        <v>13</v>
      </c>
      <c r="E1451">
        <v>1000</v>
      </c>
      <c r="F1451" t="s">
        <v>32</v>
      </c>
      <c r="G1451" t="s">
        <v>24</v>
      </c>
      <c r="H1451" t="s">
        <v>16</v>
      </c>
      <c r="I1451" t="s">
        <v>17</v>
      </c>
      <c r="J1451" t="s">
        <v>25</v>
      </c>
      <c r="K1451">
        <v>0</v>
      </c>
      <c r="L145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451">
        <f>GhanaStream[[#This Row],[Subscription Fee]]-(GhanaStream[[#This Row],[Discount]]*GhanaStream[[#This Row],[Subscription Fee]])</f>
        <v>1000</v>
      </c>
      <c r="N1451" t="str">
        <f>IF(GhanaStream[[#This Row],[Churn Flag]]="Yes","Churned","Retained")</f>
        <v>Churned</v>
      </c>
    </row>
    <row r="1452" spans="1:14" x14ac:dyDescent="0.25">
      <c r="A1452" t="s">
        <v>1490</v>
      </c>
      <c r="B1452" s="1">
        <v>45060</v>
      </c>
      <c r="C1452" t="s">
        <v>31</v>
      </c>
      <c r="D1452" t="s">
        <v>27</v>
      </c>
      <c r="E1452">
        <v>10800</v>
      </c>
      <c r="F1452" t="s">
        <v>49</v>
      </c>
      <c r="G1452" t="s">
        <v>15</v>
      </c>
      <c r="H1452" t="s">
        <v>16</v>
      </c>
      <c r="I1452" t="s">
        <v>17</v>
      </c>
      <c r="J1452" t="s">
        <v>25</v>
      </c>
      <c r="K1452">
        <v>0.1</v>
      </c>
      <c r="L145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452">
        <f>GhanaStream[[#This Row],[Subscription Fee]]-(GhanaStream[[#This Row],[Discount]]*GhanaStream[[#This Row],[Subscription Fee]])</f>
        <v>9720</v>
      </c>
      <c r="N1452" t="str">
        <f>IF(GhanaStream[[#This Row],[Churn Flag]]="Yes","Churned","Retained")</f>
        <v>Churned</v>
      </c>
    </row>
    <row r="1453" spans="1:14" x14ac:dyDescent="0.25">
      <c r="A1453" t="s">
        <v>1491</v>
      </c>
      <c r="B1453" s="1">
        <v>45151</v>
      </c>
      <c r="C1453" t="s">
        <v>31</v>
      </c>
      <c r="D1453" t="s">
        <v>27</v>
      </c>
      <c r="E1453">
        <v>10800</v>
      </c>
      <c r="F1453" t="s">
        <v>49</v>
      </c>
      <c r="G1453" t="s">
        <v>28</v>
      </c>
      <c r="H1453" t="s">
        <v>33</v>
      </c>
      <c r="I1453" t="s">
        <v>34</v>
      </c>
      <c r="J1453" t="s">
        <v>35</v>
      </c>
      <c r="K1453">
        <v>0.1</v>
      </c>
      <c r="L145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453">
        <f>GhanaStream[[#This Row],[Subscription Fee]]-(GhanaStream[[#This Row],[Discount]]*GhanaStream[[#This Row],[Subscription Fee]])</f>
        <v>9720</v>
      </c>
      <c r="N1453" t="str">
        <f>IF(GhanaStream[[#This Row],[Churn Flag]]="Yes","Churned","Retained")</f>
        <v>Retained</v>
      </c>
    </row>
    <row r="1454" spans="1:14" x14ac:dyDescent="0.25">
      <c r="A1454" t="s">
        <v>1492</v>
      </c>
      <c r="B1454" s="1">
        <v>44961</v>
      </c>
      <c r="C1454" t="s">
        <v>20</v>
      </c>
      <c r="D1454" t="s">
        <v>13</v>
      </c>
      <c r="E1454">
        <v>500</v>
      </c>
      <c r="F1454" t="s">
        <v>14</v>
      </c>
      <c r="G1454" t="s">
        <v>24</v>
      </c>
      <c r="H1454" t="s">
        <v>16</v>
      </c>
      <c r="I1454" t="s">
        <v>17</v>
      </c>
      <c r="J1454" t="s">
        <v>37</v>
      </c>
      <c r="K1454">
        <v>0</v>
      </c>
      <c r="L145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454">
        <f>GhanaStream[[#This Row],[Subscription Fee]]-(GhanaStream[[#This Row],[Discount]]*GhanaStream[[#This Row],[Subscription Fee]])</f>
        <v>500</v>
      </c>
      <c r="N1454" t="str">
        <f>IF(GhanaStream[[#This Row],[Churn Flag]]="Yes","Churned","Retained")</f>
        <v>Churned</v>
      </c>
    </row>
    <row r="1455" spans="1:14" x14ac:dyDescent="0.25">
      <c r="A1455" t="s">
        <v>1493</v>
      </c>
      <c r="B1455" s="1">
        <v>45368</v>
      </c>
      <c r="C1455" t="s">
        <v>12</v>
      </c>
      <c r="D1455" t="s">
        <v>27</v>
      </c>
      <c r="E1455">
        <v>16200</v>
      </c>
      <c r="F1455" t="s">
        <v>49</v>
      </c>
      <c r="G1455" t="s">
        <v>28</v>
      </c>
      <c r="H1455" t="s">
        <v>33</v>
      </c>
      <c r="I1455" t="s">
        <v>34</v>
      </c>
      <c r="J1455" t="s">
        <v>50</v>
      </c>
      <c r="K1455">
        <v>0.1</v>
      </c>
      <c r="L145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455">
        <f>GhanaStream[[#This Row],[Subscription Fee]]-(GhanaStream[[#This Row],[Discount]]*GhanaStream[[#This Row],[Subscription Fee]])</f>
        <v>14580</v>
      </c>
      <c r="N1455" t="str">
        <f>IF(GhanaStream[[#This Row],[Churn Flag]]="Yes","Churned","Retained")</f>
        <v>Retained</v>
      </c>
    </row>
    <row r="1456" spans="1:14" x14ac:dyDescent="0.25">
      <c r="A1456" t="s">
        <v>1494</v>
      </c>
      <c r="B1456" s="1">
        <v>45254</v>
      </c>
      <c r="C1456" t="s">
        <v>31</v>
      </c>
      <c r="D1456" t="s">
        <v>27</v>
      </c>
      <c r="E1456">
        <v>10800</v>
      </c>
      <c r="F1456" t="s">
        <v>14</v>
      </c>
      <c r="G1456" t="s">
        <v>28</v>
      </c>
      <c r="H1456" t="s">
        <v>33</v>
      </c>
      <c r="I1456" t="s">
        <v>34</v>
      </c>
      <c r="J1456" t="s">
        <v>37</v>
      </c>
      <c r="K1456">
        <v>0.1</v>
      </c>
      <c r="L145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456">
        <f>GhanaStream[[#This Row],[Subscription Fee]]-(GhanaStream[[#This Row],[Discount]]*GhanaStream[[#This Row],[Subscription Fee]])</f>
        <v>9720</v>
      </c>
      <c r="N1456" t="str">
        <f>IF(GhanaStream[[#This Row],[Churn Flag]]="Yes","Churned","Retained")</f>
        <v>Retained</v>
      </c>
    </row>
    <row r="1457" spans="1:14" x14ac:dyDescent="0.25">
      <c r="A1457" t="s">
        <v>1495</v>
      </c>
      <c r="B1457" s="1">
        <v>45175</v>
      </c>
      <c r="C1457" t="s">
        <v>20</v>
      </c>
      <c r="D1457" t="s">
        <v>13</v>
      </c>
      <c r="E1457">
        <v>500</v>
      </c>
      <c r="F1457" t="s">
        <v>14</v>
      </c>
      <c r="G1457" t="s">
        <v>15</v>
      </c>
      <c r="H1457" t="s">
        <v>33</v>
      </c>
      <c r="I1457" t="s">
        <v>34</v>
      </c>
      <c r="J1457" t="s">
        <v>55</v>
      </c>
      <c r="K1457">
        <v>0</v>
      </c>
      <c r="L145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457">
        <f>GhanaStream[[#This Row],[Subscription Fee]]-(GhanaStream[[#This Row],[Discount]]*GhanaStream[[#This Row],[Subscription Fee]])</f>
        <v>500</v>
      </c>
      <c r="N1457" t="str">
        <f>IF(GhanaStream[[#This Row],[Churn Flag]]="Yes","Churned","Retained")</f>
        <v>Retained</v>
      </c>
    </row>
    <row r="1458" spans="1:14" x14ac:dyDescent="0.25">
      <c r="A1458" t="s">
        <v>1496</v>
      </c>
      <c r="B1458" s="1">
        <v>45392</v>
      </c>
      <c r="C1458" t="s">
        <v>12</v>
      </c>
      <c r="D1458" t="s">
        <v>27</v>
      </c>
      <c r="E1458">
        <v>16200</v>
      </c>
      <c r="F1458" t="s">
        <v>49</v>
      </c>
      <c r="G1458" t="s">
        <v>28</v>
      </c>
      <c r="H1458" t="s">
        <v>16</v>
      </c>
      <c r="I1458" t="s">
        <v>17</v>
      </c>
      <c r="J1458" t="s">
        <v>18</v>
      </c>
      <c r="K1458">
        <v>0.1</v>
      </c>
      <c r="L145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458">
        <f>GhanaStream[[#This Row],[Subscription Fee]]-(GhanaStream[[#This Row],[Discount]]*GhanaStream[[#This Row],[Subscription Fee]])</f>
        <v>14580</v>
      </c>
      <c r="N1458" t="str">
        <f>IF(GhanaStream[[#This Row],[Churn Flag]]="Yes","Churned","Retained")</f>
        <v>Churned</v>
      </c>
    </row>
    <row r="1459" spans="1:14" x14ac:dyDescent="0.25">
      <c r="A1459" t="s">
        <v>1497</v>
      </c>
      <c r="B1459" s="1">
        <v>45650</v>
      </c>
      <c r="C1459" t="s">
        <v>20</v>
      </c>
      <c r="D1459" t="s">
        <v>27</v>
      </c>
      <c r="E1459">
        <v>5400</v>
      </c>
      <c r="F1459" t="s">
        <v>49</v>
      </c>
      <c r="G1459" t="s">
        <v>15</v>
      </c>
      <c r="H1459" t="s">
        <v>33</v>
      </c>
      <c r="I1459" t="s">
        <v>34</v>
      </c>
      <c r="J1459" t="s">
        <v>58</v>
      </c>
      <c r="K1459">
        <v>0.1</v>
      </c>
      <c r="L145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459">
        <f>GhanaStream[[#This Row],[Subscription Fee]]-(GhanaStream[[#This Row],[Discount]]*GhanaStream[[#This Row],[Subscription Fee]])</f>
        <v>4860</v>
      </c>
      <c r="N1459" t="str">
        <f>IF(GhanaStream[[#This Row],[Churn Flag]]="Yes","Churned","Retained")</f>
        <v>Retained</v>
      </c>
    </row>
    <row r="1460" spans="1:14" x14ac:dyDescent="0.25">
      <c r="A1460" t="s">
        <v>1498</v>
      </c>
      <c r="B1460" s="1">
        <v>45048</v>
      </c>
      <c r="C1460" t="s">
        <v>12</v>
      </c>
      <c r="D1460" t="s">
        <v>13</v>
      </c>
      <c r="E1460">
        <v>1500</v>
      </c>
      <c r="F1460" t="s">
        <v>49</v>
      </c>
      <c r="G1460" t="s">
        <v>15</v>
      </c>
      <c r="H1460" t="s">
        <v>33</v>
      </c>
      <c r="I1460" t="s">
        <v>34</v>
      </c>
      <c r="J1460" t="s">
        <v>35</v>
      </c>
      <c r="K1460">
        <v>0</v>
      </c>
      <c r="L146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460">
        <f>GhanaStream[[#This Row],[Subscription Fee]]-(GhanaStream[[#This Row],[Discount]]*GhanaStream[[#This Row],[Subscription Fee]])</f>
        <v>1500</v>
      </c>
      <c r="N1460" t="str">
        <f>IF(GhanaStream[[#This Row],[Churn Flag]]="Yes","Churned","Retained")</f>
        <v>Retained</v>
      </c>
    </row>
    <row r="1461" spans="1:14" x14ac:dyDescent="0.25">
      <c r="A1461" t="s">
        <v>1499</v>
      </c>
      <c r="B1461" s="1">
        <v>45530</v>
      </c>
      <c r="C1461" t="s">
        <v>31</v>
      </c>
      <c r="D1461" t="s">
        <v>27</v>
      </c>
      <c r="E1461">
        <v>10800</v>
      </c>
      <c r="F1461" t="s">
        <v>14</v>
      </c>
      <c r="G1461" t="s">
        <v>24</v>
      </c>
      <c r="H1461" t="s">
        <v>33</v>
      </c>
      <c r="I1461" t="s">
        <v>34</v>
      </c>
      <c r="J1461" t="s">
        <v>55</v>
      </c>
      <c r="K1461">
        <v>0.1</v>
      </c>
      <c r="L146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461">
        <f>GhanaStream[[#This Row],[Subscription Fee]]-(GhanaStream[[#This Row],[Discount]]*GhanaStream[[#This Row],[Subscription Fee]])</f>
        <v>9720</v>
      </c>
      <c r="N1461" t="str">
        <f>IF(GhanaStream[[#This Row],[Churn Flag]]="Yes","Churned","Retained")</f>
        <v>Retained</v>
      </c>
    </row>
    <row r="1462" spans="1:14" x14ac:dyDescent="0.25">
      <c r="A1462" t="s">
        <v>1500</v>
      </c>
      <c r="B1462" s="1">
        <v>45654</v>
      </c>
      <c r="C1462" t="s">
        <v>20</v>
      </c>
      <c r="D1462" t="s">
        <v>27</v>
      </c>
      <c r="E1462">
        <v>5400</v>
      </c>
      <c r="F1462" t="s">
        <v>49</v>
      </c>
      <c r="G1462" t="s">
        <v>15</v>
      </c>
      <c r="H1462" t="s">
        <v>16</v>
      </c>
      <c r="I1462" t="s">
        <v>17</v>
      </c>
      <c r="J1462" t="s">
        <v>50</v>
      </c>
      <c r="K1462">
        <v>0.1</v>
      </c>
      <c r="L146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462">
        <f>GhanaStream[[#This Row],[Subscription Fee]]-(GhanaStream[[#This Row],[Discount]]*GhanaStream[[#This Row],[Subscription Fee]])</f>
        <v>4860</v>
      </c>
      <c r="N1462" t="str">
        <f>IF(GhanaStream[[#This Row],[Churn Flag]]="Yes","Churned","Retained")</f>
        <v>Churned</v>
      </c>
    </row>
    <row r="1463" spans="1:14" x14ac:dyDescent="0.25">
      <c r="A1463" t="s">
        <v>1501</v>
      </c>
      <c r="B1463" s="1">
        <v>45061</v>
      </c>
      <c r="C1463" t="s">
        <v>20</v>
      </c>
      <c r="D1463" t="s">
        <v>27</v>
      </c>
      <c r="E1463">
        <v>5400</v>
      </c>
      <c r="F1463" t="s">
        <v>49</v>
      </c>
      <c r="G1463" t="s">
        <v>24</v>
      </c>
      <c r="H1463" t="s">
        <v>33</v>
      </c>
      <c r="I1463" t="s">
        <v>34</v>
      </c>
      <c r="J1463" t="s">
        <v>25</v>
      </c>
      <c r="K1463">
        <v>0.1</v>
      </c>
      <c r="L146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463">
        <f>GhanaStream[[#This Row],[Subscription Fee]]-(GhanaStream[[#This Row],[Discount]]*GhanaStream[[#This Row],[Subscription Fee]])</f>
        <v>4860</v>
      </c>
      <c r="N1463" t="str">
        <f>IF(GhanaStream[[#This Row],[Churn Flag]]="Yes","Churned","Retained")</f>
        <v>Retained</v>
      </c>
    </row>
    <row r="1464" spans="1:14" x14ac:dyDescent="0.25">
      <c r="A1464" t="s">
        <v>1502</v>
      </c>
      <c r="B1464" s="1">
        <v>45264</v>
      </c>
      <c r="C1464" t="s">
        <v>20</v>
      </c>
      <c r="D1464" t="s">
        <v>13</v>
      </c>
      <c r="E1464">
        <v>500</v>
      </c>
      <c r="F1464" t="s">
        <v>14</v>
      </c>
      <c r="G1464" t="s">
        <v>28</v>
      </c>
      <c r="H1464" t="s">
        <v>33</v>
      </c>
      <c r="I1464" t="s">
        <v>34</v>
      </c>
      <c r="J1464" t="s">
        <v>55</v>
      </c>
      <c r="K1464">
        <v>0</v>
      </c>
      <c r="L146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464">
        <f>GhanaStream[[#This Row],[Subscription Fee]]-(GhanaStream[[#This Row],[Discount]]*GhanaStream[[#This Row],[Subscription Fee]])</f>
        <v>500</v>
      </c>
      <c r="N1464" t="str">
        <f>IF(GhanaStream[[#This Row],[Churn Flag]]="Yes","Churned","Retained")</f>
        <v>Retained</v>
      </c>
    </row>
    <row r="1465" spans="1:14" x14ac:dyDescent="0.25">
      <c r="A1465" t="s">
        <v>1503</v>
      </c>
      <c r="B1465" s="1">
        <v>45363</v>
      </c>
      <c r="C1465" t="s">
        <v>31</v>
      </c>
      <c r="D1465" t="s">
        <v>13</v>
      </c>
      <c r="E1465">
        <v>1000</v>
      </c>
      <c r="F1465" t="s">
        <v>14</v>
      </c>
      <c r="G1465" t="s">
        <v>28</v>
      </c>
      <c r="H1465" t="s">
        <v>33</v>
      </c>
      <c r="I1465" t="s">
        <v>34</v>
      </c>
      <c r="J1465" t="s">
        <v>37</v>
      </c>
      <c r="K1465">
        <v>0</v>
      </c>
      <c r="L146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465">
        <f>GhanaStream[[#This Row],[Subscription Fee]]-(GhanaStream[[#This Row],[Discount]]*GhanaStream[[#This Row],[Subscription Fee]])</f>
        <v>1000</v>
      </c>
      <c r="N1465" t="str">
        <f>IF(GhanaStream[[#This Row],[Churn Flag]]="Yes","Churned","Retained")</f>
        <v>Retained</v>
      </c>
    </row>
    <row r="1466" spans="1:14" x14ac:dyDescent="0.25">
      <c r="A1466" t="s">
        <v>1504</v>
      </c>
      <c r="B1466" s="1">
        <v>45151</v>
      </c>
      <c r="C1466" t="s">
        <v>20</v>
      </c>
      <c r="D1466" t="s">
        <v>13</v>
      </c>
      <c r="E1466">
        <v>500</v>
      </c>
      <c r="F1466" t="s">
        <v>14</v>
      </c>
      <c r="G1466" t="s">
        <v>24</v>
      </c>
      <c r="H1466" t="s">
        <v>33</v>
      </c>
      <c r="I1466" t="s">
        <v>34</v>
      </c>
      <c r="J1466" t="s">
        <v>55</v>
      </c>
      <c r="K1466">
        <v>0</v>
      </c>
      <c r="L146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466">
        <f>GhanaStream[[#This Row],[Subscription Fee]]-(GhanaStream[[#This Row],[Discount]]*GhanaStream[[#This Row],[Subscription Fee]])</f>
        <v>500</v>
      </c>
      <c r="N1466" t="str">
        <f>IF(GhanaStream[[#This Row],[Churn Flag]]="Yes","Churned","Retained")</f>
        <v>Retained</v>
      </c>
    </row>
    <row r="1467" spans="1:14" x14ac:dyDescent="0.25">
      <c r="A1467" t="s">
        <v>1505</v>
      </c>
      <c r="B1467" s="1">
        <v>45290</v>
      </c>
      <c r="C1467" t="s">
        <v>31</v>
      </c>
      <c r="D1467" t="s">
        <v>27</v>
      </c>
      <c r="E1467">
        <v>10800</v>
      </c>
      <c r="F1467" t="s">
        <v>14</v>
      </c>
      <c r="G1467" t="s">
        <v>24</v>
      </c>
      <c r="H1467" t="s">
        <v>16</v>
      </c>
      <c r="I1467" t="s">
        <v>17</v>
      </c>
      <c r="J1467" t="s">
        <v>18</v>
      </c>
      <c r="K1467">
        <v>0.1</v>
      </c>
      <c r="L146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467">
        <f>GhanaStream[[#This Row],[Subscription Fee]]-(GhanaStream[[#This Row],[Discount]]*GhanaStream[[#This Row],[Subscription Fee]])</f>
        <v>9720</v>
      </c>
      <c r="N1467" t="str">
        <f>IF(GhanaStream[[#This Row],[Churn Flag]]="Yes","Churned","Retained")</f>
        <v>Churned</v>
      </c>
    </row>
    <row r="1468" spans="1:14" x14ac:dyDescent="0.25">
      <c r="A1468" t="s">
        <v>1506</v>
      </c>
      <c r="B1468" s="1">
        <v>45376</v>
      </c>
      <c r="C1468" t="s">
        <v>12</v>
      </c>
      <c r="D1468" t="s">
        <v>27</v>
      </c>
      <c r="E1468">
        <v>16200</v>
      </c>
      <c r="F1468" t="s">
        <v>32</v>
      </c>
      <c r="G1468" t="s">
        <v>15</v>
      </c>
      <c r="H1468" t="s">
        <v>16</v>
      </c>
      <c r="I1468" t="s">
        <v>17</v>
      </c>
      <c r="J1468" t="s">
        <v>25</v>
      </c>
      <c r="K1468">
        <v>0.1</v>
      </c>
      <c r="L146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468">
        <f>GhanaStream[[#This Row],[Subscription Fee]]-(GhanaStream[[#This Row],[Discount]]*GhanaStream[[#This Row],[Subscription Fee]])</f>
        <v>14580</v>
      </c>
      <c r="N1468" t="str">
        <f>IF(GhanaStream[[#This Row],[Churn Flag]]="Yes","Churned","Retained")</f>
        <v>Churned</v>
      </c>
    </row>
    <row r="1469" spans="1:14" x14ac:dyDescent="0.25">
      <c r="A1469" t="s">
        <v>1507</v>
      </c>
      <c r="B1469" s="1">
        <v>45556</v>
      </c>
      <c r="C1469" t="s">
        <v>12</v>
      </c>
      <c r="D1469" t="s">
        <v>13</v>
      </c>
      <c r="E1469">
        <v>1500</v>
      </c>
      <c r="F1469" t="s">
        <v>14</v>
      </c>
      <c r="G1469" t="s">
        <v>28</v>
      </c>
      <c r="H1469" t="s">
        <v>16</v>
      </c>
      <c r="I1469" t="s">
        <v>17</v>
      </c>
      <c r="J1469" t="s">
        <v>37</v>
      </c>
      <c r="K1469">
        <v>0</v>
      </c>
      <c r="L146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469">
        <f>GhanaStream[[#This Row],[Subscription Fee]]-(GhanaStream[[#This Row],[Discount]]*GhanaStream[[#This Row],[Subscription Fee]])</f>
        <v>1500</v>
      </c>
      <c r="N1469" t="str">
        <f>IF(GhanaStream[[#This Row],[Churn Flag]]="Yes","Churned","Retained")</f>
        <v>Churned</v>
      </c>
    </row>
    <row r="1470" spans="1:14" x14ac:dyDescent="0.25">
      <c r="A1470" t="s">
        <v>1508</v>
      </c>
      <c r="B1470" s="1">
        <v>45575</v>
      </c>
      <c r="C1470" t="s">
        <v>31</v>
      </c>
      <c r="D1470" t="s">
        <v>27</v>
      </c>
      <c r="E1470">
        <v>10800</v>
      </c>
      <c r="F1470" t="s">
        <v>32</v>
      </c>
      <c r="G1470" t="s">
        <v>15</v>
      </c>
      <c r="H1470" t="s">
        <v>16</v>
      </c>
      <c r="I1470" t="s">
        <v>17</v>
      </c>
      <c r="J1470" t="s">
        <v>66</v>
      </c>
      <c r="K1470">
        <v>0.1</v>
      </c>
      <c r="L147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470">
        <f>GhanaStream[[#This Row],[Subscription Fee]]-(GhanaStream[[#This Row],[Discount]]*GhanaStream[[#This Row],[Subscription Fee]])</f>
        <v>9720</v>
      </c>
      <c r="N1470" t="str">
        <f>IF(GhanaStream[[#This Row],[Churn Flag]]="Yes","Churned","Retained")</f>
        <v>Churned</v>
      </c>
    </row>
    <row r="1471" spans="1:14" x14ac:dyDescent="0.25">
      <c r="A1471" t="s">
        <v>1509</v>
      </c>
      <c r="B1471" s="1">
        <v>45104</v>
      </c>
      <c r="C1471" t="s">
        <v>12</v>
      </c>
      <c r="D1471" t="s">
        <v>27</v>
      </c>
      <c r="E1471">
        <v>16200</v>
      </c>
      <c r="F1471" t="s">
        <v>14</v>
      </c>
      <c r="G1471" t="s">
        <v>28</v>
      </c>
      <c r="H1471" t="s">
        <v>16</v>
      </c>
      <c r="I1471" t="s">
        <v>17</v>
      </c>
      <c r="J1471" t="s">
        <v>37</v>
      </c>
      <c r="K1471">
        <v>0.1</v>
      </c>
      <c r="L147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471">
        <f>GhanaStream[[#This Row],[Subscription Fee]]-(GhanaStream[[#This Row],[Discount]]*GhanaStream[[#This Row],[Subscription Fee]])</f>
        <v>14580</v>
      </c>
      <c r="N1471" t="str">
        <f>IF(GhanaStream[[#This Row],[Churn Flag]]="Yes","Churned","Retained")</f>
        <v>Churned</v>
      </c>
    </row>
    <row r="1472" spans="1:14" x14ac:dyDescent="0.25">
      <c r="A1472" t="s">
        <v>1510</v>
      </c>
      <c r="B1472" s="1">
        <v>45454</v>
      </c>
      <c r="C1472" t="s">
        <v>12</v>
      </c>
      <c r="D1472" t="s">
        <v>13</v>
      </c>
      <c r="E1472">
        <v>1500</v>
      </c>
      <c r="F1472" t="s">
        <v>49</v>
      </c>
      <c r="G1472" t="s">
        <v>15</v>
      </c>
      <c r="H1472" t="s">
        <v>33</v>
      </c>
      <c r="I1472" t="s">
        <v>34</v>
      </c>
      <c r="J1472" t="s">
        <v>50</v>
      </c>
      <c r="K1472">
        <v>0</v>
      </c>
      <c r="L147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472">
        <f>GhanaStream[[#This Row],[Subscription Fee]]-(GhanaStream[[#This Row],[Discount]]*GhanaStream[[#This Row],[Subscription Fee]])</f>
        <v>1500</v>
      </c>
      <c r="N1472" t="str">
        <f>IF(GhanaStream[[#This Row],[Churn Flag]]="Yes","Churned","Retained")</f>
        <v>Retained</v>
      </c>
    </row>
    <row r="1473" spans="1:14" x14ac:dyDescent="0.25">
      <c r="A1473" t="s">
        <v>1511</v>
      </c>
      <c r="B1473" s="1">
        <v>45624</v>
      </c>
      <c r="C1473" t="s">
        <v>20</v>
      </c>
      <c r="D1473" t="s">
        <v>13</v>
      </c>
      <c r="E1473">
        <v>500</v>
      </c>
      <c r="F1473" t="s">
        <v>32</v>
      </c>
      <c r="G1473" t="s">
        <v>28</v>
      </c>
      <c r="H1473" t="s">
        <v>16</v>
      </c>
      <c r="I1473" t="s">
        <v>17</v>
      </c>
      <c r="J1473" t="s">
        <v>66</v>
      </c>
      <c r="K1473">
        <v>0</v>
      </c>
      <c r="L147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473">
        <f>GhanaStream[[#This Row],[Subscription Fee]]-(GhanaStream[[#This Row],[Discount]]*GhanaStream[[#This Row],[Subscription Fee]])</f>
        <v>500</v>
      </c>
      <c r="N1473" t="str">
        <f>IF(GhanaStream[[#This Row],[Churn Flag]]="Yes","Churned","Retained")</f>
        <v>Churned</v>
      </c>
    </row>
    <row r="1474" spans="1:14" x14ac:dyDescent="0.25">
      <c r="A1474" t="s">
        <v>1512</v>
      </c>
      <c r="B1474" s="1">
        <v>45285</v>
      </c>
      <c r="C1474" t="s">
        <v>31</v>
      </c>
      <c r="D1474" t="s">
        <v>27</v>
      </c>
      <c r="E1474">
        <v>10800</v>
      </c>
      <c r="F1474" t="s">
        <v>21</v>
      </c>
      <c r="G1474" t="s">
        <v>24</v>
      </c>
      <c r="H1474" t="s">
        <v>16</v>
      </c>
      <c r="I1474" t="s">
        <v>17</v>
      </c>
      <c r="J1474" t="s">
        <v>25</v>
      </c>
      <c r="K1474">
        <v>0.1</v>
      </c>
      <c r="L147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474">
        <f>GhanaStream[[#This Row],[Subscription Fee]]-(GhanaStream[[#This Row],[Discount]]*GhanaStream[[#This Row],[Subscription Fee]])</f>
        <v>9720</v>
      </c>
      <c r="N1474" t="str">
        <f>IF(GhanaStream[[#This Row],[Churn Flag]]="Yes","Churned","Retained")</f>
        <v>Churned</v>
      </c>
    </row>
    <row r="1475" spans="1:14" x14ac:dyDescent="0.25">
      <c r="A1475" t="s">
        <v>1513</v>
      </c>
      <c r="B1475" s="1">
        <v>45184</v>
      </c>
      <c r="C1475" t="s">
        <v>12</v>
      </c>
      <c r="D1475" t="s">
        <v>13</v>
      </c>
      <c r="E1475">
        <v>1500</v>
      </c>
      <c r="F1475" t="s">
        <v>49</v>
      </c>
      <c r="G1475" t="s">
        <v>15</v>
      </c>
      <c r="H1475" t="s">
        <v>16</v>
      </c>
      <c r="I1475" t="s">
        <v>17</v>
      </c>
      <c r="J1475" t="s">
        <v>25</v>
      </c>
      <c r="K1475">
        <v>0</v>
      </c>
      <c r="L147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475">
        <f>GhanaStream[[#This Row],[Subscription Fee]]-(GhanaStream[[#This Row],[Discount]]*GhanaStream[[#This Row],[Subscription Fee]])</f>
        <v>1500</v>
      </c>
      <c r="N1475" t="str">
        <f>IF(GhanaStream[[#This Row],[Churn Flag]]="Yes","Churned","Retained")</f>
        <v>Churned</v>
      </c>
    </row>
    <row r="1476" spans="1:14" x14ac:dyDescent="0.25">
      <c r="A1476" t="s">
        <v>1514</v>
      </c>
      <c r="B1476" s="1">
        <v>45562</v>
      </c>
      <c r="C1476" t="s">
        <v>31</v>
      </c>
      <c r="D1476" t="s">
        <v>13</v>
      </c>
      <c r="E1476">
        <v>1000</v>
      </c>
      <c r="F1476" t="s">
        <v>49</v>
      </c>
      <c r="G1476" t="s">
        <v>15</v>
      </c>
      <c r="H1476" t="s">
        <v>16</v>
      </c>
      <c r="I1476" t="s">
        <v>17</v>
      </c>
      <c r="J1476" t="s">
        <v>25</v>
      </c>
      <c r="K1476">
        <v>0</v>
      </c>
      <c r="L147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476">
        <f>GhanaStream[[#This Row],[Subscription Fee]]-(GhanaStream[[#This Row],[Discount]]*GhanaStream[[#This Row],[Subscription Fee]])</f>
        <v>1000</v>
      </c>
      <c r="N1476" t="str">
        <f>IF(GhanaStream[[#This Row],[Churn Flag]]="Yes","Churned","Retained")</f>
        <v>Churned</v>
      </c>
    </row>
    <row r="1477" spans="1:14" x14ac:dyDescent="0.25">
      <c r="A1477" t="s">
        <v>1515</v>
      </c>
      <c r="B1477" s="1">
        <v>45601</v>
      </c>
      <c r="C1477" t="s">
        <v>20</v>
      </c>
      <c r="D1477" t="s">
        <v>13</v>
      </c>
      <c r="E1477">
        <v>500</v>
      </c>
      <c r="F1477" t="s">
        <v>14</v>
      </c>
      <c r="G1477" t="s">
        <v>24</v>
      </c>
      <c r="H1477" t="s">
        <v>33</v>
      </c>
      <c r="I1477" t="s">
        <v>34</v>
      </c>
      <c r="J1477" t="s">
        <v>22</v>
      </c>
      <c r="K1477">
        <v>0</v>
      </c>
      <c r="L147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477">
        <f>GhanaStream[[#This Row],[Subscription Fee]]-(GhanaStream[[#This Row],[Discount]]*GhanaStream[[#This Row],[Subscription Fee]])</f>
        <v>500</v>
      </c>
      <c r="N1477" t="str">
        <f>IF(GhanaStream[[#This Row],[Churn Flag]]="Yes","Churned","Retained")</f>
        <v>Retained</v>
      </c>
    </row>
    <row r="1478" spans="1:14" x14ac:dyDescent="0.25">
      <c r="A1478" t="s">
        <v>1516</v>
      </c>
      <c r="B1478" s="1">
        <v>45594</v>
      </c>
      <c r="C1478" t="s">
        <v>20</v>
      </c>
      <c r="D1478" t="s">
        <v>13</v>
      </c>
      <c r="E1478">
        <v>500</v>
      </c>
      <c r="F1478" t="s">
        <v>14</v>
      </c>
      <c r="G1478" t="s">
        <v>28</v>
      </c>
      <c r="H1478" t="s">
        <v>33</v>
      </c>
      <c r="I1478" t="s">
        <v>34</v>
      </c>
      <c r="J1478" t="s">
        <v>22</v>
      </c>
      <c r="K1478">
        <v>0</v>
      </c>
      <c r="L147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478">
        <f>GhanaStream[[#This Row],[Subscription Fee]]-(GhanaStream[[#This Row],[Discount]]*GhanaStream[[#This Row],[Subscription Fee]])</f>
        <v>500</v>
      </c>
      <c r="N1478" t="str">
        <f>IF(GhanaStream[[#This Row],[Churn Flag]]="Yes","Churned","Retained")</f>
        <v>Retained</v>
      </c>
    </row>
    <row r="1479" spans="1:14" x14ac:dyDescent="0.25">
      <c r="A1479" t="s">
        <v>1517</v>
      </c>
      <c r="B1479" s="1">
        <v>45356</v>
      </c>
      <c r="C1479" t="s">
        <v>31</v>
      </c>
      <c r="D1479" t="s">
        <v>27</v>
      </c>
      <c r="E1479">
        <v>10800</v>
      </c>
      <c r="F1479" t="s">
        <v>21</v>
      </c>
      <c r="G1479" t="s">
        <v>28</v>
      </c>
      <c r="H1479" t="s">
        <v>33</v>
      </c>
      <c r="I1479" t="s">
        <v>34</v>
      </c>
      <c r="J1479" t="s">
        <v>18</v>
      </c>
      <c r="K1479">
        <v>0.1</v>
      </c>
      <c r="L147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479">
        <f>GhanaStream[[#This Row],[Subscription Fee]]-(GhanaStream[[#This Row],[Discount]]*GhanaStream[[#This Row],[Subscription Fee]])</f>
        <v>9720</v>
      </c>
      <c r="N1479" t="str">
        <f>IF(GhanaStream[[#This Row],[Churn Flag]]="Yes","Churned","Retained")</f>
        <v>Retained</v>
      </c>
    </row>
    <row r="1480" spans="1:14" x14ac:dyDescent="0.25">
      <c r="A1480" t="s">
        <v>1518</v>
      </c>
      <c r="B1480" s="1">
        <v>45552</v>
      </c>
      <c r="C1480" t="s">
        <v>31</v>
      </c>
      <c r="D1480" t="s">
        <v>27</v>
      </c>
      <c r="E1480">
        <v>10800</v>
      </c>
      <c r="F1480" t="s">
        <v>14</v>
      </c>
      <c r="G1480" t="s">
        <v>15</v>
      </c>
      <c r="H1480" t="s">
        <v>33</v>
      </c>
      <c r="I1480" t="s">
        <v>34</v>
      </c>
      <c r="J1480" t="s">
        <v>22</v>
      </c>
      <c r="K1480">
        <v>0.1</v>
      </c>
      <c r="L148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480">
        <f>GhanaStream[[#This Row],[Subscription Fee]]-(GhanaStream[[#This Row],[Discount]]*GhanaStream[[#This Row],[Subscription Fee]])</f>
        <v>9720</v>
      </c>
      <c r="N1480" t="str">
        <f>IF(GhanaStream[[#This Row],[Churn Flag]]="Yes","Churned","Retained")</f>
        <v>Retained</v>
      </c>
    </row>
    <row r="1481" spans="1:14" x14ac:dyDescent="0.25">
      <c r="A1481" t="s">
        <v>1519</v>
      </c>
      <c r="B1481" s="1">
        <v>45014</v>
      </c>
      <c r="C1481" t="s">
        <v>20</v>
      </c>
      <c r="D1481" t="s">
        <v>13</v>
      </c>
      <c r="E1481">
        <v>500</v>
      </c>
      <c r="F1481" t="s">
        <v>14</v>
      </c>
      <c r="G1481" t="s">
        <v>28</v>
      </c>
      <c r="H1481" t="s">
        <v>33</v>
      </c>
      <c r="I1481" t="s">
        <v>34</v>
      </c>
      <c r="J1481" t="s">
        <v>37</v>
      </c>
      <c r="K1481">
        <v>0</v>
      </c>
      <c r="L148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481">
        <f>GhanaStream[[#This Row],[Subscription Fee]]-(GhanaStream[[#This Row],[Discount]]*GhanaStream[[#This Row],[Subscription Fee]])</f>
        <v>500</v>
      </c>
      <c r="N1481" t="str">
        <f>IF(GhanaStream[[#This Row],[Churn Flag]]="Yes","Churned","Retained")</f>
        <v>Retained</v>
      </c>
    </row>
    <row r="1482" spans="1:14" x14ac:dyDescent="0.25">
      <c r="A1482" t="s">
        <v>1520</v>
      </c>
      <c r="B1482" s="1">
        <v>45174</v>
      </c>
      <c r="C1482" t="s">
        <v>12</v>
      </c>
      <c r="D1482" t="s">
        <v>27</v>
      </c>
      <c r="E1482">
        <v>16200</v>
      </c>
      <c r="F1482" t="s">
        <v>14</v>
      </c>
      <c r="G1482" t="s">
        <v>28</v>
      </c>
      <c r="H1482" t="s">
        <v>33</v>
      </c>
      <c r="I1482" t="s">
        <v>34</v>
      </c>
      <c r="J1482" t="s">
        <v>22</v>
      </c>
      <c r="K1482">
        <v>0.1</v>
      </c>
      <c r="L148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482">
        <f>GhanaStream[[#This Row],[Subscription Fee]]-(GhanaStream[[#This Row],[Discount]]*GhanaStream[[#This Row],[Subscription Fee]])</f>
        <v>14580</v>
      </c>
      <c r="N1482" t="str">
        <f>IF(GhanaStream[[#This Row],[Churn Flag]]="Yes","Churned","Retained")</f>
        <v>Retained</v>
      </c>
    </row>
    <row r="1483" spans="1:14" x14ac:dyDescent="0.25">
      <c r="A1483" t="s">
        <v>1521</v>
      </c>
      <c r="B1483" s="1">
        <v>45635</v>
      </c>
      <c r="C1483" t="s">
        <v>12</v>
      </c>
      <c r="D1483" t="s">
        <v>27</v>
      </c>
      <c r="E1483">
        <v>16200</v>
      </c>
      <c r="F1483" t="s">
        <v>14</v>
      </c>
      <c r="G1483" t="s">
        <v>24</v>
      </c>
      <c r="H1483" t="s">
        <v>33</v>
      </c>
      <c r="I1483" t="s">
        <v>34</v>
      </c>
      <c r="J1483" t="s">
        <v>55</v>
      </c>
      <c r="K1483">
        <v>0.1</v>
      </c>
      <c r="L148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483">
        <f>GhanaStream[[#This Row],[Subscription Fee]]-(GhanaStream[[#This Row],[Discount]]*GhanaStream[[#This Row],[Subscription Fee]])</f>
        <v>14580</v>
      </c>
      <c r="N1483" t="str">
        <f>IF(GhanaStream[[#This Row],[Churn Flag]]="Yes","Churned","Retained")</f>
        <v>Retained</v>
      </c>
    </row>
    <row r="1484" spans="1:14" x14ac:dyDescent="0.25">
      <c r="A1484" t="s">
        <v>1522</v>
      </c>
      <c r="B1484" s="1">
        <v>45463</v>
      </c>
      <c r="C1484" t="s">
        <v>12</v>
      </c>
      <c r="D1484" t="s">
        <v>27</v>
      </c>
      <c r="E1484">
        <v>16200</v>
      </c>
      <c r="F1484" t="s">
        <v>32</v>
      </c>
      <c r="G1484" t="s">
        <v>24</v>
      </c>
      <c r="H1484" t="s">
        <v>33</v>
      </c>
      <c r="I1484" t="s">
        <v>34</v>
      </c>
      <c r="J1484" t="s">
        <v>66</v>
      </c>
      <c r="K1484">
        <v>0.1</v>
      </c>
      <c r="L148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484">
        <f>GhanaStream[[#This Row],[Subscription Fee]]-(GhanaStream[[#This Row],[Discount]]*GhanaStream[[#This Row],[Subscription Fee]])</f>
        <v>14580</v>
      </c>
      <c r="N1484" t="str">
        <f>IF(GhanaStream[[#This Row],[Churn Flag]]="Yes","Churned","Retained")</f>
        <v>Retained</v>
      </c>
    </row>
    <row r="1485" spans="1:14" x14ac:dyDescent="0.25">
      <c r="A1485" t="s">
        <v>1523</v>
      </c>
      <c r="B1485" s="1">
        <v>45111</v>
      </c>
      <c r="C1485" t="s">
        <v>20</v>
      </c>
      <c r="D1485" t="s">
        <v>13</v>
      </c>
      <c r="E1485">
        <v>500</v>
      </c>
      <c r="F1485" t="s">
        <v>21</v>
      </c>
      <c r="G1485" t="s">
        <v>24</v>
      </c>
      <c r="H1485" t="s">
        <v>16</v>
      </c>
      <c r="I1485" t="s">
        <v>17</v>
      </c>
      <c r="J1485" t="s">
        <v>18</v>
      </c>
      <c r="K1485">
        <v>0</v>
      </c>
      <c r="L148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485">
        <f>GhanaStream[[#This Row],[Subscription Fee]]-(GhanaStream[[#This Row],[Discount]]*GhanaStream[[#This Row],[Subscription Fee]])</f>
        <v>500</v>
      </c>
      <c r="N1485" t="str">
        <f>IF(GhanaStream[[#This Row],[Churn Flag]]="Yes","Churned","Retained")</f>
        <v>Churned</v>
      </c>
    </row>
    <row r="1486" spans="1:14" x14ac:dyDescent="0.25">
      <c r="A1486" t="s">
        <v>1524</v>
      </c>
      <c r="B1486" s="1">
        <v>45033</v>
      </c>
      <c r="C1486" t="s">
        <v>20</v>
      </c>
      <c r="D1486" t="s">
        <v>13</v>
      </c>
      <c r="E1486">
        <v>500</v>
      </c>
      <c r="F1486" t="s">
        <v>21</v>
      </c>
      <c r="G1486" t="s">
        <v>24</v>
      </c>
      <c r="H1486" t="s">
        <v>16</v>
      </c>
      <c r="I1486" t="s">
        <v>17</v>
      </c>
      <c r="J1486" t="s">
        <v>18</v>
      </c>
      <c r="K1486">
        <v>0</v>
      </c>
      <c r="L148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486">
        <f>GhanaStream[[#This Row],[Subscription Fee]]-(GhanaStream[[#This Row],[Discount]]*GhanaStream[[#This Row],[Subscription Fee]])</f>
        <v>500</v>
      </c>
      <c r="N1486" t="str">
        <f>IF(GhanaStream[[#This Row],[Churn Flag]]="Yes","Churned","Retained")</f>
        <v>Churned</v>
      </c>
    </row>
    <row r="1487" spans="1:14" x14ac:dyDescent="0.25">
      <c r="A1487" t="s">
        <v>1525</v>
      </c>
      <c r="B1487" s="1">
        <v>45534</v>
      </c>
      <c r="C1487" t="s">
        <v>20</v>
      </c>
      <c r="D1487" t="s">
        <v>27</v>
      </c>
      <c r="E1487">
        <v>5400</v>
      </c>
      <c r="F1487" t="s">
        <v>21</v>
      </c>
      <c r="G1487" t="s">
        <v>15</v>
      </c>
      <c r="H1487" t="s">
        <v>16</v>
      </c>
      <c r="I1487" t="s">
        <v>17</v>
      </c>
      <c r="J1487" t="s">
        <v>29</v>
      </c>
      <c r="K1487">
        <v>0.1</v>
      </c>
      <c r="L148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487">
        <f>GhanaStream[[#This Row],[Subscription Fee]]-(GhanaStream[[#This Row],[Discount]]*GhanaStream[[#This Row],[Subscription Fee]])</f>
        <v>4860</v>
      </c>
      <c r="N1487" t="str">
        <f>IF(GhanaStream[[#This Row],[Churn Flag]]="Yes","Churned","Retained")</f>
        <v>Churned</v>
      </c>
    </row>
    <row r="1488" spans="1:14" x14ac:dyDescent="0.25">
      <c r="A1488" t="s">
        <v>1526</v>
      </c>
      <c r="B1488" s="1">
        <v>45521</v>
      </c>
      <c r="C1488" t="s">
        <v>31</v>
      </c>
      <c r="D1488" t="s">
        <v>27</v>
      </c>
      <c r="E1488">
        <v>10800</v>
      </c>
      <c r="F1488" t="s">
        <v>21</v>
      </c>
      <c r="G1488" t="s">
        <v>15</v>
      </c>
      <c r="H1488" t="s">
        <v>16</v>
      </c>
      <c r="I1488" t="s">
        <v>17</v>
      </c>
      <c r="J1488" t="s">
        <v>18</v>
      </c>
      <c r="K1488">
        <v>0.1</v>
      </c>
      <c r="L148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488">
        <f>GhanaStream[[#This Row],[Subscription Fee]]-(GhanaStream[[#This Row],[Discount]]*GhanaStream[[#This Row],[Subscription Fee]])</f>
        <v>9720</v>
      </c>
      <c r="N1488" t="str">
        <f>IF(GhanaStream[[#This Row],[Churn Flag]]="Yes","Churned","Retained")</f>
        <v>Churned</v>
      </c>
    </row>
    <row r="1489" spans="1:14" x14ac:dyDescent="0.25">
      <c r="A1489" t="s">
        <v>1527</v>
      </c>
      <c r="B1489" s="1">
        <v>44987</v>
      </c>
      <c r="C1489" t="s">
        <v>12</v>
      </c>
      <c r="D1489" t="s">
        <v>13</v>
      </c>
      <c r="E1489">
        <v>1500</v>
      </c>
      <c r="F1489" t="s">
        <v>21</v>
      </c>
      <c r="G1489" t="s">
        <v>24</v>
      </c>
      <c r="H1489" t="s">
        <v>16</v>
      </c>
      <c r="I1489" t="s">
        <v>17</v>
      </c>
      <c r="J1489" t="s">
        <v>29</v>
      </c>
      <c r="K1489">
        <v>0</v>
      </c>
      <c r="L148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489">
        <f>GhanaStream[[#This Row],[Subscription Fee]]-(GhanaStream[[#This Row],[Discount]]*GhanaStream[[#This Row],[Subscription Fee]])</f>
        <v>1500</v>
      </c>
      <c r="N1489" t="str">
        <f>IF(GhanaStream[[#This Row],[Churn Flag]]="Yes","Churned","Retained")</f>
        <v>Churned</v>
      </c>
    </row>
    <row r="1490" spans="1:14" x14ac:dyDescent="0.25">
      <c r="A1490" t="s">
        <v>1528</v>
      </c>
      <c r="B1490" s="1">
        <v>44961</v>
      </c>
      <c r="C1490" t="s">
        <v>31</v>
      </c>
      <c r="D1490" t="s">
        <v>27</v>
      </c>
      <c r="E1490">
        <v>10800</v>
      </c>
      <c r="F1490" t="s">
        <v>21</v>
      </c>
      <c r="G1490" t="s">
        <v>28</v>
      </c>
      <c r="H1490" t="s">
        <v>33</v>
      </c>
      <c r="I1490" t="s">
        <v>34</v>
      </c>
      <c r="J1490" t="s">
        <v>18</v>
      </c>
      <c r="K1490">
        <v>0.1</v>
      </c>
      <c r="L149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490">
        <f>GhanaStream[[#This Row],[Subscription Fee]]-(GhanaStream[[#This Row],[Discount]]*GhanaStream[[#This Row],[Subscription Fee]])</f>
        <v>9720</v>
      </c>
      <c r="N1490" t="str">
        <f>IF(GhanaStream[[#This Row],[Churn Flag]]="Yes","Churned","Retained")</f>
        <v>Retained</v>
      </c>
    </row>
    <row r="1491" spans="1:14" x14ac:dyDescent="0.25">
      <c r="A1491" t="s">
        <v>1529</v>
      </c>
      <c r="B1491" s="1">
        <v>45221</v>
      </c>
      <c r="C1491" t="s">
        <v>20</v>
      </c>
      <c r="D1491" t="s">
        <v>13</v>
      </c>
      <c r="E1491">
        <v>500</v>
      </c>
      <c r="F1491" t="s">
        <v>21</v>
      </c>
      <c r="G1491" t="s">
        <v>15</v>
      </c>
      <c r="H1491" t="s">
        <v>33</v>
      </c>
      <c r="I1491" t="s">
        <v>34</v>
      </c>
      <c r="J1491" t="s">
        <v>29</v>
      </c>
      <c r="K1491">
        <v>0</v>
      </c>
      <c r="L149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491">
        <f>GhanaStream[[#This Row],[Subscription Fee]]-(GhanaStream[[#This Row],[Discount]]*GhanaStream[[#This Row],[Subscription Fee]])</f>
        <v>500</v>
      </c>
      <c r="N1491" t="str">
        <f>IF(GhanaStream[[#This Row],[Churn Flag]]="Yes","Churned","Retained")</f>
        <v>Retained</v>
      </c>
    </row>
    <row r="1492" spans="1:14" x14ac:dyDescent="0.25">
      <c r="A1492" t="s">
        <v>1530</v>
      </c>
      <c r="B1492" s="1">
        <v>45161</v>
      </c>
      <c r="C1492" t="s">
        <v>12</v>
      </c>
      <c r="D1492" t="s">
        <v>13</v>
      </c>
      <c r="E1492">
        <v>1500</v>
      </c>
      <c r="F1492" t="s">
        <v>49</v>
      </c>
      <c r="G1492" t="s">
        <v>24</v>
      </c>
      <c r="H1492" t="s">
        <v>16</v>
      </c>
      <c r="I1492" t="s">
        <v>17</v>
      </c>
      <c r="J1492" t="s">
        <v>58</v>
      </c>
      <c r="K1492">
        <v>0</v>
      </c>
      <c r="L149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492">
        <f>GhanaStream[[#This Row],[Subscription Fee]]-(GhanaStream[[#This Row],[Discount]]*GhanaStream[[#This Row],[Subscription Fee]])</f>
        <v>1500</v>
      </c>
      <c r="N1492" t="str">
        <f>IF(GhanaStream[[#This Row],[Churn Flag]]="Yes","Churned","Retained")</f>
        <v>Churned</v>
      </c>
    </row>
    <row r="1493" spans="1:14" x14ac:dyDescent="0.25">
      <c r="A1493" t="s">
        <v>1531</v>
      </c>
      <c r="B1493" s="1">
        <v>45202</v>
      </c>
      <c r="C1493" t="s">
        <v>20</v>
      </c>
      <c r="D1493" t="s">
        <v>27</v>
      </c>
      <c r="E1493">
        <v>5400</v>
      </c>
      <c r="F1493" t="s">
        <v>14</v>
      </c>
      <c r="G1493" t="s">
        <v>28</v>
      </c>
      <c r="H1493" t="s">
        <v>16</v>
      </c>
      <c r="I1493" t="s">
        <v>17</v>
      </c>
      <c r="J1493" t="s">
        <v>55</v>
      </c>
      <c r="K1493">
        <v>0.1</v>
      </c>
      <c r="L149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493">
        <f>GhanaStream[[#This Row],[Subscription Fee]]-(GhanaStream[[#This Row],[Discount]]*GhanaStream[[#This Row],[Subscription Fee]])</f>
        <v>4860</v>
      </c>
      <c r="N1493" t="str">
        <f>IF(GhanaStream[[#This Row],[Churn Flag]]="Yes","Churned","Retained")</f>
        <v>Churned</v>
      </c>
    </row>
    <row r="1494" spans="1:14" x14ac:dyDescent="0.25">
      <c r="A1494" t="s">
        <v>1532</v>
      </c>
      <c r="B1494" s="1">
        <v>45465</v>
      </c>
      <c r="C1494" t="s">
        <v>20</v>
      </c>
      <c r="D1494" t="s">
        <v>27</v>
      </c>
      <c r="E1494">
        <v>5400</v>
      </c>
      <c r="F1494" t="s">
        <v>21</v>
      </c>
      <c r="G1494" t="s">
        <v>28</v>
      </c>
      <c r="H1494" t="s">
        <v>33</v>
      </c>
      <c r="I1494" t="s">
        <v>34</v>
      </c>
      <c r="J1494" t="s">
        <v>18</v>
      </c>
      <c r="K1494">
        <v>0.1</v>
      </c>
      <c r="L149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494">
        <f>GhanaStream[[#This Row],[Subscription Fee]]-(GhanaStream[[#This Row],[Discount]]*GhanaStream[[#This Row],[Subscription Fee]])</f>
        <v>4860</v>
      </c>
      <c r="N1494" t="str">
        <f>IF(GhanaStream[[#This Row],[Churn Flag]]="Yes","Churned","Retained")</f>
        <v>Retained</v>
      </c>
    </row>
    <row r="1495" spans="1:14" x14ac:dyDescent="0.25">
      <c r="A1495" t="s">
        <v>1533</v>
      </c>
      <c r="B1495" s="1">
        <v>45086</v>
      </c>
      <c r="C1495" t="s">
        <v>20</v>
      </c>
      <c r="D1495" t="s">
        <v>13</v>
      </c>
      <c r="E1495">
        <v>500</v>
      </c>
      <c r="F1495" t="s">
        <v>49</v>
      </c>
      <c r="G1495" t="s">
        <v>28</v>
      </c>
      <c r="H1495" t="s">
        <v>33</v>
      </c>
      <c r="I1495" t="s">
        <v>34</v>
      </c>
      <c r="J1495" t="s">
        <v>50</v>
      </c>
      <c r="K1495">
        <v>0</v>
      </c>
      <c r="L149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495">
        <f>GhanaStream[[#This Row],[Subscription Fee]]-(GhanaStream[[#This Row],[Discount]]*GhanaStream[[#This Row],[Subscription Fee]])</f>
        <v>500</v>
      </c>
      <c r="N1495" t="str">
        <f>IF(GhanaStream[[#This Row],[Churn Flag]]="Yes","Churned","Retained")</f>
        <v>Retained</v>
      </c>
    </row>
    <row r="1496" spans="1:14" x14ac:dyDescent="0.25">
      <c r="A1496" t="s">
        <v>1534</v>
      </c>
      <c r="B1496" s="1">
        <v>45527</v>
      </c>
      <c r="C1496" t="s">
        <v>31</v>
      </c>
      <c r="D1496" t="s">
        <v>27</v>
      </c>
      <c r="E1496">
        <v>10800</v>
      </c>
      <c r="F1496" t="s">
        <v>21</v>
      </c>
      <c r="G1496" t="s">
        <v>28</v>
      </c>
      <c r="H1496" t="s">
        <v>16</v>
      </c>
      <c r="I1496" t="s">
        <v>17</v>
      </c>
      <c r="J1496" t="s">
        <v>29</v>
      </c>
      <c r="K1496">
        <v>0.1</v>
      </c>
      <c r="L149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496">
        <f>GhanaStream[[#This Row],[Subscription Fee]]-(GhanaStream[[#This Row],[Discount]]*GhanaStream[[#This Row],[Subscription Fee]])</f>
        <v>9720</v>
      </c>
      <c r="N1496" t="str">
        <f>IF(GhanaStream[[#This Row],[Churn Flag]]="Yes","Churned","Retained")</f>
        <v>Churned</v>
      </c>
    </row>
    <row r="1497" spans="1:14" x14ac:dyDescent="0.25">
      <c r="A1497" t="s">
        <v>1535</v>
      </c>
      <c r="B1497" s="1">
        <v>45496</v>
      </c>
      <c r="C1497" t="s">
        <v>20</v>
      </c>
      <c r="D1497" t="s">
        <v>13</v>
      </c>
      <c r="E1497">
        <v>500</v>
      </c>
      <c r="F1497" t="s">
        <v>32</v>
      </c>
      <c r="G1497" t="s">
        <v>28</v>
      </c>
      <c r="H1497" t="s">
        <v>16</v>
      </c>
      <c r="I1497" t="s">
        <v>17</v>
      </c>
      <c r="J1497" t="s">
        <v>25</v>
      </c>
      <c r="K1497">
        <v>0</v>
      </c>
      <c r="L149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497">
        <f>GhanaStream[[#This Row],[Subscription Fee]]-(GhanaStream[[#This Row],[Discount]]*GhanaStream[[#This Row],[Subscription Fee]])</f>
        <v>500</v>
      </c>
      <c r="N1497" t="str">
        <f>IF(GhanaStream[[#This Row],[Churn Flag]]="Yes","Churned","Retained")</f>
        <v>Churned</v>
      </c>
    </row>
    <row r="1498" spans="1:14" x14ac:dyDescent="0.25">
      <c r="A1498" t="s">
        <v>1536</v>
      </c>
      <c r="B1498" s="1">
        <v>45113</v>
      </c>
      <c r="C1498" t="s">
        <v>12</v>
      </c>
      <c r="D1498" t="s">
        <v>27</v>
      </c>
      <c r="E1498">
        <v>16200</v>
      </c>
      <c r="F1498" t="s">
        <v>14</v>
      </c>
      <c r="G1498" t="s">
        <v>15</v>
      </c>
      <c r="H1498" t="s">
        <v>16</v>
      </c>
      <c r="I1498" t="s">
        <v>17</v>
      </c>
      <c r="J1498" t="s">
        <v>41</v>
      </c>
      <c r="K1498">
        <v>0.1</v>
      </c>
      <c r="L149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498">
        <f>GhanaStream[[#This Row],[Subscription Fee]]-(GhanaStream[[#This Row],[Discount]]*GhanaStream[[#This Row],[Subscription Fee]])</f>
        <v>14580</v>
      </c>
      <c r="N1498" t="str">
        <f>IF(GhanaStream[[#This Row],[Churn Flag]]="Yes","Churned","Retained")</f>
        <v>Churned</v>
      </c>
    </row>
    <row r="1499" spans="1:14" x14ac:dyDescent="0.25">
      <c r="A1499" t="s">
        <v>1537</v>
      </c>
      <c r="B1499" s="1">
        <v>45080</v>
      </c>
      <c r="C1499" t="s">
        <v>31</v>
      </c>
      <c r="D1499" t="s">
        <v>13</v>
      </c>
      <c r="E1499">
        <v>1000</v>
      </c>
      <c r="F1499" t="s">
        <v>49</v>
      </c>
      <c r="G1499" t="s">
        <v>24</v>
      </c>
      <c r="H1499" t="s">
        <v>16</v>
      </c>
      <c r="I1499" t="s">
        <v>17</v>
      </c>
      <c r="J1499" t="s">
        <v>22</v>
      </c>
      <c r="K1499">
        <v>0</v>
      </c>
      <c r="L149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499">
        <f>GhanaStream[[#This Row],[Subscription Fee]]-(GhanaStream[[#This Row],[Discount]]*GhanaStream[[#This Row],[Subscription Fee]])</f>
        <v>1000</v>
      </c>
      <c r="N1499" t="str">
        <f>IF(GhanaStream[[#This Row],[Churn Flag]]="Yes","Churned","Retained")</f>
        <v>Churned</v>
      </c>
    </row>
    <row r="1500" spans="1:14" x14ac:dyDescent="0.25">
      <c r="A1500" t="s">
        <v>1538</v>
      </c>
      <c r="B1500" s="1">
        <v>45362</v>
      </c>
      <c r="C1500" t="s">
        <v>20</v>
      </c>
      <c r="D1500" t="s">
        <v>13</v>
      </c>
      <c r="E1500">
        <v>500</v>
      </c>
      <c r="F1500" t="s">
        <v>49</v>
      </c>
      <c r="G1500" t="s">
        <v>15</v>
      </c>
      <c r="H1500" t="s">
        <v>16</v>
      </c>
      <c r="I1500" t="s">
        <v>17</v>
      </c>
      <c r="J1500" t="s">
        <v>18</v>
      </c>
      <c r="K1500">
        <v>0</v>
      </c>
      <c r="L150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500">
        <f>GhanaStream[[#This Row],[Subscription Fee]]-(GhanaStream[[#This Row],[Discount]]*GhanaStream[[#This Row],[Subscription Fee]])</f>
        <v>500</v>
      </c>
      <c r="N1500" t="str">
        <f>IF(GhanaStream[[#This Row],[Churn Flag]]="Yes","Churned","Retained")</f>
        <v>Churned</v>
      </c>
    </row>
    <row r="1501" spans="1:14" x14ac:dyDescent="0.25">
      <c r="A1501" t="s">
        <v>1539</v>
      </c>
      <c r="B1501" s="1">
        <v>45115</v>
      </c>
      <c r="C1501" t="s">
        <v>20</v>
      </c>
      <c r="D1501" t="s">
        <v>13</v>
      </c>
      <c r="E1501">
        <v>500</v>
      </c>
      <c r="F1501" t="s">
        <v>32</v>
      </c>
      <c r="G1501" t="s">
        <v>15</v>
      </c>
      <c r="H1501" t="s">
        <v>16</v>
      </c>
      <c r="I1501" t="s">
        <v>17</v>
      </c>
      <c r="J1501" t="s">
        <v>44</v>
      </c>
      <c r="K1501">
        <v>0</v>
      </c>
      <c r="L150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501">
        <f>GhanaStream[[#This Row],[Subscription Fee]]-(GhanaStream[[#This Row],[Discount]]*GhanaStream[[#This Row],[Subscription Fee]])</f>
        <v>500</v>
      </c>
      <c r="N1501" t="str">
        <f>IF(GhanaStream[[#This Row],[Churn Flag]]="Yes","Churned","Retained")</f>
        <v>Churned</v>
      </c>
    </row>
    <row r="1502" spans="1:14" x14ac:dyDescent="0.25">
      <c r="A1502" t="s">
        <v>1540</v>
      </c>
      <c r="B1502" s="1">
        <v>45142</v>
      </c>
      <c r="C1502" t="s">
        <v>12</v>
      </c>
      <c r="D1502" t="s">
        <v>27</v>
      </c>
      <c r="E1502">
        <v>16200</v>
      </c>
      <c r="F1502" t="s">
        <v>32</v>
      </c>
      <c r="G1502" t="s">
        <v>24</v>
      </c>
      <c r="H1502" t="s">
        <v>33</v>
      </c>
      <c r="I1502" t="s">
        <v>34</v>
      </c>
      <c r="J1502" t="s">
        <v>39</v>
      </c>
      <c r="K1502">
        <v>0.1</v>
      </c>
      <c r="L150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502">
        <f>GhanaStream[[#This Row],[Subscription Fee]]-(GhanaStream[[#This Row],[Discount]]*GhanaStream[[#This Row],[Subscription Fee]])</f>
        <v>14580</v>
      </c>
      <c r="N1502" t="str">
        <f>IF(GhanaStream[[#This Row],[Churn Flag]]="Yes","Churned","Retained")</f>
        <v>Retained</v>
      </c>
    </row>
    <row r="1503" spans="1:14" x14ac:dyDescent="0.25">
      <c r="A1503" t="s">
        <v>1541</v>
      </c>
      <c r="B1503" s="1">
        <v>45416</v>
      </c>
      <c r="C1503" t="s">
        <v>20</v>
      </c>
      <c r="D1503" t="s">
        <v>13</v>
      </c>
      <c r="E1503">
        <v>500</v>
      </c>
      <c r="F1503" t="s">
        <v>21</v>
      </c>
      <c r="G1503" t="s">
        <v>28</v>
      </c>
      <c r="H1503" t="s">
        <v>16</v>
      </c>
      <c r="I1503" t="s">
        <v>17</v>
      </c>
      <c r="J1503" t="s">
        <v>25</v>
      </c>
      <c r="K1503">
        <v>0</v>
      </c>
      <c r="L150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503">
        <f>GhanaStream[[#This Row],[Subscription Fee]]-(GhanaStream[[#This Row],[Discount]]*GhanaStream[[#This Row],[Subscription Fee]])</f>
        <v>500</v>
      </c>
      <c r="N1503" t="str">
        <f>IF(GhanaStream[[#This Row],[Churn Flag]]="Yes","Churned","Retained")</f>
        <v>Churned</v>
      </c>
    </row>
    <row r="1504" spans="1:14" x14ac:dyDescent="0.25">
      <c r="A1504" t="s">
        <v>1542</v>
      </c>
      <c r="B1504" s="1">
        <v>45396</v>
      </c>
      <c r="C1504" t="s">
        <v>20</v>
      </c>
      <c r="D1504" t="s">
        <v>27</v>
      </c>
      <c r="E1504">
        <v>5400</v>
      </c>
      <c r="F1504" t="s">
        <v>49</v>
      </c>
      <c r="G1504" t="s">
        <v>24</v>
      </c>
      <c r="H1504" t="s">
        <v>16</v>
      </c>
      <c r="I1504" t="s">
        <v>17</v>
      </c>
      <c r="J1504" t="s">
        <v>58</v>
      </c>
      <c r="K1504">
        <v>0.1</v>
      </c>
      <c r="L150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504">
        <f>GhanaStream[[#This Row],[Subscription Fee]]-(GhanaStream[[#This Row],[Discount]]*GhanaStream[[#This Row],[Subscription Fee]])</f>
        <v>4860</v>
      </c>
      <c r="N1504" t="str">
        <f>IF(GhanaStream[[#This Row],[Churn Flag]]="Yes","Churned","Retained")</f>
        <v>Churned</v>
      </c>
    </row>
    <row r="1505" spans="1:14" x14ac:dyDescent="0.25">
      <c r="A1505" t="s">
        <v>1543</v>
      </c>
      <c r="B1505" s="1">
        <v>44998</v>
      </c>
      <c r="C1505" t="s">
        <v>31</v>
      </c>
      <c r="D1505" t="s">
        <v>13</v>
      </c>
      <c r="E1505">
        <v>1000</v>
      </c>
      <c r="F1505" t="s">
        <v>49</v>
      </c>
      <c r="G1505" t="s">
        <v>28</v>
      </c>
      <c r="H1505" t="s">
        <v>16</v>
      </c>
      <c r="I1505" t="s">
        <v>17</v>
      </c>
      <c r="J1505" t="s">
        <v>50</v>
      </c>
      <c r="K1505">
        <v>0</v>
      </c>
      <c r="L150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505">
        <f>GhanaStream[[#This Row],[Subscription Fee]]-(GhanaStream[[#This Row],[Discount]]*GhanaStream[[#This Row],[Subscription Fee]])</f>
        <v>1000</v>
      </c>
      <c r="N1505" t="str">
        <f>IF(GhanaStream[[#This Row],[Churn Flag]]="Yes","Churned","Retained")</f>
        <v>Churned</v>
      </c>
    </row>
    <row r="1506" spans="1:14" x14ac:dyDescent="0.25">
      <c r="A1506" t="s">
        <v>1544</v>
      </c>
      <c r="B1506" s="1">
        <v>44937</v>
      </c>
      <c r="C1506" t="s">
        <v>12</v>
      </c>
      <c r="D1506" t="s">
        <v>13</v>
      </c>
      <c r="E1506">
        <v>1500</v>
      </c>
      <c r="F1506" t="s">
        <v>49</v>
      </c>
      <c r="G1506" t="s">
        <v>15</v>
      </c>
      <c r="H1506" t="s">
        <v>33</v>
      </c>
      <c r="I1506" t="s">
        <v>34</v>
      </c>
      <c r="J1506" t="s">
        <v>22</v>
      </c>
      <c r="K1506">
        <v>0</v>
      </c>
      <c r="L150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506">
        <f>GhanaStream[[#This Row],[Subscription Fee]]-(GhanaStream[[#This Row],[Discount]]*GhanaStream[[#This Row],[Subscription Fee]])</f>
        <v>1500</v>
      </c>
      <c r="N1506" t="str">
        <f>IF(GhanaStream[[#This Row],[Churn Flag]]="Yes","Churned","Retained")</f>
        <v>Retained</v>
      </c>
    </row>
    <row r="1507" spans="1:14" x14ac:dyDescent="0.25">
      <c r="A1507" t="s">
        <v>1545</v>
      </c>
      <c r="B1507" s="1">
        <v>45242</v>
      </c>
      <c r="C1507" t="s">
        <v>20</v>
      </c>
      <c r="D1507" t="s">
        <v>13</v>
      </c>
      <c r="E1507">
        <v>500</v>
      </c>
      <c r="F1507" t="s">
        <v>21</v>
      </c>
      <c r="G1507" t="s">
        <v>28</v>
      </c>
      <c r="H1507" t="s">
        <v>16</v>
      </c>
      <c r="I1507" t="s">
        <v>17</v>
      </c>
      <c r="J1507" t="s">
        <v>25</v>
      </c>
      <c r="K1507">
        <v>0</v>
      </c>
      <c r="L150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507">
        <f>GhanaStream[[#This Row],[Subscription Fee]]-(GhanaStream[[#This Row],[Discount]]*GhanaStream[[#This Row],[Subscription Fee]])</f>
        <v>500</v>
      </c>
      <c r="N1507" t="str">
        <f>IF(GhanaStream[[#This Row],[Churn Flag]]="Yes","Churned","Retained")</f>
        <v>Churned</v>
      </c>
    </row>
    <row r="1508" spans="1:14" x14ac:dyDescent="0.25">
      <c r="A1508" t="s">
        <v>1546</v>
      </c>
      <c r="B1508" s="1">
        <v>45276</v>
      </c>
      <c r="C1508" t="s">
        <v>20</v>
      </c>
      <c r="D1508" t="s">
        <v>13</v>
      </c>
      <c r="E1508">
        <v>500</v>
      </c>
      <c r="F1508" t="s">
        <v>49</v>
      </c>
      <c r="G1508" t="s">
        <v>28</v>
      </c>
      <c r="H1508" t="s">
        <v>33</v>
      </c>
      <c r="I1508" t="s">
        <v>34</v>
      </c>
      <c r="J1508" t="s">
        <v>18</v>
      </c>
      <c r="K1508">
        <v>0</v>
      </c>
      <c r="L150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508">
        <f>GhanaStream[[#This Row],[Subscription Fee]]-(GhanaStream[[#This Row],[Discount]]*GhanaStream[[#This Row],[Subscription Fee]])</f>
        <v>500</v>
      </c>
      <c r="N1508" t="str">
        <f>IF(GhanaStream[[#This Row],[Churn Flag]]="Yes","Churned","Retained")</f>
        <v>Retained</v>
      </c>
    </row>
    <row r="1509" spans="1:14" x14ac:dyDescent="0.25">
      <c r="A1509" t="s">
        <v>1547</v>
      </c>
      <c r="B1509" s="1">
        <v>45003</v>
      </c>
      <c r="C1509" t="s">
        <v>12</v>
      </c>
      <c r="D1509" t="s">
        <v>13</v>
      </c>
      <c r="E1509">
        <v>1500</v>
      </c>
      <c r="F1509" t="s">
        <v>49</v>
      </c>
      <c r="G1509" t="s">
        <v>28</v>
      </c>
      <c r="H1509" t="s">
        <v>33</v>
      </c>
      <c r="I1509" t="s">
        <v>34</v>
      </c>
      <c r="J1509" t="s">
        <v>22</v>
      </c>
      <c r="K1509">
        <v>0</v>
      </c>
      <c r="L150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509">
        <f>GhanaStream[[#This Row],[Subscription Fee]]-(GhanaStream[[#This Row],[Discount]]*GhanaStream[[#This Row],[Subscription Fee]])</f>
        <v>1500</v>
      </c>
      <c r="N1509" t="str">
        <f>IF(GhanaStream[[#This Row],[Churn Flag]]="Yes","Churned","Retained")</f>
        <v>Retained</v>
      </c>
    </row>
    <row r="1510" spans="1:14" x14ac:dyDescent="0.25">
      <c r="A1510" t="s">
        <v>1548</v>
      </c>
      <c r="B1510" s="1">
        <v>45601</v>
      </c>
      <c r="C1510" t="s">
        <v>31</v>
      </c>
      <c r="D1510" t="s">
        <v>27</v>
      </c>
      <c r="E1510">
        <v>10800</v>
      </c>
      <c r="F1510" t="s">
        <v>49</v>
      </c>
      <c r="G1510" t="s">
        <v>28</v>
      </c>
      <c r="H1510" t="s">
        <v>33</v>
      </c>
      <c r="I1510" t="s">
        <v>34</v>
      </c>
      <c r="J1510" t="s">
        <v>58</v>
      </c>
      <c r="K1510">
        <v>0.1</v>
      </c>
      <c r="L151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510">
        <f>GhanaStream[[#This Row],[Subscription Fee]]-(GhanaStream[[#This Row],[Discount]]*GhanaStream[[#This Row],[Subscription Fee]])</f>
        <v>9720</v>
      </c>
      <c r="N1510" t="str">
        <f>IF(GhanaStream[[#This Row],[Churn Flag]]="Yes","Churned","Retained")</f>
        <v>Retained</v>
      </c>
    </row>
    <row r="1511" spans="1:14" x14ac:dyDescent="0.25">
      <c r="A1511" t="s">
        <v>1549</v>
      </c>
      <c r="B1511" s="1">
        <v>45118</v>
      </c>
      <c r="C1511" t="s">
        <v>12</v>
      </c>
      <c r="D1511" t="s">
        <v>13</v>
      </c>
      <c r="E1511">
        <v>1500</v>
      </c>
      <c r="F1511" t="s">
        <v>49</v>
      </c>
      <c r="G1511" t="s">
        <v>24</v>
      </c>
      <c r="H1511" t="s">
        <v>16</v>
      </c>
      <c r="I1511" t="s">
        <v>17</v>
      </c>
      <c r="J1511" t="s">
        <v>25</v>
      </c>
      <c r="K1511">
        <v>0</v>
      </c>
      <c r="L151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511">
        <f>GhanaStream[[#This Row],[Subscription Fee]]-(GhanaStream[[#This Row],[Discount]]*GhanaStream[[#This Row],[Subscription Fee]])</f>
        <v>1500</v>
      </c>
      <c r="N1511" t="str">
        <f>IF(GhanaStream[[#This Row],[Churn Flag]]="Yes","Churned","Retained")</f>
        <v>Churned</v>
      </c>
    </row>
    <row r="1512" spans="1:14" x14ac:dyDescent="0.25">
      <c r="A1512" t="s">
        <v>1550</v>
      </c>
      <c r="B1512" s="1">
        <v>45563</v>
      </c>
      <c r="C1512" t="s">
        <v>31</v>
      </c>
      <c r="D1512" t="s">
        <v>13</v>
      </c>
      <c r="E1512">
        <v>1000</v>
      </c>
      <c r="F1512" t="s">
        <v>14</v>
      </c>
      <c r="G1512" t="s">
        <v>24</v>
      </c>
      <c r="H1512" t="s">
        <v>33</v>
      </c>
      <c r="I1512" t="s">
        <v>34</v>
      </c>
      <c r="J1512" t="s">
        <v>41</v>
      </c>
      <c r="K1512">
        <v>0</v>
      </c>
      <c r="L151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512">
        <f>GhanaStream[[#This Row],[Subscription Fee]]-(GhanaStream[[#This Row],[Discount]]*GhanaStream[[#This Row],[Subscription Fee]])</f>
        <v>1000</v>
      </c>
      <c r="N1512" t="str">
        <f>IF(GhanaStream[[#This Row],[Churn Flag]]="Yes","Churned","Retained")</f>
        <v>Retained</v>
      </c>
    </row>
    <row r="1513" spans="1:14" x14ac:dyDescent="0.25">
      <c r="A1513" t="s">
        <v>1551</v>
      </c>
      <c r="B1513" s="1">
        <v>45560</v>
      </c>
      <c r="C1513" t="s">
        <v>20</v>
      </c>
      <c r="D1513" t="s">
        <v>27</v>
      </c>
      <c r="E1513">
        <v>5400</v>
      </c>
      <c r="F1513" t="s">
        <v>49</v>
      </c>
      <c r="G1513" t="s">
        <v>15</v>
      </c>
      <c r="H1513" t="s">
        <v>33</v>
      </c>
      <c r="I1513" t="s">
        <v>34</v>
      </c>
      <c r="J1513" t="s">
        <v>18</v>
      </c>
      <c r="K1513">
        <v>0.1</v>
      </c>
      <c r="L151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513">
        <f>GhanaStream[[#This Row],[Subscription Fee]]-(GhanaStream[[#This Row],[Discount]]*GhanaStream[[#This Row],[Subscription Fee]])</f>
        <v>4860</v>
      </c>
      <c r="N1513" t="str">
        <f>IF(GhanaStream[[#This Row],[Churn Flag]]="Yes","Churned","Retained")</f>
        <v>Retained</v>
      </c>
    </row>
    <row r="1514" spans="1:14" x14ac:dyDescent="0.25">
      <c r="A1514" t="s">
        <v>1552</v>
      </c>
      <c r="B1514" s="1">
        <v>45619</v>
      </c>
      <c r="C1514" t="s">
        <v>12</v>
      </c>
      <c r="D1514" t="s">
        <v>13</v>
      </c>
      <c r="E1514">
        <v>1500</v>
      </c>
      <c r="F1514" t="s">
        <v>14</v>
      </c>
      <c r="G1514" t="s">
        <v>24</v>
      </c>
      <c r="H1514" t="s">
        <v>33</v>
      </c>
      <c r="I1514" t="s">
        <v>34</v>
      </c>
      <c r="J1514" t="s">
        <v>55</v>
      </c>
      <c r="K1514">
        <v>0</v>
      </c>
      <c r="L151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514">
        <f>GhanaStream[[#This Row],[Subscription Fee]]-(GhanaStream[[#This Row],[Discount]]*GhanaStream[[#This Row],[Subscription Fee]])</f>
        <v>1500</v>
      </c>
      <c r="N1514" t="str">
        <f>IF(GhanaStream[[#This Row],[Churn Flag]]="Yes","Churned","Retained")</f>
        <v>Retained</v>
      </c>
    </row>
    <row r="1515" spans="1:14" x14ac:dyDescent="0.25">
      <c r="A1515" t="s">
        <v>1553</v>
      </c>
      <c r="B1515" s="1">
        <v>45122</v>
      </c>
      <c r="C1515" t="s">
        <v>12</v>
      </c>
      <c r="D1515" t="s">
        <v>27</v>
      </c>
      <c r="E1515">
        <v>16200</v>
      </c>
      <c r="F1515" t="s">
        <v>49</v>
      </c>
      <c r="G1515" t="s">
        <v>15</v>
      </c>
      <c r="H1515" t="s">
        <v>33</v>
      </c>
      <c r="I1515" t="s">
        <v>34</v>
      </c>
      <c r="J1515" t="s">
        <v>50</v>
      </c>
      <c r="K1515">
        <v>0.1</v>
      </c>
      <c r="L151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515">
        <f>GhanaStream[[#This Row],[Subscription Fee]]-(GhanaStream[[#This Row],[Discount]]*GhanaStream[[#This Row],[Subscription Fee]])</f>
        <v>14580</v>
      </c>
      <c r="N1515" t="str">
        <f>IF(GhanaStream[[#This Row],[Churn Flag]]="Yes","Churned","Retained")</f>
        <v>Retained</v>
      </c>
    </row>
    <row r="1516" spans="1:14" x14ac:dyDescent="0.25">
      <c r="A1516" t="s">
        <v>1554</v>
      </c>
      <c r="B1516" s="1">
        <v>45021</v>
      </c>
      <c r="C1516" t="s">
        <v>20</v>
      </c>
      <c r="D1516" t="s">
        <v>27</v>
      </c>
      <c r="E1516">
        <v>5400</v>
      </c>
      <c r="F1516" t="s">
        <v>21</v>
      </c>
      <c r="G1516" t="s">
        <v>24</v>
      </c>
      <c r="H1516" t="s">
        <v>16</v>
      </c>
      <c r="I1516" t="s">
        <v>17</v>
      </c>
      <c r="J1516" t="s">
        <v>22</v>
      </c>
      <c r="K1516">
        <v>0.1</v>
      </c>
      <c r="L151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516">
        <f>GhanaStream[[#This Row],[Subscription Fee]]-(GhanaStream[[#This Row],[Discount]]*GhanaStream[[#This Row],[Subscription Fee]])</f>
        <v>4860</v>
      </c>
      <c r="N1516" t="str">
        <f>IF(GhanaStream[[#This Row],[Churn Flag]]="Yes","Churned","Retained")</f>
        <v>Churned</v>
      </c>
    </row>
    <row r="1517" spans="1:14" x14ac:dyDescent="0.25">
      <c r="A1517" t="s">
        <v>1555</v>
      </c>
      <c r="B1517" s="1">
        <v>45433</v>
      </c>
      <c r="C1517" t="s">
        <v>31</v>
      </c>
      <c r="D1517" t="s">
        <v>27</v>
      </c>
      <c r="E1517">
        <v>10800</v>
      </c>
      <c r="F1517" t="s">
        <v>21</v>
      </c>
      <c r="G1517" t="s">
        <v>28</v>
      </c>
      <c r="H1517" t="s">
        <v>33</v>
      </c>
      <c r="I1517" t="s">
        <v>34</v>
      </c>
      <c r="J1517" t="s">
        <v>29</v>
      </c>
      <c r="K1517">
        <v>0.1</v>
      </c>
      <c r="L151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517">
        <f>GhanaStream[[#This Row],[Subscription Fee]]-(GhanaStream[[#This Row],[Discount]]*GhanaStream[[#This Row],[Subscription Fee]])</f>
        <v>9720</v>
      </c>
      <c r="N1517" t="str">
        <f>IF(GhanaStream[[#This Row],[Churn Flag]]="Yes","Churned","Retained")</f>
        <v>Retained</v>
      </c>
    </row>
    <row r="1518" spans="1:14" x14ac:dyDescent="0.25">
      <c r="A1518" t="s">
        <v>1556</v>
      </c>
      <c r="B1518" s="1">
        <v>45338</v>
      </c>
      <c r="C1518" t="s">
        <v>20</v>
      </c>
      <c r="D1518" t="s">
        <v>13</v>
      </c>
      <c r="E1518">
        <v>500</v>
      </c>
      <c r="F1518" t="s">
        <v>32</v>
      </c>
      <c r="G1518" t="s">
        <v>15</v>
      </c>
      <c r="H1518" t="s">
        <v>16</v>
      </c>
      <c r="I1518" t="s">
        <v>17</v>
      </c>
      <c r="J1518" t="s">
        <v>25</v>
      </c>
      <c r="K1518">
        <v>0</v>
      </c>
      <c r="L151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518">
        <f>GhanaStream[[#This Row],[Subscription Fee]]-(GhanaStream[[#This Row],[Discount]]*GhanaStream[[#This Row],[Subscription Fee]])</f>
        <v>500</v>
      </c>
      <c r="N1518" t="str">
        <f>IF(GhanaStream[[#This Row],[Churn Flag]]="Yes","Churned","Retained")</f>
        <v>Churned</v>
      </c>
    </row>
    <row r="1519" spans="1:14" x14ac:dyDescent="0.25">
      <c r="A1519" t="s">
        <v>1557</v>
      </c>
      <c r="B1519" s="1">
        <v>45212</v>
      </c>
      <c r="C1519" t="s">
        <v>12</v>
      </c>
      <c r="D1519" t="s">
        <v>27</v>
      </c>
      <c r="E1519">
        <v>16200</v>
      </c>
      <c r="F1519" t="s">
        <v>21</v>
      </c>
      <c r="G1519" t="s">
        <v>15</v>
      </c>
      <c r="H1519" t="s">
        <v>16</v>
      </c>
      <c r="I1519" t="s">
        <v>17</v>
      </c>
      <c r="J1519" t="s">
        <v>22</v>
      </c>
      <c r="K1519">
        <v>0.1</v>
      </c>
      <c r="L151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519">
        <f>GhanaStream[[#This Row],[Subscription Fee]]-(GhanaStream[[#This Row],[Discount]]*GhanaStream[[#This Row],[Subscription Fee]])</f>
        <v>14580</v>
      </c>
      <c r="N1519" t="str">
        <f>IF(GhanaStream[[#This Row],[Churn Flag]]="Yes","Churned","Retained")</f>
        <v>Churned</v>
      </c>
    </row>
    <row r="1520" spans="1:14" x14ac:dyDescent="0.25">
      <c r="A1520" t="s">
        <v>1558</v>
      </c>
      <c r="B1520" s="1">
        <v>45349</v>
      </c>
      <c r="C1520" t="s">
        <v>12</v>
      </c>
      <c r="D1520" t="s">
        <v>27</v>
      </c>
      <c r="E1520">
        <v>16200</v>
      </c>
      <c r="F1520" t="s">
        <v>32</v>
      </c>
      <c r="G1520" t="s">
        <v>15</v>
      </c>
      <c r="H1520" t="s">
        <v>33</v>
      </c>
      <c r="I1520" t="s">
        <v>34</v>
      </c>
      <c r="J1520" t="s">
        <v>25</v>
      </c>
      <c r="K1520">
        <v>0.1</v>
      </c>
      <c r="L152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520">
        <f>GhanaStream[[#This Row],[Subscription Fee]]-(GhanaStream[[#This Row],[Discount]]*GhanaStream[[#This Row],[Subscription Fee]])</f>
        <v>14580</v>
      </c>
      <c r="N1520" t="str">
        <f>IF(GhanaStream[[#This Row],[Churn Flag]]="Yes","Churned","Retained")</f>
        <v>Retained</v>
      </c>
    </row>
    <row r="1521" spans="1:14" x14ac:dyDescent="0.25">
      <c r="A1521" t="s">
        <v>1559</v>
      </c>
      <c r="B1521" s="1">
        <v>45299</v>
      </c>
      <c r="C1521" t="s">
        <v>31</v>
      </c>
      <c r="D1521" t="s">
        <v>27</v>
      </c>
      <c r="E1521">
        <v>10800</v>
      </c>
      <c r="F1521" t="s">
        <v>21</v>
      </c>
      <c r="G1521" t="s">
        <v>24</v>
      </c>
      <c r="H1521" t="s">
        <v>16</v>
      </c>
      <c r="I1521" t="s">
        <v>17</v>
      </c>
      <c r="J1521" t="s">
        <v>18</v>
      </c>
      <c r="K1521">
        <v>0.1</v>
      </c>
      <c r="L152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521">
        <f>GhanaStream[[#This Row],[Subscription Fee]]-(GhanaStream[[#This Row],[Discount]]*GhanaStream[[#This Row],[Subscription Fee]])</f>
        <v>9720</v>
      </c>
      <c r="N1521" t="str">
        <f>IF(GhanaStream[[#This Row],[Churn Flag]]="Yes","Churned","Retained")</f>
        <v>Churned</v>
      </c>
    </row>
    <row r="1522" spans="1:14" x14ac:dyDescent="0.25">
      <c r="A1522" t="s">
        <v>1560</v>
      </c>
      <c r="B1522" s="1">
        <v>45432</v>
      </c>
      <c r="C1522" t="s">
        <v>20</v>
      </c>
      <c r="D1522" t="s">
        <v>27</v>
      </c>
      <c r="E1522">
        <v>5400</v>
      </c>
      <c r="F1522" t="s">
        <v>14</v>
      </c>
      <c r="G1522" t="s">
        <v>28</v>
      </c>
      <c r="H1522" t="s">
        <v>33</v>
      </c>
      <c r="I1522" t="s">
        <v>34</v>
      </c>
      <c r="J1522" t="s">
        <v>55</v>
      </c>
      <c r="K1522">
        <v>0.1</v>
      </c>
      <c r="L152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522">
        <f>GhanaStream[[#This Row],[Subscription Fee]]-(GhanaStream[[#This Row],[Discount]]*GhanaStream[[#This Row],[Subscription Fee]])</f>
        <v>4860</v>
      </c>
      <c r="N1522" t="str">
        <f>IF(GhanaStream[[#This Row],[Churn Flag]]="Yes","Churned","Retained")</f>
        <v>Retained</v>
      </c>
    </row>
    <row r="1523" spans="1:14" x14ac:dyDescent="0.25">
      <c r="A1523" t="s">
        <v>1561</v>
      </c>
      <c r="B1523" s="1">
        <v>45418</v>
      </c>
      <c r="C1523" t="s">
        <v>20</v>
      </c>
      <c r="D1523" t="s">
        <v>13</v>
      </c>
      <c r="E1523">
        <v>500</v>
      </c>
      <c r="F1523" t="s">
        <v>32</v>
      </c>
      <c r="G1523" t="s">
        <v>24</v>
      </c>
      <c r="H1523" t="s">
        <v>16</v>
      </c>
      <c r="I1523" t="s">
        <v>17</v>
      </c>
      <c r="J1523" t="s">
        <v>25</v>
      </c>
      <c r="K1523">
        <v>0</v>
      </c>
      <c r="L152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523">
        <f>GhanaStream[[#This Row],[Subscription Fee]]-(GhanaStream[[#This Row],[Discount]]*GhanaStream[[#This Row],[Subscription Fee]])</f>
        <v>500</v>
      </c>
      <c r="N1523" t="str">
        <f>IF(GhanaStream[[#This Row],[Churn Flag]]="Yes","Churned","Retained")</f>
        <v>Churned</v>
      </c>
    </row>
    <row r="1524" spans="1:14" x14ac:dyDescent="0.25">
      <c r="A1524" t="s">
        <v>1562</v>
      </c>
      <c r="B1524" s="1">
        <v>45620</v>
      </c>
      <c r="C1524" t="s">
        <v>12</v>
      </c>
      <c r="D1524" t="s">
        <v>13</v>
      </c>
      <c r="E1524">
        <v>1500</v>
      </c>
      <c r="F1524" t="s">
        <v>32</v>
      </c>
      <c r="G1524" t="s">
        <v>24</v>
      </c>
      <c r="H1524" t="s">
        <v>33</v>
      </c>
      <c r="I1524" t="s">
        <v>34</v>
      </c>
      <c r="J1524" t="s">
        <v>39</v>
      </c>
      <c r="K1524">
        <v>0</v>
      </c>
      <c r="L152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524">
        <f>GhanaStream[[#This Row],[Subscription Fee]]-(GhanaStream[[#This Row],[Discount]]*GhanaStream[[#This Row],[Subscription Fee]])</f>
        <v>1500</v>
      </c>
      <c r="N1524" t="str">
        <f>IF(GhanaStream[[#This Row],[Churn Flag]]="Yes","Churned","Retained")</f>
        <v>Retained</v>
      </c>
    </row>
    <row r="1525" spans="1:14" x14ac:dyDescent="0.25">
      <c r="A1525" t="s">
        <v>1563</v>
      </c>
      <c r="B1525" s="1">
        <v>45577</v>
      </c>
      <c r="C1525" t="s">
        <v>20</v>
      </c>
      <c r="D1525" t="s">
        <v>13</v>
      </c>
      <c r="E1525">
        <v>500</v>
      </c>
      <c r="F1525" t="s">
        <v>32</v>
      </c>
      <c r="G1525" t="s">
        <v>24</v>
      </c>
      <c r="H1525" t="s">
        <v>16</v>
      </c>
      <c r="I1525" t="s">
        <v>17</v>
      </c>
      <c r="J1525" t="s">
        <v>25</v>
      </c>
      <c r="K1525">
        <v>0</v>
      </c>
      <c r="L152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525">
        <f>GhanaStream[[#This Row],[Subscription Fee]]-(GhanaStream[[#This Row],[Discount]]*GhanaStream[[#This Row],[Subscription Fee]])</f>
        <v>500</v>
      </c>
      <c r="N1525" t="str">
        <f>IF(GhanaStream[[#This Row],[Churn Flag]]="Yes","Churned","Retained")</f>
        <v>Churned</v>
      </c>
    </row>
    <row r="1526" spans="1:14" x14ac:dyDescent="0.25">
      <c r="A1526" t="s">
        <v>1564</v>
      </c>
      <c r="B1526" s="1">
        <v>44933</v>
      </c>
      <c r="C1526" t="s">
        <v>12</v>
      </c>
      <c r="D1526" t="s">
        <v>27</v>
      </c>
      <c r="E1526">
        <v>16200</v>
      </c>
      <c r="F1526" t="s">
        <v>49</v>
      </c>
      <c r="G1526" t="s">
        <v>24</v>
      </c>
      <c r="H1526" t="s">
        <v>33</v>
      </c>
      <c r="I1526" t="s">
        <v>34</v>
      </c>
      <c r="J1526" t="s">
        <v>58</v>
      </c>
      <c r="K1526">
        <v>0.1</v>
      </c>
      <c r="L152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526">
        <f>GhanaStream[[#This Row],[Subscription Fee]]-(GhanaStream[[#This Row],[Discount]]*GhanaStream[[#This Row],[Subscription Fee]])</f>
        <v>14580</v>
      </c>
      <c r="N1526" t="str">
        <f>IF(GhanaStream[[#This Row],[Churn Flag]]="Yes","Churned","Retained")</f>
        <v>Retained</v>
      </c>
    </row>
    <row r="1527" spans="1:14" x14ac:dyDescent="0.25">
      <c r="A1527" t="s">
        <v>1565</v>
      </c>
      <c r="B1527" s="1">
        <v>45590</v>
      </c>
      <c r="C1527" t="s">
        <v>12</v>
      </c>
      <c r="D1527" t="s">
        <v>27</v>
      </c>
      <c r="E1527">
        <v>16200</v>
      </c>
      <c r="F1527" t="s">
        <v>49</v>
      </c>
      <c r="G1527" t="s">
        <v>28</v>
      </c>
      <c r="H1527" t="s">
        <v>33</v>
      </c>
      <c r="I1527" t="s">
        <v>34</v>
      </c>
      <c r="J1527" t="s">
        <v>22</v>
      </c>
      <c r="K1527">
        <v>0.1</v>
      </c>
      <c r="L152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527">
        <f>GhanaStream[[#This Row],[Subscription Fee]]-(GhanaStream[[#This Row],[Discount]]*GhanaStream[[#This Row],[Subscription Fee]])</f>
        <v>14580</v>
      </c>
      <c r="N1527" t="str">
        <f>IF(GhanaStream[[#This Row],[Churn Flag]]="Yes","Churned","Retained")</f>
        <v>Retained</v>
      </c>
    </row>
    <row r="1528" spans="1:14" x14ac:dyDescent="0.25">
      <c r="A1528" t="s">
        <v>1566</v>
      </c>
      <c r="B1528" s="1">
        <v>45446</v>
      </c>
      <c r="C1528" t="s">
        <v>31</v>
      </c>
      <c r="D1528" t="s">
        <v>27</v>
      </c>
      <c r="E1528">
        <v>10800</v>
      </c>
      <c r="F1528" t="s">
        <v>49</v>
      </c>
      <c r="G1528" t="s">
        <v>24</v>
      </c>
      <c r="H1528" t="s">
        <v>33</v>
      </c>
      <c r="I1528" t="s">
        <v>34</v>
      </c>
      <c r="J1528" t="s">
        <v>25</v>
      </c>
      <c r="K1528">
        <v>0.1</v>
      </c>
      <c r="L152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528">
        <f>GhanaStream[[#This Row],[Subscription Fee]]-(GhanaStream[[#This Row],[Discount]]*GhanaStream[[#This Row],[Subscription Fee]])</f>
        <v>9720</v>
      </c>
      <c r="N1528" t="str">
        <f>IF(GhanaStream[[#This Row],[Churn Flag]]="Yes","Churned","Retained")</f>
        <v>Retained</v>
      </c>
    </row>
    <row r="1529" spans="1:14" x14ac:dyDescent="0.25">
      <c r="A1529" t="s">
        <v>1567</v>
      </c>
      <c r="B1529" s="1">
        <v>45592</v>
      </c>
      <c r="C1529" t="s">
        <v>31</v>
      </c>
      <c r="D1529" t="s">
        <v>27</v>
      </c>
      <c r="E1529">
        <v>10800</v>
      </c>
      <c r="F1529" t="s">
        <v>49</v>
      </c>
      <c r="G1529" t="s">
        <v>15</v>
      </c>
      <c r="H1529" t="s">
        <v>33</v>
      </c>
      <c r="I1529" t="s">
        <v>34</v>
      </c>
      <c r="J1529" t="s">
        <v>18</v>
      </c>
      <c r="K1529">
        <v>0.1</v>
      </c>
      <c r="L152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529">
        <f>GhanaStream[[#This Row],[Subscription Fee]]-(GhanaStream[[#This Row],[Discount]]*GhanaStream[[#This Row],[Subscription Fee]])</f>
        <v>9720</v>
      </c>
      <c r="N1529" t="str">
        <f>IF(GhanaStream[[#This Row],[Churn Flag]]="Yes","Churned","Retained")</f>
        <v>Retained</v>
      </c>
    </row>
    <row r="1530" spans="1:14" x14ac:dyDescent="0.25">
      <c r="A1530" t="s">
        <v>1568</v>
      </c>
      <c r="B1530" s="1">
        <v>45121</v>
      </c>
      <c r="C1530" t="s">
        <v>12</v>
      </c>
      <c r="D1530" t="s">
        <v>27</v>
      </c>
      <c r="E1530">
        <v>16200</v>
      </c>
      <c r="F1530" t="s">
        <v>21</v>
      </c>
      <c r="G1530" t="s">
        <v>28</v>
      </c>
      <c r="H1530" t="s">
        <v>33</v>
      </c>
      <c r="I1530" t="s">
        <v>34</v>
      </c>
      <c r="J1530" t="s">
        <v>25</v>
      </c>
      <c r="K1530">
        <v>0.1</v>
      </c>
      <c r="L153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530">
        <f>GhanaStream[[#This Row],[Subscription Fee]]-(GhanaStream[[#This Row],[Discount]]*GhanaStream[[#This Row],[Subscription Fee]])</f>
        <v>14580</v>
      </c>
      <c r="N1530" t="str">
        <f>IF(GhanaStream[[#This Row],[Churn Flag]]="Yes","Churned","Retained")</f>
        <v>Retained</v>
      </c>
    </row>
    <row r="1531" spans="1:14" x14ac:dyDescent="0.25">
      <c r="A1531" t="s">
        <v>1569</v>
      </c>
      <c r="B1531" s="1">
        <v>45468</v>
      </c>
      <c r="C1531" t="s">
        <v>31</v>
      </c>
      <c r="D1531" t="s">
        <v>27</v>
      </c>
      <c r="E1531">
        <v>10800</v>
      </c>
      <c r="F1531" t="s">
        <v>32</v>
      </c>
      <c r="G1531" t="s">
        <v>15</v>
      </c>
      <c r="H1531" t="s">
        <v>33</v>
      </c>
      <c r="I1531" t="s">
        <v>34</v>
      </c>
      <c r="J1531" t="s">
        <v>25</v>
      </c>
      <c r="K1531">
        <v>0.1</v>
      </c>
      <c r="L153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531">
        <f>GhanaStream[[#This Row],[Subscription Fee]]-(GhanaStream[[#This Row],[Discount]]*GhanaStream[[#This Row],[Subscription Fee]])</f>
        <v>9720</v>
      </c>
      <c r="N1531" t="str">
        <f>IF(GhanaStream[[#This Row],[Churn Flag]]="Yes","Churned","Retained")</f>
        <v>Retained</v>
      </c>
    </row>
    <row r="1532" spans="1:14" x14ac:dyDescent="0.25">
      <c r="A1532" t="s">
        <v>1570</v>
      </c>
      <c r="B1532" s="1">
        <v>44994</v>
      </c>
      <c r="C1532" t="s">
        <v>31</v>
      </c>
      <c r="D1532" t="s">
        <v>27</v>
      </c>
      <c r="E1532">
        <v>10800</v>
      </c>
      <c r="F1532" t="s">
        <v>21</v>
      </c>
      <c r="G1532" t="s">
        <v>28</v>
      </c>
      <c r="H1532" t="s">
        <v>16</v>
      </c>
      <c r="I1532" t="s">
        <v>17</v>
      </c>
      <c r="J1532" t="s">
        <v>29</v>
      </c>
      <c r="K1532">
        <v>0.1</v>
      </c>
      <c r="L153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532">
        <f>GhanaStream[[#This Row],[Subscription Fee]]-(GhanaStream[[#This Row],[Discount]]*GhanaStream[[#This Row],[Subscription Fee]])</f>
        <v>9720</v>
      </c>
      <c r="N1532" t="str">
        <f>IF(GhanaStream[[#This Row],[Churn Flag]]="Yes","Churned","Retained")</f>
        <v>Churned</v>
      </c>
    </row>
    <row r="1533" spans="1:14" x14ac:dyDescent="0.25">
      <c r="A1533" t="s">
        <v>1571</v>
      </c>
      <c r="B1533" s="1">
        <v>45407</v>
      </c>
      <c r="C1533" t="s">
        <v>31</v>
      </c>
      <c r="D1533" t="s">
        <v>27</v>
      </c>
      <c r="E1533">
        <v>10800</v>
      </c>
      <c r="F1533" t="s">
        <v>49</v>
      </c>
      <c r="G1533" t="s">
        <v>28</v>
      </c>
      <c r="H1533" t="s">
        <v>16</v>
      </c>
      <c r="I1533" t="s">
        <v>17</v>
      </c>
      <c r="J1533" t="s">
        <v>25</v>
      </c>
      <c r="K1533">
        <v>0.1</v>
      </c>
      <c r="L153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533">
        <f>GhanaStream[[#This Row],[Subscription Fee]]-(GhanaStream[[#This Row],[Discount]]*GhanaStream[[#This Row],[Subscription Fee]])</f>
        <v>9720</v>
      </c>
      <c r="N1533" t="str">
        <f>IF(GhanaStream[[#This Row],[Churn Flag]]="Yes","Churned","Retained")</f>
        <v>Churned</v>
      </c>
    </row>
    <row r="1534" spans="1:14" x14ac:dyDescent="0.25">
      <c r="A1534" t="s">
        <v>1572</v>
      </c>
      <c r="B1534" s="1">
        <v>45060</v>
      </c>
      <c r="C1534" t="s">
        <v>12</v>
      </c>
      <c r="D1534" t="s">
        <v>13</v>
      </c>
      <c r="E1534">
        <v>1500</v>
      </c>
      <c r="F1534" t="s">
        <v>49</v>
      </c>
      <c r="G1534" t="s">
        <v>15</v>
      </c>
      <c r="H1534" t="s">
        <v>33</v>
      </c>
      <c r="I1534" t="s">
        <v>34</v>
      </c>
      <c r="J1534" t="s">
        <v>50</v>
      </c>
      <c r="K1534">
        <v>0</v>
      </c>
      <c r="L153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534">
        <f>GhanaStream[[#This Row],[Subscription Fee]]-(GhanaStream[[#This Row],[Discount]]*GhanaStream[[#This Row],[Subscription Fee]])</f>
        <v>1500</v>
      </c>
      <c r="N1534" t="str">
        <f>IF(GhanaStream[[#This Row],[Churn Flag]]="Yes","Churned","Retained")</f>
        <v>Retained</v>
      </c>
    </row>
    <row r="1535" spans="1:14" x14ac:dyDescent="0.25">
      <c r="A1535" t="s">
        <v>1573</v>
      </c>
      <c r="B1535" s="1">
        <v>45394</v>
      </c>
      <c r="C1535" t="s">
        <v>20</v>
      </c>
      <c r="D1535" t="s">
        <v>27</v>
      </c>
      <c r="E1535">
        <v>5400</v>
      </c>
      <c r="F1535" t="s">
        <v>14</v>
      </c>
      <c r="G1535" t="s">
        <v>28</v>
      </c>
      <c r="H1535" t="s">
        <v>16</v>
      </c>
      <c r="I1535" t="s">
        <v>17</v>
      </c>
      <c r="J1535" t="s">
        <v>37</v>
      </c>
      <c r="K1535">
        <v>0.1</v>
      </c>
      <c r="L153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535">
        <f>GhanaStream[[#This Row],[Subscription Fee]]-(GhanaStream[[#This Row],[Discount]]*GhanaStream[[#This Row],[Subscription Fee]])</f>
        <v>4860</v>
      </c>
      <c r="N1535" t="str">
        <f>IF(GhanaStream[[#This Row],[Churn Flag]]="Yes","Churned","Retained")</f>
        <v>Churned</v>
      </c>
    </row>
    <row r="1536" spans="1:14" x14ac:dyDescent="0.25">
      <c r="A1536" t="s">
        <v>1574</v>
      </c>
      <c r="B1536" s="1">
        <v>45085</v>
      </c>
      <c r="C1536" t="s">
        <v>20</v>
      </c>
      <c r="D1536" t="s">
        <v>27</v>
      </c>
      <c r="E1536">
        <v>5400</v>
      </c>
      <c r="F1536" t="s">
        <v>32</v>
      </c>
      <c r="G1536" t="s">
        <v>15</v>
      </c>
      <c r="H1536" t="s">
        <v>33</v>
      </c>
      <c r="I1536" t="s">
        <v>34</v>
      </c>
      <c r="J1536" t="s">
        <v>66</v>
      </c>
      <c r="K1536">
        <v>0.1</v>
      </c>
      <c r="L153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536">
        <f>GhanaStream[[#This Row],[Subscription Fee]]-(GhanaStream[[#This Row],[Discount]]*GhanaStream[[#This Row],[Subscription Fee]])</f>
        <v>4860</v>
      </c>
      <c r="N1536" t="str">
        <f>IF(GhanaStream[[#This Row],[Churn Flag]]="Yes","Churned","Retained")</f>
        <v>Retained</v>
      </c>
    </row>
    <row r="1537" spans="1:14" x14ac:dyDescent="0.25">
      <c r="A1537" t="s">
        <v>1575</v>
      </c>
      <c r="B1537" s="1">
        <v>45014</v>
      </c>
      <c r="C1537" t="s">
        <v>20</v>
      </c>
      <c r="D1537" t="s">
        <v>13</v>
      </c>
      <c r="E1537">
        <v>500</v>
      </c>
      <c r="F1537" t="s">
        <v>32</v>
      </c>
      <c r="G1537" t="s">
        <v>28</v>
      </c>
      <c r="H1537" t="s">
        <v>16</v>
      </c>
      <c r="I1537" t="s">
        <v>17</v>
      </c>
      <c r="J1537" t="s">
        <v>66</v>
      </c>
      <c r="K1537">
        <v>0</v>
      </c>
      <c r="L153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537">
        <f>GhanaStream[[#This Row],[Subscription Fee]]-(GhanaStream[[#This Row],[Discount]]*GhanaStream[[#This Row],[Subscription Fee]])</f>
        <v>500</v>
      </c>
      <c r="N1537" t="str">
        <f>IF(GhanaStream[[#This Row],[Churn Flag]]="Yes","Churned","Retained")</f>
        <v>Churned</v>
      </c>
    </row>
    <row r="1538" spans="1:14" x14ac:dyDescent="0.25">
      <c r="A1538" t="s">
        <v>1576</v>
      </c>
      <c r="B1538" s="1">
        <v>45101</v>
      </c>
      <c r="C1538" t="s">
        <v>20</v>
      </c>
      <c r="D1538" t="s">
        <v>27</v>
      </c>
      <c r="E1538">
        <v>5400</v>
      </c>
      <c r="F1538" t="s">
        <v>21</v>
      </c>
      <c r="G1538" t="s">
        <v>28</v>
      </c>
      <c r="H1538" t="s">
        <v>16</v>
      </c>
      <c r="I1538" t="s">
        <v>17</v>
      </c>
      <c r="J1538" t="s">
        <v>25</v>
      </c>
      <c r="K1538">
        <v>0.1</v>
      </c>
      <c r="L153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538">
        <f>GhanaStream[[#This Row],[Subscription Fee]]-(GhanaStream[[#This Row],[Discount]]*GhanaStream[[#This Row],[Subscription Fee]])</f>
        <v>4860</v>
      </c>
      <c r="N1538" t="str">
        <f>IF(GhanaStream[[#This Row],[Churn Flag]]="Yes","Churned","Retained")</f>
        <v>Churned</v>
      </c>
    </row>
    <row r="1539" spans="1:14" x14ac:dyDescent="0.25">
      <c r="A1539" t="s">
        <v>1577</v>
      </c>
      <c r="B1539" s="1">
        <v>45188</v>
      </c>
      <c r="C1539" t="s">
        <v>31</v>
      </c>
      <c r="D1539" t="s">
        <v>27</v>
      </c>
      <c r="E1539">
        <v>10800</v>
      </c>
      <c r="F1539" t="s">
        <v>32</v>
      </c>
      <c r="G1539" t="s">
        <v>28</v>
      </c>
      <c r="H1539" t="s">
        <v>16</v>
      </c>
      <c r="I1539" t="s">
        <v>17</v>
      </c>
      <c r="J1539" t="s">
        <v>66</v>
      </c>
      <c r="K1539">
        <v>0.1</v>
      </c>
      <c r="L153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539">
        <f>GhanaStream[[#This Row],[Subscription Fee]]-(GhanaStream[[#This Row],[Discount]]*GhanaStream[[#This Row],[Subscription Fee]])</f>
        <v>9720</v>
      </c>
      <c r="N1539" t="str">
        <f>IF(GhanaStream[[#This Row],[Churn Flag]]="Yes","Churned","Retained")</f>
        <v>Churned</v>
      </c>
    </row>
    <row r="1540" spans="1:14" x14ac:dyDescent="0.25">
      <c r="A1540" t="s">
        <v>1578</v>
      </c>
      <c r="B1540" s="1">
        <v>45005</v>
      </c>
      <c r="C1540" t="s">
        <v>20</v>
      </c>
      <c r="D1540" t="s">
        <v>13</v>
      </c>
      <c r="E1540">
        <v>500</v>
      </c>
      <c r="F1540" t="s">
        <v>49</v>
      </c>
      <c r="G1540" t="s">
        <v>28</v>
      </c>
      <c r="H1540" t="s">
        <v>33</v>
      </c>
      <c r="I1540" t="s">
        <v>34</v>
      </c>
      <c r="J1540" t="s">
        <v>50</v>
      </c>
      <c r="K1540">
        <v>0</v>
      </c>
      <c r="L154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540">
        <f>GhanaStream[[#This Row],[Subscription Fee]]-(GhanaStream[[#This Row],[Discount]]*GhanaStream[[#This Row],[Subscription Fee]])</f>
        <v>500</v>
      </c>
      <c r="N1540" t="str">
        <f>IF(GhanaStream[[#This Row],[Churn Flag]]="Yes","Churned","Retained")</f>
        <v>Retained</v>
      </c>
    </row>
    <row r="1541" spans="1:14" x14ac:dyDescent="0.25">
      <c r="A1541" t="s">
        <v>1579</v>
      </c>
      <c r="B1541" s="1">
        <v>45567</v>
      </c>
      <c r="C1541" t="s">
        <v>31</v>
      </c>
      <c r="D1541" t="s">
        <v>13</v>
      </c>
      <c r="E1541">
        <v>1000</v>
      </c>
      <c r="F1541" t="s">
        <v>21</v>
      </c>
      <c r="G1541" t="s">
        <v>28</v>
      </c>
      <c r="H1541" t="s">
        <v>16</v>
      </c>
      <c r="I1541" t="s">
        <v>17</v>
      </c>
      <c r="J1541" t="s">
        <v>22</v>
      </c>
      <c r="K1541">
        <v>0</v>
      </c>
      <c r="L154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541">
        <f>GhanaStream[[#This Row],[Subscription Fee]]-(GhanaStream[[#This Row],[Discount]]*GhanaStream[[#This Row],[Subscription Fee]])</f>
        <v>1000</v>
      </c>
      <c r="N1541" t="str">
        <f>IF(GhanaStream[[#This Row],[Churn Flag]]="Yes","Churned","Retained")</f>
        <v>Churned</v>
      </c>
    </row>
    <row r="1542" spans="1:14" x14ac:dyDescent="0.25">
      <c r="A1542" t="s">
        <v>1580</v>
      </c>
      <c r="B1542" s="1">
        <v>45366</v>
      </c>
      <c r="C1542" t="s">
        <v>31</v>
      </c>
      <c r="D1542" t="s">
        <v>27</v>
      </c>
      <c r="E1542">
        <v>10800</v>
      </c>
      <c r="F1542" t="s">
        <v>32</v>
      </c>
      <c r="G1542" t="s">
        <v>28</v>
      </c>
      <c r="H1542" t="s">
        <v>16</v>
      </c>
      <c r="I1542" t="s">
        <v>17</v>
      </c>
      <c r="J1542" t="s">
        <v>25</v>
      </c>
      <c r="K1542">
        <v>0.1</v>
      </c>
      <c r="L154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542">
        <f>GhanaStream[[#This Row],[Subscription Fee]]-(GhanaStream[[#This Row],[Discount]]*GhanaStream[[#This Row],[Subscription Fee]])</f>
        <v>9720</v>
      </c>
      <c r="N1542" t="str">
        <f>IF(GhanaStream[[#This Row],[Churn Flag]]="Yes","Churned","Retained")</f>
        <v>Churned</v>
      </c>
    </row>
    <row r="1543" spans="1:14" x14ac:dyDescent="0.25">
      <c r="A1543" t="s">
        <v>1581</v>
      </c>
      <c r="B1543" s="1">
        <v>45205</v>
      </c>
      <c r="C1543" t="s">
        <v>20</v>
      </c>
      <c r="D1543" t="s">
        <v>27</v>
      </c>
      <c r="E1543">
        <v>5400</v>
      </c>
      <c r="F1543" t="s">
        <v>32</v>
      </c>
      <c r="G1543" t="s">
        <v>28</v>
      </c>
      <c r="H1543" t="s">
        <v>16</v>
      </c>
      <c r="I1543" t="s">
        <v>17</v>
      </c>
      <c r="J1543" t="s">
        <v>44</v>
      </c>
      <c r="K1543">
        <v>0.1</v>
      </c>
      <c r="L154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543">
        <f>GhanaStream[[#This Row],[Subscription Fee]]-(GhanaStream[[#This Row],[Discount]]*GhanaStream[[#This Row],[Subscription Fee]])</f>
        <v>4860</v>
      </c>
      <c r="N1543" t="str">
        <f>IF(GhanaStream[[#This Row],[Churn Flag]]="Yes","Churned","Retained")</f>
        <v>Churned</v>
      </c>
    </row>
    <row r="1544" spans="1:14" x14ac:dyDescent="0.25">
      <c r="A1544" t="s">
        <v>1582</v>
      </c>
      <c r="B1544" s="1">
        <v>45282</v>
      </c>
      <c r="C1544" t="s">
        <v>31</v>
      </c>
      <c r="D1544" t="s">
        <v>13</v>
      </c>
      <c r="E1544">
        <v>1000</v>
      </c>
      <c r="F1544" t="s">
        <v>14</v>
      </c>
      <c r="G1544" t="s">
        <v>24</v>
      </c>
      <c r="H1544" t="s">
        <v>16</v>
      </c>
      <c r="I1544" t="s">
        <v>17</v>
      </c>
      <c r="J1544" t="s">
        <v>22</v>
      </c>
      <c r="K1544">
        <v>0</v>
      </c>
      <c r="L154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544">
        <f>GhanaStream[[#This Row],[Subscription Fee]]-(GhanaStream[[#This Row],[Discount]]*GhanaStream[[#This Row],[Subscription Fee]])</f>
        <v>1000</v>
      </c>
      <c r="N1544" t="str">
        <f>IF(GhanaStream[[#This Row],[Churn Flag]]="Yes","Churned","Retained")</f>
        <v>Churned</v>
      </c>
    </row>
    <row r="1545" spans="1:14" x14ac:dyDescent="0.25">
      <c r="A1545" t="s">
        <v>1583</v>
      </c>
      <c r="B1545" s="1">
        <v>45354</v>
      </c>
      <c r="C1545" t="s">
        <v>31</v>
      </c>
      <c r="D1545" t="s">
        <v>27</v>
      </c>
      <c r="E1545">
        <v>10800</v>
      </c>
      <c r="F1545" t="s">
        <v>14</v>
      </c>
      <c r="G1545" t="s">
        <v>28</v>
      </c>
      <c r="H1545" t="s">
        <v>16</v>
      </c>
      <c r="I1545" t="s">
        <v>17</v>
      </c>
      <c r="J1545" t="s">
        <v>37</v>
      </c>
      <c r="K1545">
        <v>0.1</v>
      </c>
      <c r="L154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545">
        <f>GhanaStream[[#This Row],[Subscription Fee]]-(GhanaStream[[#This Row],[Discount]]*GhanaStream[[#This Row],[Subscription Fee]])</f>
        <v>9720</v>
      </c>
      <c r="N1545" t="str">
        <f>IF(GhanaStream[[#This Row],[Churn Flag]]="Yes","Churned","Retained")</f>
        <v>Churned</v>
      </c>
    </row>
    <row r="1546" spans="1:14" x14ac:dyDescent="0.25">
      <c r="A1546" t="s">
        <v>1584</v>
      </c>
      <c r="B1546" s="1">
        <v>44989</v>
      </c>
      <c r="C1546" t="s">
        <v>31</v>
      </c>
      <c r="D1546" t="s">
        <v>27</v>
      </c>
      <c r="E1546">
        <v>10800</v>
      </c>
      <c r="F1546" t="s">
        <v>14</v>
      </c>
      <c r="G1546" t="s">
        <v>28</v>
      </c>
      <c r="H1546" t="s">
        <v>33</v>
      </c>
      <c r="I1546" t="s">
        <v>34</v>
      </c>
      <c r="J1546" t="s">
        <v>37</v>
      </c>
      <c r="K1546">
        <v>0.1</v>
      </c>
      <c r="L154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546">
        <f>GhanaStream[[#This Row],[Subscription Fee]]-(GhanaStream[[#This Row],[Discount]]*GhanaStream[[#This Row],[Subscription Fee]])</f>
        <v>9720</v>
      </c>
      <c r="N1546" t="str">
        <f>IF(GhanaStream[[#This Row],[Churn Flag]]="Yes","Churned","Retained")</f>
        <v>Retained</v>
      </c>
    </row>
    <row r="1547" spans="1:14" x14ac:dyDescent="0.25">
      <c r="A1547" t="s">
        <v>1585</v>
      </c>
      <c r="B1547" s="1">
        <v>45325</v>
      </c>
      <c r="C1547" t="s">
        <v>12</v>
      </c>
      <c r="D1547" t="s">
        <v>13</v>
      </c>
      <c r="E1547">
        <v>1500</v>
      </c>
      <c r="F1547" t="s">
        <v>32</v>
      </c>
      <c r="G1547" t="s">
        <v>24</v>
      </c>
      <c r="H1547" t="s">
        <v>16</v>
      </c>
      <c r="I1547" t="s">
        <v>17</v>
      </c>
      <c r="J1547" t="s">
        <v>44</v>
      </c>
      <c r="K1547">
        <v>0</v>
      </c>
      <c r="L154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547">
        <f>GhanaStream[[#This Row],[Subscription Fee]]-(GhanaStream[[#This Row],[Discount]]*GhanaStream[[#This Row],[Subscription Fee]])</f>
        <v>1500</v>
      </c>
      <c r="N1547" t="str">
        <f>IF(GhanaStream[[#This Row],[Churn Flag]]="Yes","Churned","Retained")</f>
        <v>Churned</v>
      </c>
    </row>
    <row r="1548" spans="1:14" x14ac:dyDescent="0.25">
      <c r="A1548" t="s">
        <v>1586</v>
      </c>
      <c r="B1548" s="1">
        <v>45028</v>
      </c>
      <c r="C1548" t="s">
        <v>31</v>
      </c>
      <c r="D1548" t="s">
        <v>27</v>
      </c>
      <c r="E1548">
        <v>10800</v>
      </c>
      <c r="F1548" t="s">
        <v>49</v>
      </c>
      <c r="G1548" t="s">
        <v>28</v>
      </c>
      <c r="H1548" t="s">
        <v>16</v>
      </c>
      <c r="I1548" t="s">
        <v>17</v>
      </c>
      <c r="J1548" t="s">
        <v>18</v>
      </c>
      <c r="K1548">
        <v>0.1</v>
      </c>
      <c r="L154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548">
        <f>GhanaStream[[#This Row],[Subscription Fee]]-(GhanaStream[[#This Row],[Discount]]*GhanaStream[[#This Row],[Subscription Fee]])</f>
        <v>9720</v>
      </c>
      <c r="N1548" t="str">
        <f>IF(GhanaStream[[#This Row],[Churn Flag]]="Yes","Churned","Retained")</f>
        <v>Churned</v>
      </c>
    </row>
    <row r="1549" spans="1:14" x14ac:dyDescent="0.25">
      <c r="A1549" t="s">
        <v>1587</v>
      </c>
      <c r="B1549" s="1">
        <v>44933</v>
      </c>
      <c r="C1549" t="s">
        <v>12</v>
      </c>
      <c r="D1549" t="s">
        <v>27</v>
      </c>
      <c r="E1549">
        <v>16200</v>
      </c>
      <c r="F1549" t="s">
        <v>14</v>
      </c>
      <c r="G1549" t="s">
        <v>24</v>
      </c>
      <c r="H1549" t="s">
        <v>16</v>
      </c>
      <c r="I1549" t="s">
        <v>17</v>
      </c>
      <c r="J1549" t="s">
        <v>37</v>
      </c>
      <c r="K1549">
        <v>0.1</v>
      </c>
      <c r="L154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549">
        <f>GhanaStream[[#This Row],[Subscription Fee]]-(GhanaStream[[#This Row],[Discount]]*GhanaStream[[#This Row],[Subscription Fee]])</f>
        <v>14580</v>
      </c>
      <c r="N1549" t="str">
        <f>IF(GhanaStream[[#This Row],[Churn Flag]]="Yes","Churned","Retained")</f>
        <v>Churned</v>
      </c>
    </row>
    <row r="1550" spans="1:14" x14ac:dyDescent="0.25">
      <c r="A1550" t="s">
        <v>1588</v>
      </c>
      <c r="B1550" s="1">
        <v>45575</v>
      </c>
      <c r="C1550" t="s">
        <v>12</v>
      </c>
      <c r="D1550" t="s">
        <v>13</v>
      </c>
      <c r="E1550">
        <v>1500</v>
      </c>
      <c r="F1550" t="s">
        <v>21</v>
      </c>
      <c r="G1550" t="s">
        <v>28</v>
      </c>
      <c r="H1550" t="s">
        <v>16</v>
      </c>
      <c r="I1550" t="s">
        <v>17</v>
      </c>
      <c r="J1550" t="s">
        <v>29</v>
      </c>
      <c r="K1550">
        <v>0</v>
      </c>
      <c r="L155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550">
        <f>GhanaStream[[#This Row],[Subscription Fee]]-(GhanaStream[[#This Row],[Discount]]*GhanaStream[[#This Row],[Subscription Fee]])</f>
        <v>1500</v>
      </c>
      <c r="N1550" t="str">
        <f>IF(GhanaStream[[#This Row],[Churn Flag]]="Yes","Churned","Retained")</f>
        <v>Churned</v>
      </c>
    </row>
    <row r="1551" spans="1:14" x14ac:dyDescent="0.25">
      <c r="A1551" t="s">
        <v>1589</v>
      </c>
      <c r="B1551" s="1">
        <v>45552</v>
      </c>
      <c r="C1551" t="s">
        <v>20</v>
      </c>
      <c r="D1551" t="s">
        <v>27</v>
      </c>
      <c r="E1551">
        <v>5400</v>
      </c>
      <c r="F1551" t="s">
        <v>49</v>
      </c>
      <c r="G1551" t="s">
        <v>28</v>
      </c>
      <c r="H1551" t="s">
        <v>16</v>
      </c>
      <c r="I1551" t="s">
        <v>17</v>
      </c>
      <c r="J1551" t="s">
        <v>18</v>
      </c>
      <c r="K1551">
        <v>0.1</v>
      </c>
      <c r="L155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551">
        <f>GhanaStream[[#This Row],[Subscription Fee]]-(GhanaStream[[#This Row],[Discount]]*GhanaStream[[#This Row],[Subscription Fee]])</f>
        <v>4860</v>
      </c>
      <c r="N1551" t="str">
        <f>IF(GhanaStream[[#This Row],[Churn Flag]]="Yes","Churned","Retained")</f>
        <v>Churned</v>
      </c>
    </row>
    <row r="1552" spans="1:14" x14ac:dyDescent="0.25">
      <c r="A1552" t="s">
        <v>1590</v>
      </c>
      <c r="B1552" s="1">
        <v>45054</v>
      </c>
      <c r="C1552" t="s">
        <v>31</v>
      </c>
      <c r="D1552" t="s">
        <v>13</v>
      </c>
      <c r="E1552">
        <v>1000</v>
      </c>
      <c r="F1552" t="s">
        <v>49</v>
      </c>
      <c r="G1552" t="s">
        <v>28</v>
      </c>
      <c r="H1552" t="s">
        <v>16</v>
      </c>
      <c r="I1552" t="s">
        <v>17</v>
      </c>
      <c r="J1552" t="s">
        <v>22</v>
      </c>
      <c r="K1552">
        <v>0</v>
      </c>
      <c r="L155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552">
        <f>GhanaStream[[#This Row],[Subscription Fee]]-(GhanaStream[[#This Row],[Discount]]*GhanaStream[[#This Row],[Subscription Fee]])</f>
        <v>1000</v>
      </c>
      <c r="N1552" t="str">
        <f>IF(GhanaStream[[#This Row],[Churn Flag]]="Yes","Churned","Retained")</f>
        <v>Churned</v>
      </c>
    </row>
    <row r="1553" spans="1:14" x14ac:dyDescent="0.25">
      <c r="A1553" t="s">
        <v>1591</v>
      </c>
      <c r="B1553" s="1">
        <v>45103</v>
      </c>
      <c r="C1553" t="s">
        <v>31</v>
      </c>
      <c r="D1553" t="s">
        <v>13</v>
      </c>
      <c r="E1553">
        <v>1000</v>
      </c>
      <c r="F1553" t="s">
        <v>21</v>
      </c>
      <c r="G1553" t="s">
        <v>24</v>
      </c>
      <c r="H1553" t="s">
        <v>33</v>
      </c>
      <c r="I1553" t="s">
        <v>34</v>
      </c>
      <c r="J1553" t="s">
        <v>25</v>
      </c>
      <c r="K1553">
        <v>0</v>
      </c>
      <c r="L155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553">
        <f>GhanaStream[[#This Row],[Subscription Fee]]-(GhanaStream[[#This Row],[Discount]]*GhanaStream[[#This Row],[Subscription Fee]])</f>
        <v>1000</v>
      </c>
      <c r="N1553" t="str">
        <f>IF(GhanaStream[[#This Row],[Churn Flag]]="Yes","Churned","Retained")</f>
        <v>Retained</v>
      </c>
    </row>
    <row r="1554" spans="1:14" x14ac:dyDescent="0.25">
      <c r="A1554" t="s">
        <v>1592</v>
      </c>
      <c r="B1554" s="1">
        <v>45475</v>
      </c>
      <c r="C1554" t="s">
        <v>20</v>
      </c>
      <c r="D1554" t="s">
        <v>13</v>
      </c>
      <c r="E1554">
        <v>500</v>
      </c>
      <c r="F1554" t="s">
        <v>49</v>
      </c>
      <c r="G1554" t="s">
        <v>24</v>
      </c>
      <c r="H1554" t="s">
        <v>16</v>
      </c>
      <c r="I1554" t="s">
        <v>17</v>
      </c>
      <c r="J1554" t="s">
        <v>22</v>
      </c>
      <c r="K1554">
        <v>0</v>
      </c>
      <c r="L155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554">
        <f>GhanaStream[[#This Row],[Subscription Fee]]-(GhanaStream[[#This Row],[Discount]]*GhanaStream[[#This Row],[Subscription Fee]])</f>
        <v>500</v>
      </c>
      <c r="N1554" t="str">
        <f>IF(GhanaStream[[#This Row],[Churn Flag]]="Yes","Churned","Retained")</f>
        <v>Churned</v>
      </c>
    </row>
    <row r="1555" spans="1:14" x14ac:dyDescent="0.25">
      <c r="A1555" t="s">
        <v>1593</v>
      </c>
      <c r="B1555" s="1">
        <v>45374</v>
      </c>
      <c r="C1555" t="s">
        <v>20</v>
      </c>
      <c r="D1555" t="s">
        <v>13</v>
      </c>
      <c r="E1555">
        <v>500</v>
      </c>
      <c r="F1555" t="s">
        <v>14</v>
      </c>
      <c r="G1555" t="s">
        <v>24</v>
      </c>
      <c r="H1555" t="s">
        <v>33</v>
      </c>
      <c r="I1555" t="s">
        <v>34</v>
      </c>
      <c r="J1555" t="s">
        <v>55</v>
      </c>
      <c r="K1555">
        <v>0</v>
      </c>
      <c r="L155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555">
        <f>GhanaStream[[#This Row],[Subscription Fee]]-(GhanaStream[[#This Row],[Discount]]*GhanaStream[[#This Row],[Subscription Fee]])</f>
        <v>500</v>
      </c>
      <c r="N1555" t="str">
        <f>IF(GhanaStream[[#This Row],[Churn Flag]]="Yes","Churned","Retained")</f>
        <v>Retained</v>
      </c>
    </row>
    <row r="1556" spans="1:14" x14ac:dyDescent="0.25">
      <c r="A1556" t="s">
        <v>1594</v>
      </c>
      <c r="B1556" s="1">
        <v>44964</v>
      </c>
      <c r="C1556" t="s">
        <v>12</v>
      </c>
      <c r="D1556" t="s">
        <v>13</v>
      </c>
      <c r="E1556">
        <v>1500</v>
      </c>
      <c r="F1556" t="s">
        <v>32</v>
      </c>
      <c r="G1556" t="s">
        <v>15</v>
      </c>
      <c r="H1556" t="s">
        <v>33</v>
      </c>
      <c r="I1556" t="s">
        <v>34</v>
      </c>
      <c r="J1556" t="s">
        <v>39</v>
      </c>
      <c r="K1556">
        <v>0</v>
      </c>
      <c r="L155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556">
        <f>GhanaStream[[#This Row],[Subscription Fee]]-(GhanaStream[[#This Row],[Discount]]*GhanaStream[[#This Row],[Subscription Fee]])</f>
        <v>1500</v>
      </c>
      <c r="N1556" t="str">
        <f>IF(GhanaStream[[#This Row],[Churn Flag]]="Yes","Churned","Retained")</f>
        <v>Retained</v>
      </c>
    </row>
    <row r="1557" spans="1:14" x14ac:dyDescent="0.25">
      <c r="A1557" t="s">
        <v>1595</v>
      </c>
      <c r="B1557" s="1">
        <v>45131</v>
      </c>
      <c r="C1557" t="s">
        <v>31</v>
      </c>
      <c r="D1557" t="s">
        <v>27</v>
      </c>
      <c r="E1557">
        <v>10800</v>
      </c>
      <c r="F1557" t="s">
        <v>49</v>
      </c>
      <c r="G1557" t="s">
        <v>15</v>
      </c>
      <c r="H1557" t="s">
        <v>33</v>
      </c>
      <c r="I1557" t="s">
        <v>34</v>
      </c>
      <c r="J1557" t="s">
        <v>50</v>
      </c>
      <c r="K1557">
        <v>0.1</v>
      </c>
      <c r="L155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557">
        <f>GhanaStream[[#This Row],[Subscription Fee]]-(GhanaStream[[#This Row],[Discount]]*GhanaStream[[#This Row],[Subscription Fee]])</f>
        <v>9720</v>
      </c>
      <c r="N1557" t="str">
        <f>IF(GhanaStream[[#This Row],[Churn Flag]]="Yes","Churned","Retained")</f>
        <v>Retained</v>
      </c>
    </row>
    <row r="1558" spans="1:14" x14ac:dyDescent="0.25">
      <c r="A1558" t="s">
        <v>1596</v>
      </c>
      <c r="B1558" s="1">
        <v>45111</v>
      </c>
      <c r="C1558" t="s">
        <v>20</v>
      </c>
      <c r="D1558" t="s">
        <v>13</v>
      </c>
      <c r="E1558">
        <v>500</v>
      </c>
      <c r="F1558" t="s">
        <v>32</v>
      </c>
      <c r="G1558" t="s">
        <v>24</v>
      </c>
      <c r="H1558" t="s">
        <v>33</v>
      </c>
      <c r="I1558" t="s">
        <v>34</v>
      </c>
      <c r="J1558" t="s">
        <v>66</v>
      </c>
      <c r="K1558">
        <v>0</v>
      </c>
      <c r="L155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558">
        <f>GhanaStream[[#This Row],[Subscription Fee]]-(GhanaStream[[#This Row],[Discount]]*GhanaStream[[#This Row],[Subscription Fee]])</f>
        <v>500</v>
      </c>
      <c r="N1558" t="str">
        <f>IF(GhanaStream[[#This Row],[Churn Flag]]="Yes","Churned","Retained")</f>
        <v>Retained</v>
      </c>
    </row>
    <row r="1559" spans="1:14" x14ac:dyDescent="0.25">
      <c r="A1559" t="s">
        <v>1597</v>
      </c>
      <c r="B1559" s="1">
        <v>45375</v>
      </c>
      <c r="C1559" t="s">
        <v>20</v>
      </c>
      <c r="D1559" t="s">
        <v>27</v>
      </c>
      <c r="E1559">
        <v>5400</v>
      </c>
      <c r="F1559" t="s">
        <v>49</v>
      </c>
      <c r="G1559" t="s">
        <v>15</v>
      </c>
      <c r="H1559" t="s">
        <v>33</v>
      </c>
      <c r="I1559" t="s">
        <v>34</v>
      </c>
      <c r="J1559" t="s">
        <v>35</v>
      </c>
      <c r="K1559">
        <v>0.1</v>
      </c>
      <c r="L155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559">
        <f>GhanaStream[[#This Row],[Subscription Fee]]-(GhanaStream[[#This Row],[Discount]]*GhanaStream[[#This Row],[Subscription Fee]])</f>
        <v>4860</v>
      </c>
      <c r="N1559" t="str">
        <f>IF(GhanaStream[[#This Row],[Churn Flag]]="Yes","Churned","Retained")</f>
        <v>Retained</v>
      </c>
    </row>
    <row r="1560" spans="1:14" x14ac:dyDescent="0.25">
      <c r="A1560" t="s">
        <v>1598</v>
      </c>
      <c r="B1560" s="1">
        <v>45191</v>
      </c>
      <c r="C1560" t="s">
        <v>20</v>
      </c>
      <c r="D1560" t="s">
        <v>27</v>
      </c>
      <c r="E1560">
        <v>5400</v>
      </c>
      <c r="F1560" t="s">
        <v>32</v>
      </c>
      <c r="G1560" t="s">
        <v>15</v>
      </c>
      <c r="H1560" t="s">
        <v>16</v>
      </c>
      <c r="I1560" t="s">
        <v>17</v>
      </c>
      <c r="J1560" t="s">
        <v>44</v>
      </c>
      <c r="K1560">
        <v>0.1</v>
      </c>
      <c r="L156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560">
        <f>GhanaStream[[#This Row],[Subscription Fee]]-(GhanaStream[[#This Row],[Discount]]*GhanaStream[[#This Row],[Subscription Fee]])</f>
        <v>4860</v>
      </c>
      <c r="N1560" t="str">
        <f>IF(GhanaStream[[#This Row],[Churn Flag]]="Yes","Churned","Retained")</f>
        <v>Churned</v>
      </c>
    </row>
    <row r="1561" spans="1:14" x14ac:dyDescent="0.25">
      <c r="A1561" t="s">
        <v>1599</v>
      </c>
      <c r="B1561" s="1">
        <v>45465</v>
      </c>
      <c r="C1561" t="s">
        <v>31</v>
      </c>
      <c r="D1561" t="s">
        <v>13</v>
      </c>
      <c r="E1561">
        <v>1000</v>
      </c>
      <c r="F1561" t="s">
        <v>14</v>
      </c>
      <c r="G1561" t="s">
        <v>28</v>
      </c>
      <c r="H1561" t="s">
        <v>16</v>
      </c>
      <c r="I1561" t="s">
        <v>17</v>
      </c>
      <c r="J1561" t="s">
        <v>37</v>
      </c>
      <c r="K1561">
        <v>0</v>
      </c>
      <c r="L156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561">
        <f>GhanaStream[[#This Row],[Subscription Fee]]-(GhanaStream[[#This Row],[Discount]]*GhanaStream[[#This Row],[Subscription Fee]])</f>
        <v>1000</v>
      </c>
      <c r="N1561" t="str">
        <f>IF(GhanaStream[[#This Row],[Churn Flag]]="Yes","Churned","Retained")</f>
        <v>Churned</v>
      </c>
    </row>
    <row r="1562" spans="1:14" x14ac:dyDescent="0.25">
      <c r="A1562" t="s">
        <v>1600</v>
      </c>
      <c r="B1562" s="1">
        <v>44934</v>
      </c>
      <c r="C1562" t="s">
        <v>20</v>
      </c>
      <c r="D1562" t="s">
        <v>13</v>
      </c>
      <c r="E1562">
        <v>500</v>
      </c>
      <c r="F1562" t="s">
        <v>21</v>
      </c>
      <c r="G1562" t="s">
        <v>28</v>
      </c>
      <c r="H1562" t="s">
        <v>16</v>
      </c>
      <c r="I1562" t="s">
        <v>17</v>
      </c>
      <c r="J1562" t="s">
        <v>25</v>
      </c>
      <c r="K1562">
        <v>0</v>
      </c>
      <c r="L156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562">
        <f>GhanaStream[[#This Row],[Subscription Fee]]-(GhanaStream[[#This Row],[Discount]]*GhanaStream[[#This Row],[Subscription Fee]])</f>
        <v>500</v>
      </c>
      <c r="N1562" t="str">
        <f>IF(GhanaStream[[#This Row],[Churn Flag]]="Yes","Churned","Retained")</f>
        <v>Churned</v>
      </c>
    </row>
    <row r="1563" spans="1:14" x14ac:dyDescent="0.25">
      <c r="A1563" t="s">
        <v>1601</v>
      </c>
      <c r="B1563" s="1">
        <v>45226</v>
      </c>
      <c r="C1563" t="s">
        <v>12</v>
      </c>
      <c r="D1563" t="s">
        <v>27</v>
      </c>
      <c r="E1563">
        <v>16200</v>
      </c>
      <c r="F1563" t="s">
        <v>21</v>
      </c>
      <c r="G1563" t="s">
        <v>15</v>
      </c>
      <c r="H1563" t="s">
        <v>16</v>
      </c>
      <c r="I1563" t="s">
        <v>17</v>
      </c>
      <c r="J1563" t="s">
        <v>18</v>
      </c>
      <c r="K1563">
        <v>0.1</v>
      </c>
      <c r="L156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563">
        <f>GhanaStream[[#This Row],[Subscription Fee]]-(GhanaStream[[#This Row],[Discount]]*GhanaStream[[#This Row],[Subscription Fee]])</f>
        <v>14580</v>
      </c>
      <c r="N1563" t="str">
        <f>IF(GhanaStream[[#This Row],[Churn Flag]]="Yes","Churned","Retained")</f>
        <v>Churned</v>
      </c>
    </row>
    <row r="1564" spans="1:14" x14ac:dyDescent="0.25">
      <c r="A1564" t="s">
        <v>1602</v>
      </c>
      <c r="B1564" s="1">
        <v>45505</v>
      </c>
      <c r="C1564" t="s">
        <v>12</v>
      </c>
      <c r="D1564" t="s">
        <v>27</v>
      </c>
      <c r="E1564">
        <v>16200</v>
      </c>
      <c r="F1564" t="s">
        <v>14</v>
      </c>
      <c r="G1564" t="s">
        <v>28</v>
      </c>
      <c r="H1564" t="s">
        <v>16</v>
      </c>
      <c r="I1564" t="s">
        <v>17</v>
      </c>
      <c r="J1564" t="s">
        <v>18</v>
      </c>
      <c r="K1564">
        <v>0.1</v>
      </c>
      <c r="L156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564">
        <f>GhanaStream[[#This Row],[Subscription Fee]]-(GhanaStream[[#This Row],[Discount]]*GhanaStream[[#This Row],[Subscription Fee]])</f>
        <v>14580</v>
      </c>
      <c r="N1564" t="str">
        <f>IF(GhanaStream[[#This Row],[Churn Flag]]="Yes","Churned","Retained")</f>
        <v>Churned</v>
      </c>
    </row>
    <row r="1565" spans="1:14" x14ac:dyDescent="0.25">
      <c r="A1565" t="s">
        <v>1603</v>
      </c>
      <c r="B1565" s="1">
        <v>45436</v>
      </c>
      <c r="C1565" t="s">
        <v>20</v>
      </c>
      <c r="D1565" t="s">
        <v>27</v>
      </c>
      <c r="E1565">
        <v>5400</v>
      </c>
      <c r="F1565" t="s">
        <v>49</v>
      </c>
      <c r="G1565" t="s">
        <v>28</v>
      </c>
      <c r="H1565" t="s">
        <v>16</v>
      </c>
      <c r="I1565" t="s">
        <v>17</v>
      </c>
      <c r="J1565" t="s">
        <v>22</v>
      </c>
      <c r="K1565">
        <v>0.1</v>
      </c>
      <c r="L156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565">
        <f>GhanaStream[[#This Row],[Subscription Fee]]-(GhanaStream[[#This Row],[Discount]]*GhanaStream[[#This Row],[Subscription Fee]])</f>
        <v>4860</v>
      </c>
      <c r="N1565" t="str">
        <f>IF(GhanaStream[[#This Row],[Churn Flag]]="Yes","Churned","Retained")</f>
        <v>Churned</v>
      </c>
    </row>
    <row r="1566" spans="1:14" x14ac:dyDescent="0.25">
      <c r="A1566" t="s">
        <v>1604</v>
      </c>
      <c r="B1566" s="1">
        <v>45453</v>
      </c>
      <c r="C1566" t="s">
        <v>12</v>
      </c>
      <c r="D1566" t="s">
        <v>27</v>
      </c>
      <c r="E1566">
        <v>16200</v>
      </c>
      <c r="F1566" t="s">
        <v>21</v>
      </c>
      <c r="G1566" t="s">
        <v>28</v>
      </c>
      <c r="H1566" t="s">
        <v>33</v>
      </c>
      <c r="I1566" t="s">
        <v>34</v>
      </c>
      <c r="J1566" t="s">
        <v>25</v>
      </c>
      <c r="K1566">
        <v>0.1</v>
      </c>
      <c r="L156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566">
        <f>GhanaStream[[#This Row],[Subscription Fee]]-(GhanaStream[[#This Row],[Discount]]*GhanaStream[[#This Row],[Subscription Fee]])</f>
        <v>14580</v>
      </c>
      <c r="N1566" t="str">
        <f>IF(GhanaStream[[#This Row],[Churn Flag]]="Yes","Churned","Retained")</f>
        <v>Retained</v>
      </c>
    </row>
    <row r="1567" spans="1:14" x14ac:dyDescent="0.25">
      <c r="A1567" t="s">
        <v>1605</v>
      </c>
      <c r="B1567" s="1">
        <v>45357</v>
      </c>
      <c r="C1567" t="s">
        <v>31</v>
      </c>
      <c r="D1567" t="s">
        <v>27</v>
      </c>
      <c r="E1567">
        <v>10800</v>
      </c>
      <c r="F1567" t="s">
        <v>32</v>
      </c>
      <c r="G1567" t="s">
        <v>15</v>
      </c>
      <c r="H1567" t="s">
        <v>33</v>
      </c>
      <c r="I1567" t="s">
        <v>34</v>
      </c>
      <c r="J1567" t="s">
        <v>25</v>
      </c>
      <c r="K1567">
        <v>0.1</v>
      </c>
      <c r="L156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567">
        <f>GhanaStream[[#This Row],[Subscription Fee]]-(GhanaStream[[#This Row],[Discount]]*GhanaStream[[#This Row],[Subscription Fee]])</f>
        <v>9720</v>
      </c>
      <c r="N1567" t="str">
        <f>IF(GhanaStream[[#This Row],[Churn Flag]]="Yes","Churned","Retained")</f>
        <v>Retained</v>
      </c>
    </row>
    <row r="1568" spans="1:14" x14ac:dyDescent="0.25">
      <c r="A1568" t="s">
        <v>1606</v>
      </c>
      <c r="B1568" s="1">
        <v>45163</v>
      </c>
      <c r="C1568" t="s">
        <v>20</v>
      </c>
      <c r="D1568" t="s">
        <v>13</v>
      </c>
      <c r="E1568">
        <v>500</v>
      </c>
      <c r="F1568" t="s">
        <v>21</v>
      </c>
      <c r="G1568" t="s">
        <v>24</v>
      </c>
      <c r="H1568" t="s">
        <v>33</v>
      </c>
      <c r="I1568" t="s">
        <v>34</v>
      </c>
      <c r="J1568" t="s">
        <v>29</v>
      </c>
      <c r="K1568">
        <v>0</v>
      </c>
      <c r="L156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568">
        <f>GhanaStream[[#This Row],[Subscription Fee]]-(GhanaStream[[#This Row],[Discount]]*GhanaStream[[#This Row],[Subscription Fee]])</f>
        <v>500</v>
      </c>
      <c r="N1568" t="str">
        <f>IF(GhanaStream[[#This Row],[Churn Flag]]="Yes","Churned","Retained")</f>
        <v>Retained</v>
      </c>
    </row>
    <row r="1569" spans="1:14" x14ac:dyDescent="0.25">
      <c r="A1569" t="s">
        <v>1607</v>
      </c>
      <c r="B1569" s="1">
        <v>44935</v>
      </c>
      <c r="C1569" t="s">
        <v>20</v>
      </c>
      <c r="D1569" t="s">
        <v>27</v>
      </c>
      <c r="E1569">
        <v>5400</v>
      </c>
      <c r="F1569" t="s">
        <v>49</v>
      </c>
      <c r="G1569" t="s">
        <v>15</v>
      </c>
      <c r="H1569" t="s">
        <v>33</v>
      </c>
      <c r="I1569" t="s">
        <v>34</v>
      </c>
      <c r="J1569" t="s">
        <v>25</v>
      </c>
      <c r="K1569">
        <v>0.1</v>
      </c>
      <c r="L156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569">
        <f>GhanaStream[[#This Row],[Subscription Fee]]-(GhanaStream[[#This Row],[Discount]]*GhanaStream[[#This Row],[Subscription Fee]])</f>
        <v>4860</v>
      </c>
      <c r="N1569" t="str">
        <f>IF(GhanaStream[[#This Row],[Churn Flag]]="Yes","Churned","Retained")</f>
        <v>Retained</v>
      </c>
    </row>
    <row r="1570" spans="1:14" x14ac:dyDescent="0.25">
      <c r="A1570" t="s">
        <v>1608</v>
      </c>
      <c r="B1570" s="1">
        <v>45398</v>
      </c>
      <c r="C1570" t="s">
        <v>12</v>
      </c>
      <c r="D1570" t="s">
        <v>13</v>
      </c>
      <c r="E1570">
        <v>1500</v>
      </c>
      <c r="F1570" t="s">
        <v>21</v>
      </c>
      <c r="G1570" t="s">
        <v>15</v>
      </c>
      <c r="H1570" t="s">
        <v>33</v>
      </c>
      <c r="I1570" t="s">
        <v>34</v>
      </c>
      <c r="J1570" t="s">
        <v>29</v>
      </c>
      <c r="K1570">
        <v>0</v>
      </c>
      <c r="L157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570">
        <f>GhanaStream[[#This Row],[Subscription Fee]]-(GhanaStream[[#This Row],[Discount]]*GhanaStream[[#This Row],[Subscription Fee]])</f>
        <v>1500</v>
      </c>
      <c r="N1570" t="str">
        <f>IF(GhanaStream[[#This Row],[Churn Flag]]="Yes","Churned","Retained")</f>
        <v>Retained</v>
      </c>
    </row>
    <row r="1571" spans="1:14" x14ac:dyDescent="0.25">
      <c r="A1571" t="s">
        <v>1609</v>
      </c>
      <c r="B1571" s="1">
        <v>45002</v>
      </c>
      <c r="C1571" t="s">
        <v>12</v>
      </c>
      <c r="D1571" t="s">
        <v>13</v>
      </c>
      <c r="E1571">
        <v>1500</v>
      </c>
      <c r="F1571" t="s">
        <v>49</v>
      </c>
      <c r="G1571" t="s">
        <v>24</v>
      </c>
      <c r="H1571" t="s">
        <v>16</v>
      </c>
      <c r="I1571" t="s">
        <v>17</v>
      </c>
      <c r="J1571" t="s">
        <v>58</v>
      </c>
      <c r="K1571">
        <v>0</v>
      </c>
      <c r="L157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571">
        <f>GhanaStream[[#This Row],[Subscription Fee]]-(GhanaStream[[#This Row],[Discount]]*GhanaStream[[#This Row],[Subscription Fee]])</f>
        <v>1500</v>
      </c>
      <c r="N1571" t="str">
        <f>IF(GhanaStream[[#This Row],[Churn Flag]]="Yes","Churned","Retained")</f>
        <v>Churned</v>
      </c>
    </row>
    <row r="1572" spans="1:14" x14ac:dyDescent="0.25">
      <c r="A1572" t="s">
        <v>1610</v>
      </c>
      <c r="B1572" s="1">
        <v>45222</v>
      </c>
      <c r="C1572" t="s">
        <v>20</v>
      </c>
      <c r="D1572" t="s">
        <v>27</v>
      </c>
      <c r="E1572">
        <v>5400</v>
      </c>
      <c r="F1572" t="s">
        <v>14</v>
      </c>
      <c r="G1572" t="s">
        <v>28</v>
      </c>
      <c r="H1572" t="s">
        <v>33</v>
      </c>
      <c r="I1572" t="s">
        <v>34</v>
      </c>
      <c r="J1572" t="s">
        <v>22</v>
      </c>
      <c r="K1572">
        <v>0.1</v>
      </c>
      <c r="L157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572">
        <f>GhanaStream[[#This Row],[Subscription Fee]]-(GhanaStream[[#This Row],[Discount]]*GhanaStream[[#This Row],[Subscription Fee]])</f>
        <v>4860</v>
      </c>
      <c r="N1572" t="str">
        <f>IF(GhanaStream[[#This Row],[Churn Flag]]="Yes","Churned","Retained")</f>
        <v>Retained</v>
      </c>
    </row>
    <row r="1573" spans="1:14" x14ac:dyDescent="0.25">
      <c r="A1573" t="s">
        <v>1611</v>
      </c>
      <c r="B1573" s="1">
        <v>44974</v>
      </c>
      <c r="C1573" t="s">
        <v>31</v>
      </c>
      <c r="D1573" t="s">
        <v>27</v>
      </c>
      <c r="E1573">
        <v>10800</v>
      </c>
      <c r="F1573" t="s">
        <v>21</v>
      </c>
      <c r="G1573" t="s">
        <v>28</v>
      </c>
      <c r="H1573" t="s">
        <v>16</v>
      </c>
      <c r="I1573" t="s">
        <v>17</v>
      </c>
      <c r="J1573" t="s">
        <v>18</v>
      </c>
      <c r="K1573">
        <v>0.1</v>
      </c>
      <c r="L157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573">
        <f>GhanaStream[[#This Row],[Subscription Fee]]-(GhanaStream[[#This Row],[Discount]]*GhanaStream[[#This Row],[Subscription Fee]])</f>
        <v>9720</v>
      </c>
      <c r="N1573" t="str">
        <f>IF(GhanaStream[[#This Row],[Churn Flag]]="Yes","Churned","Retained")</f>
        <v>Churned</v>
      </c>
    </row>
    <row r="1574" spans="1:14" x14ac:dyDescent="0.25">
      <c r="A1574" t="s">
        <v>1612</v>
      </c>
      <c r="B1574" s="1">
        <v>45093</v>
      </c>
      <c r="C1574" t="s">
        <v>20</v>
      </c>
      <c r="D1574" t="s">
        <v>27</v>
      </c>
      <c r="E1574">
        <v>5400</v>
      </c>
      <c r="F1574" t="s">
        <v>14</v>
      </c>
      <c r="G1574" t="s">
        <v>15</v>
      </c>
      <c r="H1574" t="s">
        <v>16</v>
      </c>
      <c r="I1574" t="s">
        <v>17</v>
      </c>
      <c r="J1574" t="s">
        <v>37</v>
      </c>
      <c r="K1574">
        <v>0.1</v>
      </c>
      <c r="L157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574">
        <f>GhanaStream[[#This Row],[Subscription Fee]]-(GhanaStream[[#This Row],[Discount]]*GhanaStream[[#This Row],[Subscription Fee]])</f>
        <v>4860</v>
      </c>
      <c r="N1574" t="str">
        <f>IF(GhanaStream[[#This Row],[Churn Flag]]="Yes","Churned","Retained")</f>
        <v>Churned</v>
      </c>
    </row>
    <row r="1575" spans="1:14" x14ac:dyDescent="0.25">
      <c r="A1575" t="s">
        <v>1613</v>
      </c>
      <c r="B1575" s="1">
        <v>45066</v>
      </c>
      <c r="C1575" t="s">
        <v>31</v>
      </c>
      <c r="D1575" t="s">
        <v>27</v>
      </c>
      <c r="E1575">
        <v>10800</v>
      </c>
      <c r="F1575" t="s">
        <v>49</v>
      </c>
      <c r="G1575" t="s">
        <v>28</v>
      </c>
      <c r="H1575" t="s">
        <v>16</v>
      </c>
      <c r="I1575" t="s">
        <v>17</v>
      </c>
      <c r="J1575" t="s">
        <v>58</v>
      </c>
      <c r="K1575">
        <v>0.1</v>
      </c>
      <c r="L157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575">
        <f>GhanaStream[[#This Row],[Subscription Fee]]-(GhanaStream[[#This Row],[Discount]]*GhanaStream[[#This Row],[Subscription Fee]])</f>
        <v>9720</v>
      </c>
      <c r="N1575" t="str">
        <f>IF(GhanaStream[[#This Row],[Churn Flag]]="Yes","Churned","Retained")</f>
        <v>Churned</v>
      </c>
    </row>
    <row r="1576" spans="1:14" x14ac:dyDescent="0.25">
      <c r="A1576" t="s">
        <v>1614</v>
      </c>
      <c r="B1576" s="1">
        <v>45074</v>
      </c>
      <c r="C1576" t="s">
        <v>31</v>
      </c>
      <c r="D1576" t="s">
        <v>13</v>
      </c>
      <c r="E1576">
        <v>1000</v>
      </c>
      <c r="F1576" t="s">
        <v>32</v>
      </c>
      <c r="G1576" t="s">
        <v>28</v>
      </c>
      <c r="H1576" t="s">
        <v>16</v>
      </c>
      <c r="I1576" t="s">
        <v>17</v>
      </c>
      <c r="J1576" t="s">
        <v>25</v>
      </c>
      <c r="K1576">
        <v>0</v>
      </c>
      <c r="L157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576">
        <f>GhanaStream[[#This Row],[Subscription Fee]]-(GhanaStream[[#This Row],[Discount]]*GhanaStream[[#This Row],[Subscription Fee]])</f>
        <v>1000</v>
      </c>
      <c r="N1576" t="str">
        <f>IF(GhanaStream[[#This Row],[Churn Flag]]="Yes","Churned","Retained")</f>
        <v>Churned</v>
      </c>
    </row>
    <row r="1577" spans="1:14" x14ac:dyDescent="0.25">
      <c r="A1577" t="s">
        <v>1615</v>
      </c>
      <c r="B1577" s="1">
        <v>45098</v>
      </c>
      <c r="C1577" t="s">
        <v>12</v>
      </c>
      <c r="D1577" t="s">
        <v>27</v>
      </c>
      <c r="E1577">
        <v>16200</v>
      </c>
      <c r="F1577" t="s">
        <v>32</v>
      </c>
      <c r="G1577" t="s">
        <v>24</v>
      </c>
      <c r="H1577" t="s">
        <v>16</v>
      </c>
      <c r="I1577" t="s">
        <v>17</v>
      </c>
      <c r="J1577" t="s">
        <v>66</v>
      </c>
      <c r="K1577">
        <v>0.1</v>
      </c>
      <c r="L157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577">
        <f>GhanaStream[[#This Row],[Subscription Fee]]-(GhanaStream[[#This Row],[Discount]]*GhanaStream[[#This Row],[Subscription Fee]])</f>
        <v>14580</v>
      </c>
      <c r="N1577" t="str">
        <f>IF(GhanaStream[[#This Row],[Churn Flag]]="Yes","Churned","Retained")</f>
        <v>Churned</v>
      </c>
    </row>
    <row r="1578" spans="1:14" x14ac:dyDescent="0.25">
      <c r="A1578" t="s">
        <v>1616</v>
      </c>
      <c r="B1578" s="1">
        <v>45618</v>
      </c>
      <c r="C1578" t="s">
        <v>31</v>
      </c>
      <c r="D1578" t="s">
        <v>13</v>
      </c>
      <c r="E1578">
        <v>1000</v>
      </c>
      <c r="F1578" t="s">
        <v>32</v>
      </c>
      <c r="G1578" t="s">
        <v>15</v>
      </c>
      <c r="H1578" t="s">
        <v>16</v>
      </c>
      <c r="I1578" t="s">
        <v>17</v>
      </c>
      <c r="J1578" t="s">
        <v>25</v>
      </c>
      <c r="K1578">
        <v>0</v>
      </c>
      <c r="L157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578">
        <f>GhanaStream[[#This Row],[Subscription Fee]]-(GhanaStream[[#This Row],[Discount]]*GhanaStream[[#This Row],[Subscription Fee]])</f>
        <v>1000</v>
      </c>
      <c r="N1578" t="str">
        <f>IF(GhanaStream[[#This Row],[Churn Flag]]="Yes","Churned","Retained")</f>
        <v>Churned</v>
      </c>
    </row>
    <row r="1579" spans="1:14" x14ac:dyDescent="0.25">
      <c r="A1579" t="s">
        <v>1617</v>
      </c>
      <c r="B1579" s="1">
        <v>45160</v>
      </c>
      <c r="C1579" t="s">
        <v>20</v>
      </c>
      <c r="D1579" t="s">
        <v>27</v>
      </c>
      <c r="E1579">
        <v>5400</v>
      </c>
      <c r="F1579" t="s">
        <v>32</v>
      </c>
      <c r="G1579" t="s">
        <v>24</v>
      </c>
      <c r="H1579" t="s">
        <v>16</v>
      </c>
      <c r="I1579" t="s">
        <v>17</v>
      </c>
      <c r="J1579" t="s">
        <v>44</v>
      </c>
      <c r="K1579">
        <v>0.1</v>
      </c>
      <c r="L157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579">
        <f>GhanaStream[[#This Row],[Subscription Fee]]-(GhanaStream[[#This Row],[Discount]]*GhanaStream[[#This Row],[Subscription Fee]])</f>
        <v>4860</v>
      </c>
      <c r="N1579" t="str">
        <f>IF(GhanaStream[[#This Row],[Churn Flag]]="Yes","Churned","Retained")</f>
        <v>Churned</v>
      </c>
    </row>
    <row r="1580" spans="1:14" x14ac:dyDescent="0.25">
      <c r="A1580" t="s">
        <v>1618</v>
      </c>
      <c r="B1580" s="1">
        <v>45274</v>
      </c>
      <c r="C1580" t="s">
        <v>20</v>
      </c>
      <c r="D1580" t="s">
        <v>13</v>
      </c>
      <c r="E1580">
        <v>500</v>
      </c>
      <c r="F1580" t="s">
        <v>32</v>
      </c>
      <c r="G1580" t="s">
        <v>24</v>
      </c>
      <c r="H1580" t="s">
        <v>16</v>
      </c>
      <c r="I1580" t="s">
        <v>17</v>
      </c>
      <c r="J1580" t="s">
        <v>44</v>
      </c>
      <c r="K1580">
        <v>0</v>
      </c>
      <c r="L158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580">
        <f>GhanaStream[[#This Row],[Subscription Fee]]-(GhanaStream[[#This Row],[Discount]]*GhanaStream[[#This Row],[Subscription Fee]])</f>
        <v>500</v>
      </c>
      <c r="N1580" t="str">
        <f>IF(GhanaStream[[#This Row],[Churn Flag]]="Yes","Churned","Retained")</f>
        <v>Churned</v>
      </c>
    </row>
    <row r="1581" spans="1:14" x14ac:dyDescent="0.25">
      <c r="A1581" t="s">
        <v>1619</v>
      </c>
      <c r="B1581" s="1">
        <v>45117</v>
      </c>
      <c r="C1581" t="s">
        <v>12</v>
      </c>
      <c r="D1581" t="s">
        <v>13</v>
      </c>
      <c r="E1581">
        <v>1500</v>
      </c>
      <c r="F1581" t="s">
        <v>21</v>
      </c>
      <c r="G1581" t="s">
        <v>24</v>
      </c>
      <c r="H1581" t="s">
        <v>16</v>
      </c>
      <c r="I1581" t="s">
        <v>17</v>
      </c>
      <c r="J1581" t="s">
        <v>18</v>
      </c>
      <c r="K1581">
        <v>0</v>
      </c>
      <c r="L158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581">
        <f>GhanaStream[[#This Row],[Subscription Fee]]-(GhanaStream[[#This Row],[Discount]]*GhanaStream[[#This Row],[Subscription Fee]])</f>
        <v>1500</v>
      </c>
      <c r="N1581" t="str">
        <f>IF(GhanaStream[[#This Row],[Churn Flag]]="Yes","Churned","Retained")</f>
        <v>Churned</v>
      </c>
    </row>
    <row r="1582" spans="1:14" x14ac:dyDescent="0.25">
      <c r="A1582" t="s">
        <v>1620</v>
      </c>
      <c r="B1582" s="1">
        <v>45362</v>
      </c>
      <c r="C1582" t="s">
        <v>20</v>
      </c>
      <c r="D1582" t="s">
        <v>27</v>
      </c>
      <c r="E1582">
        <v>5400</v>
      </c>
      <c r="F1582" t="s">
        <v>32</v>
      </c>
      <c r="G1582" t="s">
        <v>28</v>
      </c>
      <c r="H1582" t="s">
        <v>33</v>
      </c>
      <c r="I1582" t="s">
        <v>34</v>
      </c>
      <c r="J1582" t="s">
        <v>39</v>
      </c>
      <c r="K1582">
        <v>0.1</v>
      </c>
      <c r="L158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582">
        <f>GhanaStream[[#This Row],[Subscription Fee]]-(GhanaStream[[#This Row],[Discount]]*GhanaStream[[#This Row],[Subscription Fee]])</f>
        <v>4860</v>
      </c>
      <c r="N1582" t="str">
        <f>IF(GhanaStream[[#This Row],[Churn Flag]]="Yes","Churned","Retained")</f>
        <v>Retained</v>
      </c>
    </row>
    <row r="1583" spans="1:14" x14ac:dyDescent="0.25">
      <c r="A1583" t="s">
        <v>1621</v>
      </c>
      <c r="B1583" s="1">
        <v>45228</v>
      </c>
      <c r="C1583" t="s">
        <v>12</v>
      </c>
      <c r="D1583" t="s">
        <v>13</v>
      </c>
      <c r="E1583">
        <v>1500</v>
      </c>
      <c r="F1583" t="s">
        <v>21</v>
      </c>
      <c r="G1583" t="s">
        <v>28</v>
      </c>
      <c r="H1583" t="s">
        <v>33</v>
      </c>
      <c r="I1583" t="s">
        <v>34</v>
      </c>
      <c r="J1583" t="s">
        <v>29</v>
      </c>
      <c r="K1583">
        <v>0</v>
      </c>
      <c r="L158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583">
        <f>GhanaStream[[#This Row],[Subscription Fee]]-(GhanaStream[[#This Row],[Discount]]*GhanaStream[[#This Row],[Subscription Fee]])</f>
        <v>1500</v>
      </c>
      <c r="N1583" t="str">
        <f>IF(GhanaStream[[#This Row],[Churn Flag]]="Yes","Churned","Retained")</f>
        <v>Retained</v>
      </c>
    </row>
    <row r="1584" spans="1:14" x14ac:dyDescent="0.25">
      <c r="A1584" t="s">
        <v>1622</v>
      </c>
      <c r="B1584" s="1">
        <v>45374</v>
      </c>
      <c r="C1584" t="s">
        <v>31</v>
      </c>
      <c r="D1584" t="s">
        <v>13</v>
      </c>
      <c r="E1584">
        <v>1000</v>
      </c>
      <c r="F1584" t="s">
        <v>49</v>
      </c>
      <c r="G1584" t="s">
        <v>15</v>
      </c>
      <c r="H1584" t="s">
        <v>16</v>
      </c>
      <c r="I1584" t="s">
        <v>17</v>
      </c>
      <c r="J1584" t="s">
        <v>25</v>
      </c>
      <c r="K1584">
        <v>0</v>
      </c>
      <c r="L158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584">
        <f>GhanaStream[[#This Row],[Subscription Fee]]-(GhanaStream[[#This Row],[Discount]]*GhanaStream[[#This Row],[Subscription Fee]])</f>
        <v>1000</v>
      </c>
      <c r="N1584" t="str">
        <f>IF(GhanaStream[[#This Row],[Churn Flag]]="Yes","Churned","Retained")</f>
        <v>Churned</v>
      </c>
    </row>
    <row r="1585" spans="1:14" x14ac:dyDescent="0.25">
      <c r="A1585" t="s">
        <v>1623</v>
      </c>
      <c r="B1585" s="1">
        <v>45281</v>
      </c>
      <c r="C1585" t="s">
        <v>20</v>
      </c>
      <c r="D1585" t="s">
        <v>27</v>
      </c>
      <c r="E1585">
        <v>5400</v>
      </c>
      <c r="F1585" t="s">
        <v>14</v>
      </c>
      <c r="G1585" t="s">
        <v>28</v>
      </c>
      <c r="H1585" t="s">
        <v>16</v>
      </c>
      <c r="I1585" t="s">
        <v>17</v>
      </c>
      <c r="J1585" t="s">
        <v>37</v>
      </c>
      <c r="K1585">
        <v>0.1</v>
      </c>
      <c r="L158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585">
        <f>GhanaStream[[#This Row],[Subscription Fee]]-(GhanaStream[[#This Row],[Discount]]*GhanaStream[[#This Row],[Subscription Fee]])</f>
        <v>4860</v>
      </c>
      <c r="N1585" t="str">
        <f>IF(GhanaStream[[#This Row],[Churn Flag]]="Yes","Churned","Retained")</f>
        <v>Churned</v>
      </c>
    </row>
    <row r="1586" spans="1:14" x14ac:dyDescent="0.25">
      <c r="A1586" t="s">
        <v>1624</v>
      </c>
      <c r="B1586" s="1">
        <v>44950</v>
      </c>
      <c r="C1586" t="s">
        <v>31</v>
      </c>
      <c r="D1586" t="s">
        <v>13</v>
      </c>
      <c r="E1586">
        <v>1000</v>
      </c>
      <c r="F1586" t="s">
        <v>14</v>
      </c>
      <c r="G1586" t="s">
        <v>28</v>
      </c>
      <c r="H1586" t="s">
        <v>16</v>
      </c>
      <c r="I1586" t="s">
        <v>17</v>
      </c>
      <c r="J1586" t="s">
        <v>41</v>
      </c>
      <c r="K1586">
        <v>0</v>
      </c>
      <c r="L158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586">
        <f>GhanaStream[[#This Row],[Subscription Fee]]-(GhanaStream[[#This Row],[Discount]]*GhanaStream[[#This Row],[Subscription Fee]])</f>
        <v>1000</v>
      </c>
      <c r="N1586" t="str">
        <f>IF(GhanaStream[[#This Row],[Churn Flag]]="Yes","Churned","Retained")</f>
        <v>Churned</v>
      </c>
    </row>
    <row r="1587" spans="1:14" x14ac:dyDescent="0.25">
      <c r="A1587" t="s">
        <v>1625</v>
      </c>
      <c r="B1587" s="1">
        <v>45355</v>
      </c>
      <c r="C1587" t="s">
        <v>20</v>
      </c>
      <c r="D1587" t="s">
        <v>27</v>
      </c>
      <c r="E1587">
        <v>5400</v>
      </c>
      <c r="F1587" t="s">
        <v>14</v>
      </c>
      <c r="G1587" t="s">
        <v>15</v>
      </c>
      <c r="H1587" t="s">
        <v>33</v>
      </c>
      <c r="I1587" t="s">
        <v>34</v>
      </c>
      <c r="J1587" t="s">
        <v>37</v>
      </c>
      <c r="K1587">
        <v>0.1</v>
      </c>
      <c r="L158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587">
        <f>GhanaStream[[#This Row],[Subscription Fee]]-(GhanaStream[[#This Row],[Discount]]*GhanaStream[[#This Row],[Subscription Fee]])</f>
        <v>4860</v>
      </c>
      <c r="N1587" t="str">
        <f>IF(GhanaStream[[#This Row],[Churn Flag]]="Yes","Churned","Retained")</f>
        <v>Retained</v>
      </c>
    </row>
    <row r="1588" spans="1:14" x14ac:dyDescent="0.25">
      <c r="A1588" t="s">
        <v>1626</v>
      </c>
      <c r="B1588" s="1">
        <v>45517</v>
      </c>
      <c r="C1588" t="s">
        <v>12</v>
      </c>
      <c r="D1588" t="s">
        <v>27</v>
      </c>
      <c r="E1588">
        <v>16200</v>
      </c>
      <c r="F1588" t="s">
        <v>49</v>
      </c>
      <c r="G1588" t="s">
        <v>15</v>
      </c>
      <c r="H1588" t="s">
        <v>33</v>
      </c>
      <c r="I1588" t="s">
        <v>34</v>
      </c>
      <c r="J1588" t="s">
        <v>22</v>
      </c>
      <c r="K1588">
        <v>0.1</v>
      </c>
      <c r="L158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588">
        <f>GhanaStream[[#This Row],[Subscription Fee]]-(GhanaStream[[#This Row],[Discount]]*GhanaStream[[#This Row],[Subscription Fee]])</f>
        <v>14580</v>
      </c>
      <c r="N1588" t="str">
        <f>IF(GhanaStream[[#This Row],[Churn Flag]]="Yes","Churned","Retained")</f>
        <v>Retained</v>
      </c>
    </row>
    <row r="1589" spans="1:14" x14ac:dyDescent="0.25">
      <c r="A1589" t="s">
        <v>1627</v>
      </c>
      <c r="B1589" s="1">
        <v>45088</v>
      </c>
      <c r="C1589" t="s">
        <v>12</v>
      </c>
      <c r="D1589" t="s">
        <v>13</v>
      </c>
      <c r="E1589">
        <v>1500</v>
      </c>
      <c r="F1589" t="s">
        <v>21</v>
      </c>
      <c r="G1589" t="s">
        <v>24</v>
      </c>
      <c r="H1589" t="s">
        <v>33</v>
      </c>
      <c r="I1589" t="s">
        <v>34</v>
      </c>
      <c r="J1589" t="s">
        <v>22</v>
      </c>
      <c r="K1589">
        <v>0</v>
      </c>
      <c r="L158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589">
        <f>GhanaStream[[#This Row],[Subscription Fee]]-(GhanaStream[[#This Row],[Discount]]*GhanaStream[[#This Row],[Subscription Fee]])</f>
        <v>1500</v>
      </c>
      <c r="N1589" t="str">
        <f>IF(GhanaStream[[#This Row],[Churn Flag]]="Yes","Churned","Retained")</f>
        <v>Retained</v>
      </c>
    </row>
    <row r="1590" spans="1:14" x14ac:dyDescent="0.25">
      <c r="A1590" t="s">
        <v>1628</v>
      </c>
      <c r="B1590" s="1">
        <v>45037</v>
      </c>
      <c r="C1590" t="s">
        <v>20</v>
      </c>
      <c r="D1590" t="s">
        <v>13</v>
      </c>
      <c r="E1590">
        <v>500</v>
      </c>
      <c r="F1590" t="s">
        <v>14</v>
      </c>
      <c r="G1590" t="s">
        <v>15</v>
      </c>
      <c r="H1590" t="s">
        <v>16</v>
      </c>
      <c r="I1590" t="s">
        <v>17</v>
      </c>
      <c r="J1590" t="s">
        <v>18</v>
      </c>
      <c r="K1590">
        <v>0</v>
      </c>
      <c r="L159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590">
        <f>GhanaStream[[#This Row],[Subscription Fee]]-(GhanaStream[[#This Row],[Discount]]*GhanaStream[[#This Row],[Subscription Fee]])</f>
        <v>500</v>
      </c>
      <c r="N1590" t="str">
        <f>IF(GhanaStream[[#This Row],[Churn Flag]]="Yes","Churned","Retained")</f>
        <v>Churned</v>
      </c>
    </row>
    <row r="1591" spans="1:14" x14ac:dyDescent="0.25">
      <c r="A1591" t="s">
        <v>1629</v>
      </c>
      <c r="B1591" s="1">
        <v>45638</v>
      </c>
      <c r="C1591" t="s">
        <v>20</v>
      </c>
      <c r="D1591" t="s">
        <v>13</v>
      </c>
      <c r="E1591">
        <v>500</v>
      </c>
      <c r="F1591" t="s">
        <v>14</v>
      </c>
      <c r="G1591" t="s">
        <v>15</v>
      </c>
      <c r="H1591" t="s">
        <v>16</v>
      </c>
      <c r="I1591" t="s">
        <v>17</v>
      </c>
      <c r="J1591" t="s">
        <v>55</v>
      </c>
      <c r="K1591">
        <v>0</v>
      </c>
      <c r="L159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591">
        <f>GhanaStream[[#This Row],[Subscription Fee]]-(GhanaStream[[#This Row],[Discount]]*GhanaStream[[#This Row],[Subscription Fee]])</f>
        <v>500</v>
      </c>
      <c r="N1591" t="str">
        <f>IF(GhanaStream[[#This Row],[Churn Flag]]="Yes","Churned","Retained")</f>
        <v>Churned</v>
      </c>
    </row>
    <row r="1592" spans="1:14" x14ac:dyDescent="0.25">
      <c r="A1592" t="s">
        <v>1630</v>
      </c>
      <c r="B1592" s="1">
        <v>45492</v>
      </c>
      <c r="C1592" t="s">
        <v>20</v>
      </c>
      <c r="D1592" t="s">
        <v>13</v>
      </c>
      <c r="E1592">
        <v>500</v>
      </c>
      <c r="F1592" t="s">
        <v>21</v>
      </c>
      <c r="G1592" t="s">
        <v>24</v>
      </c>
      <c r="H1592" t="s">
        <v>33</v>
      </c>
      <c r="I1592" t="s">
        <v>34</v>
      </c>
      <c r="J1592" t="s">
        <v>18</v>
      </c>
      <c r="K1592">
        <v>0</v>
      </c>
      <c r="L159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592">
        <f>GhanaStream[[#This Row],[Subscription Fee]]-(GhanaStream[[#This Row],[Discount]]*GhanaStream[[#This Row],[Subscription Fee]])</f>
        <v>500</v>
      </c>
      <c r="N1592" t="str">
        <f>IF(GhanaStream[[#This Row],[Churn Flag]]="Yes","Churned","Retained")</f>
        <v>Retained</v>
      </c>
    </row>
    <row r="1593" spans="1:14" x14ac:dyDescent="0.25">
      <c r="A1593" t="s">
        <v>1631</v>
      </c>
      <c r="B1593" s="1">
        <v>45260</v>
      </c>
      <c r="C1593" t="s">
        <v>31</v>
      </c>
      <c r="D1593" t="s">
        <v>27</v>
      </c>
      <c r="E1593">
        <v>10800</v>
      </c>
      <c r="F1593" t="s">
        <v>14</v>
      </c>
      <c r="G1593" t="s">
        <v>15</v>
      </c>
      <c r="H1593" t="s">
        <v>33</v>
      </c>
      <c r="I1593" t="s">
        <v>34</v>
      </c>
      <c r="J1593" t="s">
        <v>37</v>
      </c>
      <c r="K1593">
        <v>0.1</v>
      </c>
      <c r="L159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593">
        <f>GhanaStream[[#This Row],[Subscription Fee]]-(GhanaStream[[#This Row],[Discount]]*GhanaStream[[#This Row],[Subscription Fee]])</f>
        <v>9720</v>
      </c>
      <c r="N1593" t="str">
        <f>IF(GhanaStream[[#This Row],[Churn Flag]]="Yes","Churned","Retained")</f>
        <v>Retained</v>
      </c>
    </row>
    <row r="1594" spans="1:14" x14ac:dyDescent="0.25">
      <c r="A1594" t="s">
        <v>1632</v>
      </c>
      <c r="B1594" s="1">
        <v>45528</v>
      </c>
      <c r="C1594" t="s">
        <v>20</v>
      </c>
      <c r="D1594" t="s">
        <v>13</v>
      </c>
      <c r="E1594">
        <v>500</v>
      </c>
      <c r="F1594" t="s">
        <v>14</v>
      </c>
      <c r="G1594" t="s">
        <v>28</v>
      </c>
      <c r="H1594" t="s">
        <v>16</v>
      </c>
      <c r="I1594" t="s">
        <v>17</v>
      </c>
      <c r="J1594" t="s">
        <v>37</v>
      </c>
      <c r="K1594">
        <v>0</v>
      </c>
      <c r="L159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594">
        <f>GhanaStream[[#This Row],[Subscription Fee]]-(GhanaStream[[#This Row],[Discount]]*GhanaStream[[#This Row],[Subscription Fee]])</f>
        <v>500</v>
      </c>
      <c r="N1594" t="str">
        <f>IF(GhanaStream[[#This Row],[Churn Flag]]="Yes","Churned","Retained")</f>
        <v>Churned</v>
      </c>
    </row>
    <row r="1595" spans="1:14" x14ac:dyDescent="0.25">
      <c r="A1595" t="s">
        <v>1633</v>
      </c>
      <c r="B1595" s="1">
        <v>45020</v>
      </c>
      <c r="C1595" t="s">
        <v>31</v>
      </c>
      <c r="D1595" t="s">
        <v>13</v>
      </c>
      <c r="E1595">
        <v>1000</v>
      </c>
      <c r="F1595" t="s">
        <v>14</v>
      </c>
      <c r="G1595" t="s">
        <v>15</v>
      </c>
      <c r="H1595" t="s">
        <v>33</v>
      </c>
      <c r="I1595" t="s">
        <v>34</v>
      </c>
      <c r="J1595" t="s">
        <v>41</v>
      </c>
      <c r="K1595">
        <v>0</v>
      </c>
      <c r="L159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595">
        <f>GhanaStream[[#This Row],[Subscription Fee]]-(GhanaStream[[#This Row],[Discount]]*GhanaStream[[#This Row],[Subscription Fee]])</f>
        <v>1000</v>
      </c>
      <c r="N1595" t="str">
        <f>IF(GhanaStream[[#This Row],[Churn Flag]]="Yes","Churned","Retained")</f>
        <v>Retained</v>
      </c>
    </row>
    <row r="1596" spans="1:14" x14ac:dyDescent="0.25">
      <c r="A1596" t="s">
        <v>1634</v>
      </c>
      <c r="B1596" s="1">
        <v>45549</v>
      </c>
      <c r="C1596" t="s">
        <v>20</v>
      </c>
      <c r="D1596" t="s">
        <v>27</v>
      </c>
      <c r="E1596">
        <v>5400</v>
      </c>
      <c r="F1596" t="s">
        <v>32</v>
      </c>
      <c r="G1596" t="s">
        <v>24</v>
      </c>
      <c r="H1596" t="s">
        <v>16</v>
      </c>
      <c r="I1596" t="s">
        <v>17</v>
      </c>
      <c r="J1596" t="s">
        <v>44</v>
      </c>
      <c r="K1596">
        <v>0.1</v>
      </c>
      <c r="L159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596">
        <f>GhanaStream[[#This Row],[Subscription Fee]]-(GhanaStream[[#This Row],[Discount]]*GhanaStream[[#This Row],[Subscription Fee]])</f>
        <v>4860</v>
      </c>
      <c r="N1596" t="str">
        <f>IF(GhanaStream[[#This Row],[Churn Flag]]="Yes","Churned","Retained")</f>
        <v>Churned</v>
      </c>
    </row>
    <row r="1597" spans="1:14" x14ac:dyDescent="0.25">
      <c r="A1597" t="s">
        <v>1635</v>
      </c>
      <c r="B1597" s="1">
        <v>45474</v>
      </c>
      <c r="C1597" t="s">
        <v>12</v>
      </c>
      <c r="D1597" t="s">
        <v>13</v>
      </c>
      <c r="E1597">
        <v>1500</v>
      </c>
      <c r="F1597" t="s">
        <v>14</v>
      </c>
      <c r="G1597" t="s">
        <v>15</v>
      </c>
      <c r="H1597" t="s">
        <v>33</v>
      </c>
      <c r="I1597" t="s">
        <v>34</v>
      </c>
      <c r="J1597" t="s">
        <v>37</v>
      </c>
      <c r="K1597">
        <v>0</v>
      </c>
      <c r="L159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597">
        <f>GhanaStream[[#This Row],[Subscription Fee]]-(GhanaStream[[#This Row],[Discount]]*GhanaStream[[#This Row],[Subscription Fee]])</f>
        <v>1500</v>
      </c>
      <c r="N1597" t="str">
        <f>IF(GhanaStream[[#This Row],[Churn Flag]]="Yes","Churned","Retained")</f>
        <v>Retained</v>
      </c>
    </row>
    <row r="1598" spans="1:14" x14ac:dyDescent="0.25">
      <c r="A1598" t="s">
        <v>1636</v>
      </c>
      <c r="B1598" s="1">
        <v>45538</v>
      </c>
      <c r="C1598" t="s">
        <v>20</v>
      </c>
      <c r="D1598" t="s">
        <v>27</v>
      </c>
      <c r="E1598">
        <v>5400</v>
      </c>
      <c r="F1598" t="s">
        <v>49</v>
      </c>
      <c r="G1598" t="s">
        <v>24</v>
      </c>
      <c r="H1598" t="s">
        <v>33</v>
      </c>
      <c r="I1598" t="s">
        <v>34</v>
      </c>
      <c r="J1598" t="s">
        <v>25</v>
      </c>
      <c r="K1598">
        <v>0.1</v>
      </c>
      <c r="L159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598">
        <f>GhanaStream[[#This Row],[Subscription Fee]]-(GhanaStream[[#This Row],[Discount]]*GhanaStream[[#This Row],[Subscription Fee]])</f>
        <v>4860</v>
      </c>
      <c r="N1598" t="str">
        <f>IF(GhanaStream[[#This Row],[Churn Flag]]="Yes","Churned","Retained")</f>
        <v>Retained</v>
      </c>
    </row>
    <row r="1599" spans="1:14" x14ac:dyDescent="0.25">
      <c r="A1599" t="s">
        <v>1637</v>
      </c>
      <c r="B1599" s="1">
        <v>45248</v>
      </c>
      <c r="C1599" t="s">
        <v>12</v>
      </c>
      <c r="D1599" t="s">
        <v>27</v>
      </c>
      <c r="E1599">
        <v>16200</v>
      </c>
      <c r="F1599" t="s">
        <v>21</v>
      </c>
      <c r="G1599" t="s">
        <v>15</v>
      </c>
      <c r="H1599" t="s">
        <v>16</v>
      </c>
      <c r="I1599" t="s">
        <v>17</v>
      </c>
      <c r="J1599" t="s">
        <v>25</v>
      </c>
      <c r="K1599">
        <v>0.1</v>
      </c>
      <c r="L159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599">
        <f>GhanaStream[[#This Row],[Subscription Fee]]-(GhanaStream[[#This Row],[Discount]]*GhanaStream[[#This Row],[Subscription Fee]])</f>
        <v>14580</v>
      </c>
      <c r="N1599" t="str">
        <f>IF(GhanaStream[[#This Row],[Churn Flag]]="Yes","Churned","Retained")</f>
        <v>Churned</v>
      </c>
    </row>
    <row r="1600" spans="1:14" x14ac:dyDescent="0.25">
      <c r="A1600" t="s">
        <v>1638</v>
      </c>
      <c r="B1600" s="1">
        <v>45598</v>
      </c>
      <c r="C1600" t="s">
        <v>31</v>
      </c>
      <c r="D1600" t="s">
        <v>27</v>
      </c>
      <c r="E1600">
        <v>10800</v>
      </c>
      <c r="F1600" t="s">
        <v>21</v>
      </c>
      <c r="G1600" t="s">
        <v>15</v>
      </c>
      <c r="H1600" t="s">
        <v>16</v>
      </c>
      <c r="I1600" t="s">
        <v>17</v>
      </c>
      <c r="J1600" t="s">
        <v>18</v>
      </c>
      <c r="K1600">
        <v>0.1</v>
      </c>
      <c r="L160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600">
        <f>GhanaStream[[#This Row],[Subscription Fee]]-(GhanaStream[[#This Row],[Discount]]*GhanaStream[[#This Row],[Subscription Fee]])</f>
        <v>9720</v>
      </c>
      <c r="N1600" t="str">
        <f>IF(GhanaStream[[#This Row],[Churn Flag]]="Yes","Churned","Retained")</f>
        <v>Churned</v>
      </c>
    </row>
    <row r="1601" spans="1:14" x14ac:dyDescent="0.25">
      <c r="A1601" t="s">
        <v>1639</v>
      </c>
      <c r="B1601" s="1">
        <v>45141</v>
      </c>
      <c r="C1601" t="s">
        <v>12</v>
      </c>
      <c r="D1601" t="s">
        <v>27</v>
      </c>
      <c r="E1601">
        <v>16200</v>
      </c>
      <c r="F1601" t="s">
        <v>21</v>
      </c>
      <c r="G1601" t="s">
        <v>24</v>
      </c>
      <c r="H1601" t="s">
        <v>16</v>
      </c>
      <c r="I1601" t="s">
        <v>17</v>
      </c>
      <c r="J1601" t="s">
        <v>25</v>
      </c>
      <c r="K1601">
        <v>0.1</v>
      </c>
      <c r="L160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601">
        <f>GhanaStream[[#This Row],[Subscription Fee]]-(GhanaStream[[#This Row],[Discount]]*GhanaStream[[#This Row],[Subscription Fee]])</f>
        <v>14580</v>
      </c>
      <c r="N1601" t="str">
        <f>IF(GhanaStream[[#This Row],[Churn Flag]]="Yes","Churned","Retained")</f>
        <v>Churned</v>
      </c>
    </row>
    <row r="1602" spans="1:14" x14ac:dyDescent="0.25">
      <c r="A1602" t="s">
        <v>1640</v>
      </c>
      <c r="B1602" s="1">
        <v>45297</v>
      </c>
      <c r="C1602" t="s">
        <v>31</v>
      </c>
      <c r="D1602" t="s">
        <v>13</v>
      </c>
      <c r="E1602">
        <v>1000</v>
      </c>
      <c r="F1602" t="s">
        <v>49</v>
      </c>
      <c r="G1602" t="s">
        <v>28</v>
      </c>
      <c r="H1602" t="s">
        <v>33</v>
      </c>
      <c r="I1602" t="s">
        <v>34</v>
      </c>
      <c r="J1602" t="s">
        <v>22</v>
      </c>
      <c r="K1602">
        <v>0</v>
      </c>
      <c r="L160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602">
        <f>GhanaStream[[#This Row],[Subscription Fee]]-(GhanaStream[[#This Row],[Discount]]*GhanaStream[[#This Row],[Subscription Fee]])</f>
        <v>1000</v>
      </c>
      <c r="N1602" t="str">
        <f>IF(GhanaStream[[#This Row],[Churn Flag]]="Yes","Churned","Retained")</f>
        <v>Retained</v>
      </c>
    </row>
    <row r="1603" spans="1:14" x14ac:dyDescent="0.25">
      <c r="A1603" t="s">
        <v>1641</v>
      </c>
      <c r="B1603" s="1">
        <v>45308</v>
      </c>
      <c r="C1603" t="s">
        <v>20</v>
      </c>
      <c r="D1603" t="s">
        <v>27</v>
      </c>
      <c r="E1603">
        <v>5400</v>
      </c>
      <c r="F1603" t="s">
        <v>14</v>
      </c>
      <c r="G1603" t="s">
        <v>28</v>
      </c>
      <c r="H1603" t="s">
        <v>33</v>
      </c>
      <c r="I1603" t="s">
        <v>34</v>
      </c>
      <c r="J1603" t="s">
        <v>55</v>
      </c>
      <c r="K1603">
        <v>0.1</v>
      </c>
      <c r="L160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603">
        <f>GhanaStream[[#This Row],[Subscription Fee]]-(GhanaStream[[#This Row],[Discount]]*GhanaStream[[#This Row],[Subscription Fee]])</f>
        <v>4860</v>
      </c>
      <c r="N1603" t="str">
        <f>IF(GhanaStream[[#This Row],[Churn Flag]]="Yes","Churned","Retained")</f>
        <v>Retained</v>
      </c>
    </row>
    <row r="1604" spans="1:14" x14ac:dyDescent="0.25">
      <c r="A1604" t="s">
        <v>1642</v>
      </c>
      <c r="B1604" s="1">
        <v>45357</v>
      </c>
      <c r="C1604" t="s">
        <v>31</v>
      </c>
      <c r="D1604" t="s">
        <v>13</v>
      </c>
      <c r="E1604">
        <v>1000</v>
      </c>
      <c r="F1604" t="s">
        <v>32</v>
      </c>
      <c r="G1604" t="s">
        <v>28</v>
      </c>
      <c r="H1604" t="s">
        <v>16</v>
      </c>
      <c r="I1604" t="s">
        <v>17</v>
      </c>
      <c r="J1604" t="s">
        <v>44</v>
      </c>
      <c r="K1604">
        <v>0</v>
      </c>
      <c r="L160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604">
        <f>GhanaStream[[#This Row],[Subscription Fee]]-(GhanaStream[[#This Row],[Discount]]*GhanaStream[[#This Row],[Subscription Fee]])</f>
        <v>1000</v>
      </c>
      <c r="N1604" t="str">
        <f>IF(GhanaStream[[#This Row],[Churn Flag]]="Yes","Churned","Retained")</f>
        <v>Churned</v>
      </c>
    </row>
    <row r="1605" spans="1:14" x14ac:dyDescent="0.25">
      <c r="A1605" t="s">
        <v>1643</v>
      </c>
      <c r="B1605" s="1">
        <v>45101</v>
      </c>
      <c r="C1605" t="s">
        <v>20</v>
      </c>
      <c r="D1605" t="s">
        <v>27</v>
      </c>
      <c r="E1605">
        <v>5400</v>
      </c>
      <c r="F1605" t="s">
        <v>49</v>
      </c>
      <c r="G1605" t="s">
        <v>15</v>
      </c>
      <c r="H1605" t="s">
        <v>33</v>
      </c>
      <c r="I1605" t="s">
        <v>34</v>
      </c>
      <c r="J1605" t="s">
        <v>58</v>
      </c>
      <c r="K1605">
        <v>0.1</v>
      </c>
      <c r="L160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605">
        <f>GhanaStream[[#This Row],[Subscription Fee]]-(GhanaStream[[#This Row],[Discount]]*GhanaStream[[#This Row],[Subscription Fee]])</f>
        <v>4860</v>
      </c>
      <c r="N1605" t="str">
        <f>IF(GhanaStream[[#This Row],[Churn Flag]]="Yes","Churned","Retained")</f>
        <v>Retained</v>
      </c>
    </row>
    <row r="1606" spans="1:14" x14ac:dyDescent="0.25">
      <c r="A1606" t="s">
        <v>1644</v>
      </c>
      <c r="B1606" s="1">
        <v>45409</v>
      </c>
      <c r="C1606" t="s">
        <v>12</v>
      </c>
      <c r="D1606" t="s">
        <v>13</v>
      </c>
      <c r="E1606">
        <v>1500</v>
      </c>
      <c r="F1606" t="s">
        <v>32</v>
      </c>
      <c r="G1606" t="s">
        <v>15</v>
      </c>
      <c r="H1606" t="s">
        <v>16</v>
      </c>
      <c r="I1606" t="s">
        <v>17</v>
      </c>
      <c r="J1606" t="s">
        <v>35</v>
      </c>
      <c r="K1606">
        <v>0</v>
      </c>
      <c r="L160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606">
        <f>GhanaStream[[#This Row],[Subscription Fee]]-(GhanaStream[[#This Row],[Discount]]*GhanaStream[[#This Row],[Subscription Fee]])</f>
        <v>1500</v>
      </c>
      <c r="N1606" t="str">
        <f>IF(GhanaStream[[#This Row],[Churn Flag]]="Yes","Churned","Retained")</f>
        <v>Churned</v>
      </c>
    </row>
    <row r="1607" spans="1:14" x14ac:dyDescent="0.25">
      <c r="A1607" t="s">
        <v>1645</v>
      </c>
      <c r="B1607" s="1">
        <v>45347</v>
      </c>
      <c r="C1607" t="s">
        <v>31</v>
      </c>
      <c r="D1607" t="s">
        <v>27</v>
      </c>
      <c r="E1607">
        <v>10800</v>
      </c>
      <c r="F1607" t="s">
        <v>49</v>
      </c>
      <c r="G1607" t="s">
        <v>24</v>
      </c>
      <c r="H1607" t="s">
        <v>33</v>
      </c>
      <c r="I1607" t="s">
        <v>34</v>
      </c>
      <c r="J1607" t="s">
        <v>22</v>
      </c>
      <c r="K1607">
        <v>0.1</v>
      </c>
      <c r="L160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607">
        <f>GhanaStream[[#This Row],[Subscription Fee]]-(GhanaStream[[#This Row],[Discount]]*GhanaStream[[#This Row],[Subscription Fee]])</f>
        <v>9720</v>
      </c>
      <c r="N1607" t="str">
        <f>IF(GhanaStream[[#This Row],[Churn Flag]]="Yes","Churned","Retained")</f>
        <v>Retained</v>
      </c>
    </row>
    <row r="1608" spans="1:14" x14ac:dyDescent="0.25">
      <c r="A1608" t="s">
        <v>1646</v>
      </c>
      <c r="B1608" s="1">
        <v>44928</v>
      </c>
      <c r="C1608" t="s">
        <v>20</v>
      </c>
      <c r="D1608" t="s">
        <v>13</v>
      </c>
      <c r="E1608">
        <v>500</v>
      </c>
      <c r="F1608" t="s">
        <v>49</v>
      </c>
      <c r="G1608" t="s">
        <v>28</v>
      </c>
      <c r="H1608" t="s">
        <v>16</v>
      </c>
      <c r="I1608" t="s">
        <v>17</v>
      </c>
      <c r="J1608" t="s">
        <v>50</v>
      </c>
      <c r="K1608">
        <v>0</v>
      </c>
      <c r="L160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608">
        <f>GhanaStream[[#This Row],[Subscription Fee]]-(GhanaStream[[#This Row],[Discount]]*GhanaStream[[#This Row],[Subscription Fee]])</f>
        <v>500</v>
      </c>
      <c r="N1608" t="str">
        <f>IF(GhanaStream[[#This Row],[Churn Flag]]="Yes","Churned","Retained")</f>
        <v>Churned</v>
      </c>
    </row>
    <row r="1609" spans="1:14" x14ac:dyDescent="0.25">
      <c r="A1609" t="s">
        <v>1647</v>
      </c>
      <c r="B1609" s="1">
        <v>45056</v>
      </c>
      <c r="C1609" t="s">
        <v>31</v>
      </c>
      <c r="D1609" t="s">
        <v>27</v>
      </c>
      <c r="E1609">
        <v>10800</v>
      </c>
      <c r="F1609" t="s">
        <v>49</v>
      </c>
      <c r="G1609" t="s">
        <v>24</v>
      </c>
      <c r="H1609" t="s">
        <v>16</v>
      </c>
      <c r="I1609" t="s">
        <v>17</v>
      </c>
      <c r="J1609" t="s">
        <v>50</v>
      </c>
      <c r="K1609">
        <v>0.1</v>
      </c>
      <c r="L160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609">
        <f>GhanaStream[[#This Row],[Subscription Fee]]-(GhanaStream[[#This Row],[Discount]]*GhanaStream[[#This Row],[Subscription Fee]])</f>
        <v>9720</v>
      </c>
      <c r="N1609" t="str">
        <f>IF(GhanaStream[[#This Row],[Churn Flag]]="Yes","Churned","Retained")</f>
        <v>Churned</v>
      </c>
    </row>
    <row r="1610" spans="1:14" x14ac:dyDescent="0.25">
      <c r="A1610" t="s">
        <v>1648</v>
      </c>
      <c r="B1610" s="1">
        <v>45464</v>
      </c>
      <c r="C1610" t="s">
        <v>12</v>
      </c>
      <c r="D1610" t="s">
        <v>27</v>
      </c>
      <c r="E1610">
        <v>16200</v>
      </c>
      <c r="F1610" t="s">
        <v>32</v>
      </c>
      <c r="G1610" t="s">
        <v>15</v>
      </c>
      <c r="H1610" t="s">
        <v>33</v>
      </c>
      <c r="I1610" t="s">
        <v>34</v>
      </c>
      <c r="J1610" t="s">
        <v>35</v>
      </c>
      <c r="K1610">
        <v>0.1</v>
      </c>
      <c r="L161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610">
        <f>GhanaStream[[#This Row],[Subscription Fee]]-(GhanaStream[[#This Row],[Discount]]*GhanaStream[[#This Row],[Subscription Fee]])</f>
        <v>14580</v>
      </c>
      <c r="N1610" t="str">
        <f>IF(GhanaStream[[#This Row],[Churn Flag]]="Yes","Churned","Retained")</f>
        <v>Retained</v>
      </c>
    </row>
    <row r="1611" spans="1:14" x14ac:dyDescent="0.25">
      <c r="A1611" t="s">
        <v>1649</v>
      </c>
      <c r="B1611" s="1">
        <v>45462</v>
      </c>
      <c r="C1611" t="s">
        <v>20</v>
      </c>
      <c r="D1611" t="s">
        <v>13</v>
      </c>
      <c r="E1611">
        <v>500</v>
      </c>
      <c r="F1611" t="s">
        <v>49</v>
      </c>
      <c r="G1611" t="s">
        <v>15</v>
      </c>
      <c r="H1611" t="s">
        <v>33</v>
      </c>
      <c r="I1611" t="s">
        <v>34</v>
      </c>
      <c r="J1611" t="s">
        <v>58</v>
      </c>
      <c r="K1611">
        <v>0</v>
      </c>
      <c r="L161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611">
        <f>GhanaStream[[#This Row],[Subscription Fee]]-(GhanaStream[[#This Row],[Discount]]*GhanaStream[[#This Row],[Subscription Fee]])</f>
        <v>500</v>
      </c>
      <c r="N1611" t="str">
        <f>IF(GhanaStream[[#This Row],[Churn Flag]]="Yes","Churned","Retained")</f>
        <v>Retained</v>
      </c>
    </row>
    <row r="1612" spans="1:14" x14ac:dyDescent="0.25">
      <c r="A1612" t="s">
        <v>1650</v>
      </c>
      <c r="B1612" s="1">
        <v>45637</v>
      </c>
      <c r="C1612" t="s">
        <v>20</v>
      </c>
      <c r="D1612" t="s">
        <v>13</v>
      </c>
      <c r="E1612">
        <v>500</v>
      </c>
      <c r="F1612" t="s">
        <v>14</v>
      </c>
      <c r="G1612" t="s">
        <v>24</v>
      </c>
      <c r="H1612" t="s">
        <v>33</v>
      </c>
      <c r="I1612" t="s">
        <v>34</v>
      </c>
      <c r="J1612" t="s">
        <v>37</v>
      </c>
      <c r="K1612">
        <v>0</v>
      </c>
      <c r="L161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612">
        <f>GhanaStream[[#This Row],[Subscription Fee]]-(GhanaStream[[#This Row],[Discount]]*GhanaStream[[#This Row],[Subscription Fee]])</f>
        <v>500</v>
      </c>
      <c r="N1612" t="str">
        <f>IF(GhanaStream[[#This Row],[Churn Flag]]="Yes","Churned","Retained")</f>
        <v>Retained</v>
      </c>
    </row>
    <row r="1613" spans="1:14" x14ac:dyDescent="0.25">
      <c r="A1613" t="s">
        <v>1651</v>
      </c>
      <c r="B1613" s="1">
        <v>45318</v>
      </c>
      <c r="C1613" t="s">
        <v>31</v>
      </c>
      <c r="D1613" t="s">
        <v>13</v>
      </c>
      <c r="E1613">
        <v>1000</v>
      </c>
      <c r="F1613" t="s">
        <v>14</v>
      </c>
      <c r="G1613" t="s">
        <v>15</v>
      </c>
      <c r="H1613" t="s">
        <v>33</v>
      </c>
      <c r="I1613" t="s">
        <v>34</v>
      </c>
      <c r="J1613" t="s">
        <v>37</v>
      </c>
      <c r="K1613">
        <v>0</v>
      </c>
      <c r="L161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613">
        <f>GhanaStream[[#This Row],[Subscription Fee]]-(GhanaStream[[#This Row],[Discount]]*GhanaStream[[#This Row],[Subscription Fee]])</f>
        <v>1000</v>
      </c>
      <c r="N1613" t="str">
        <f>IF(GhanaStream[[#This Row],[Churn Flag]]="Yes","Churned","Retained")</f>
        <v>Retained</v>
      </c>
    </row>
    <row r="1614" spans="1:14" x14ac:dyDescent="0.25">
      <c r="A1614" t="s">
        <v>1652</v>
      </c>
      <c r="B1614" s="1">
        <v>45390</v>
      </c>
      <c r="C1614" t="s">
        <v>31</v>
      </c>
      <c r="D1614" t="s">
        <v>13</v>
      </c>
      <c r="E1614">
        <v>1000</v>
      </c>
      <c r="F1614" t="s">
        <v>49</v>
      </c>
      <c r="G1614" t="s">
        <v>24</v>
      </c>
      <c r="H1614" t="s">
        <v>16</v>
      </c>
      <c r="I1614" t="s">
        <v>17</v>
      </c>
      <c r="J1614" t="s">
        <v>18</v>
      </c>
      <c r="K1614">
        <v>0</v>
      </c>
      <c r="L161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614">
        <f>GhanaStream[[#This Row],[Subscription Fee]]-(GhanaStream[[#This Row],[Discount]]*GhanaStream[[#This Row],[Subscription Fee]])</f>
        <v>1000</v>
      </c>
      <c r="N1614" t="str">
        <f>IF(GhanaStream[[#This Row],[Churn Flag]]="Yes","Churned","Retained")</f>
        <v>Churned</v>
      </c>
    </row>
    <row r="1615" spans="1:14" x14ac:dyDescent="0.25">
      <c r="A1615" t="s">
        <v>1653</v>
      </c>
      <c r="B1615" s="1">
        <v>45050</v>
      </c>
      <c r="C1615" t="s">
        <v>20</v>
      </c>
      <c r="D1615" t="s">
        <v>13</v>
      </c>
      <c r="E1615">
        <v>500</v>
      </c>
      <c r="F1615" t="s">
        <v>32</v>
      </c>
      <c r="G1615" t="s">
        <v>15</v>
      </c>
      <c r="H1615" t="s">
        <v>16</v>
      </c>
      <c r="I1615" t="s">
        <v>17</v>
      </c>
      <c r="J1615" t="s">
        <v>35</v>
      </c>
      <c r="K1615">
        <v>0</v>
      </c>
      <c r="L161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615">
        <f>GhanaStream[[#This Row],[Subscription Fee]]-(GhanaStream[[#This Row],[Discount]]*GhanaStream[[#This Row],[Subscription Fee]])</f>
        <v>500</v>
      </c>
      <c r="N1615" t="str">
        <f>IF(GhanaStream[[#This Row],[Churn Flag]]="Yes","Churned","Retained")</f>
        <v>Churned</v>
      </c>
    </row>
    <row r="1616" spans="1:14" x14ac:dyDescent="0.25">
      <c r="A1616" t="s">
        <v>1654</v>
      </c>
      <c r="B1616" s="1">
        <v>44973</v>
      </c>
      <c r="C1616" t="s">
        <v>31</v>
      </c>
      <c r="D1616" t="s">
        <v>27</v>
      </c>
      <c r="E1616">
        <v>10800</v>
      </c>
      <c r="F1616" t="s">
        <v>21</v>
      </c>
      <c r="G1616" t="s">
        <v>15</v>
      </c>
      <c r="H1616" t="s">
        <v>33</v>
      </c>
      <c r="I1616" t="s">
        <v>34</v>
      </c>
      <c r="J1616" t="s">
        <v>29</v>
      </c>
      <c r="K1616">
        <v>0.1</v>
      </c>
      <c r="L161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616">
        <f>GhanaStream[[#This Row],[Subscription Fee]]-(GhanaStream[[#This Row],[Discount]]*GhanaStream[[#This Row],[Subscription Fee]])</f>
        <v>9720</v>
      </c>
      <c r="N1616" t="str">
        <f>IF(GhanaStream[[#This Row],[Churn Flag]]="Yes","Churned","Retained")</f>
        <v>Retained</v>
      </c>
    </row>
    <row r="1617" spans="1:14" x14ac:dyDescent="0.25">
      <c r="A1617" t="s">
        <v>1655</v>
      </c>
      <c r="B1617" s="1">
        <v>45480</v>
      </c>
      <c r="C1617" t="s">
        <v>20</v>
      </c>
      <c r="D1617" t="s">
        <v>13</v>
      </c>
      <c r="E1617">
        <v>500</v>
      </c>
      <c r="F1617" t="s">
        <v>21</v>
      </c>
      <c r="G1617" t="s">
        <v>28</v>
      </c>
      <c r="H1617" t="s">
        <v>16</v>
      </c>
      <c r="I1617" t="s">
        <v>17</v>
      </c>
      <c r="J1617" t="s">
        <v>18</v>
      </c>
      <c r="K1617">
        <v>0</v>
      </c>
      <c r="L161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617">
        <f>GhanaStream[[#This Row],[Subscription Fee]]-(GhanaStream[[#This Row],[Discount]]*GhanaStream[[#This Row],[Subscription Fee]])</f>
        <v>500</v>
      </c>
      <c r="N1617" t="str">
        <f>IF(GhanaStream[[#This Row],[Churn Flag]]="Yes","Churned","Retained")</f>
        <v>Churned</v>
      </c>
    </row>
    <row r="1618" spans="1:14" x14ac:dyDescent="0.25">
      <c r="A1618" t="s">
        <v>1656</v>
      </c>
      <c r="B1618" s="1">
        <v>44978</v>
      </c>
      <c r="C1618" t="s">
        <v>20</v>
      </c>
      <c r="D1618" t="s">
        <v>13</v>
      </c>
      <c r="E1618">
        <v>500</v>
      </c>
      <c r="F1618" t="s">
        <v>14</v>
      </c>
      <c r="G1618" t="s">
        <v>28</v>
      </c>
      <c r="H1618" t="s">
        <v>16</v>
      </c>
      <c r="I1618" t="s">
        <v>17</v>
      </c>
      <c r="J1618" t="s">
        <v>18</v>
      </c>
      <c r="K1618">
        <v>0</v>
      </c>
      <c r="L161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618">
        <f>GhanaStream[[#This Row],[Subscription Fee]]-(GhanaStream[[#This Row],[Discount]]*GhanaStream[[#This Row],[Subscription Fee]])</f>
        <v>500</v>
      </c>
      <c r="N1618" t="str">
        <f>IF(GhanaStream[[#This Row],[Churn Flag]]="Yes","Churned","Retained")</f>
        <v>Churned</v>
      </c>
    </row>
    <row r="1619" spans="1:14" x14ac:dyDescent="0.25">
      <c r="A1619" t="s">
        <v>1657</v>
      </c>
      <c r="B1619" s="1">
        <v>45523</v>
      </c>
      <c r="C1619" t="s">
        <v>12</v>
      </c>
      <c r="D1619" t="s">
        <v>27</v>
      </c>
      <c r="E1619">
        <v>16200</v>
      </c>
      <c r="F1619" t="s">
        <v>21</v>
      </c>
      <c r="G1619" t="s">
        <v>15</v>
      </c>
      <c r="H1619" t="s">
        <v>33</v>
      </c>
      <c r="I1619" t="s">
        <v>34</v>
      </c>
      <c r="J1619" t="s">
        <v>18</v>
      </c>
      <c r="K1619">
        <v>0.1</v>
      </c>
      <c r="L161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619">
        <f>GhanaStream[[#This Row],[Subscription Fee]]-(GhanaStream[[#This Row],[Discount]]*GhanaStream[[#This Row],[Subscription Fee]])</f>
        <v>14580</v>
      </c>
      <c r="N1619" t="str">
        <f>IF(GhanaStream[[#This Row],[Churn Flag]]="Yes","Churned","Retained")</f>
        <v>Retained</v>
      </c>
    </row>
    <row r="1620" spans="1:14" x14ac:dyDescent="0.25">
      <c r="A1620" t="s">
        <v>1658</v>
      </c>
      <c r="B1620" s="1">
        <v>45547</v>
      </c>
      <c r="C1620" t="s">
        <v>12</v>
      </c>
      <c r="D1620" t="s">
        <v>27</v>
      </c>
      <c r="E1620">
        <v>16200</v>
      </c>
      <c r="F1620" t="s">
        <v>49</v>
      </c>
      <c r="G1620" t="s">
        <v>24</v>
      </c>
      <c r="H1620" t="s">
        <v>16</v>
      </c>
      <c r="I1620" t="s">
        <v>17</v>
      </c>
      <c r="J1620" t="s">
        <v>50</v>
      </c>
      <c r="K1620">
        <v>0.1</v>
      </c>
      <c r="L162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620">
        <f>GhanaStream[[#This Row],[Subscription Fee]]-(GhanaStream[[#This Row],[Discount]]*GhanaStream[[#This Row],[Subscription Fee]])</f>
        <v>14580</v>
      </c>
      <c r="N1620" t="str">
        <f>IF(GhanaStream[[#This Row],[Churn Flag]]="Yes","Churned","Retained")</f>
        <v>Churned</v>
      </c>
    </row>
    <row r="1621" spans="1:14" x14ac:dyDescent="0.25">
      <c r="A1621" t="s">
        <v>1659</v>
      </c>
      <c r="B1621" s="1">
        <v>45424</v>
      </c>
      <c r="C1621" t="s">
        <v>12</v>
      </c>
      <c r="D1621" t="s">
        <v>27</v>
      </c>
      <c r="E1621">
        <v>16200</v>
      </c>
      <c r="F1621" t="s">
        <v>14</v>
      </c>
      <c r="G1621" t="s">
        <v>24</v>
      </c>
      <c r="H1621" t="s">
        <v>16</v>
      </c>
      <c r="I1621" t="s">
        <v>17</v>
      </c>
      <c r="J1621" t="s">
        <v>55</v>
      </c>
      <c r="K1621">
        <v>0.1</v>
      </c>
      <c r="L162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621">
        <f>GhanaStream[[#This Row],[Subscription Fee]]-(GhanaStream[[#This Row],[Discount]]*GhanaStream[[#This Row],[Subscription Fee]])</f>
        <v>14580</v>
      </c>
      <c r="N1621" t="str">
        <f>IF(GhanaStream[[#This Row],[Churn Flag]]="Yes","Churned","Retained")</f>
        <v>Churned</v>
      </c>
    </row>
    <row r="1622" spans="1:14" x14ac:dyDescent="0.25">
      <c r="A1622" t="s">
        <v>1660</v>
      </c>
      <c r="B1622" s="1">
        <v>44994</v>
      </c>
      <c r="C1622" t="s">
        <v>20</v>
      </c>
      <c r="D1622" t="s">
        <v>27</v>
      </c>
      <c r="E1622">
        <v>5400</v>
      </c>
      <c r="F1622" t="s">
        <v>14</v>
      </c>
      <c r="G1622" t="s">
        <v>24</v>
      </c>
      <c r="H1622" t="s">
        <v>33</v>
      </c>
      <c r="I1622" t="s">
        <v>34</v>
      </c>
      <c r="J1622" t="s">
        <v>22</v>
      </c>
      <c r="K1622">
        <v>0.1</v>
      </c>
      <c r="L162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622">
        <f>GhanaStream[[#This Row],[Subscription Fee]]-(GhanaStream[[#This Row],[Discount]]*GhanaStream[[#This Row],[Subscription Fee]])</f>
        <v>4860</v>
      </c>
      <c r="N1622" t="str">
        <f>IF(GhanaStream[[#This Row],[Churn Flag]]="Yes","Churned","Retained")</f>
        <v>Retained</v>
      </c>
    </row>
    <row r="1623" spans="1:14" x14ac:dyDescent="0.25">
      <c r="A1623" t="s">
        <v>1661</v>
      </c>
      <c r="B1623" s="1">
        <v>45520</v>
      </c>
      <c r="C1623" t="s">
        <v>12</v>
      </c>
      <c r="D1623" t="s">
        <v>13</v>
      </c>
      <c r="E1623">
        <v>1500</v>
      </c>
      <c r="F1623" t="s">
        <v>21</v>
      </c>
      <c r="G1623" t="s">
        <v>28</v>
      </c>
      <c r="H1623" t="s">
        <v>16</v>
      </c>
      <c r="I1623" t="s">
        <v>17</v>
      </c>
      <c r="J1623" t="s">
        <v>18</v>
      </c>
      <c r="K1623">
        <v>0</v>
      </c>
      <c r="L162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623">
        <f>GhanaStream[[#This Row],[Subscription Fee]]-(GhanaStream[[#This Row],[Discount]]*GhanaStream[[#This Row],[Subscription Fee]])</f>
        <v>1500</v>
      </c>
      <c r="N1623" t="str">
        <f>IF(GhanaStream[[#This Row],[Churn Flag]]="Yes","Churned","Retained")</f>
        <v>Churned</v>
      </c>
    </row>
    <row r="1624" spans="1:14" x14ac:dyDescent="0.25">
      <c r="A1624" t="s">
        <v>1662</v>
      </c>
      <c r="B1624" s="1">
        <v>45249</v>
      </c>
      <c r="C1624" t="s">
        <v>31</v>
      </c>
      <c r="D1624" t="s">
        <v>13</v>
      </c>
      <c r="E1624">
        <v>1000</v>
      </c>
      <c r="F1624" t="s">
        <v>49</v>
      </c>
      <c r="G1624" t="s">
        <v>24</v>
      </c>
      <c r="H1624" t="s">
        <v>33</v>
      </c>
      <c r="I1624" t="s">
        <v>34</v>
      </c>
      <c r="J1624" t="s">
        <v>25</v>
      </c>
      <c r="K1624">
        <v>0</v>
      </c>
      <c r="L162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624">
        <f>GhanaStream[[#This Row],[Subscription Fee]]-(GhanaStream[[#This Row],[Discount]]*GhanaStream[[#This Row],[Subscription Fee]])</f>
        <v>1000</v>
      </c>
      <c r="N1624" t="str">
        <f>IF(GhanaStream[[#This Row],[Churn Flag]]="Yes","Churned","Retained")</f>
        <v>Retained</v>
      </c>
    </row>
    <row r="1625" spans="1:14" x14ac:dyDescent="0.25">
      <c r="A1625" t="s">
        <v>1663</v>
      </c>
      <c r="B1625" s="1">
        <v>44975</v>
      </c>
      <c r="C1625" t="s">
        <v>20</v>
      </c>
      <c r="D1625" t="s">
        <v>13</v>
      </c>
      <c r="E1625">
        <v>500</v>
      </c>
      <c r="F1625" t="s">
        <v>21</v>
      </c>
      <c r="G1625" t="s">
        <v>15</v>
      </c>
      <c r="H1625" t="s">
        <v>16</v>
      </c>
      <c r="I1625" t="s">
        <v>17</v>
      </c>
      <c r="J1625" t="s">
        <v>18</v>
      </c>
      <c r="K1625">
        <v>0</v>
      </c>
      <c r="L162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625">
        <f>GhanaStream[[#This Row],[Subscription Fee]]-(GhanaStream[[#This Row],[Discount]]*GhanaStream[[#This Row],[Subscription Fee]])</f>
        <v>500</v>
      </c>
      <c r="N1625" t="str">
        <f>IF(GhanaStream[[#This Row],[Churn Flag]]="Yes","Churned","Retained")</f>
        <v>Churned</v>
      </c>
    </row>
    <row r="1626" spans="1:14" x14ac:dyDescent="0.25">
      <c r="A1626" t="s">
        <v>1664</v>
      </c>
      <c r="B1626" s="1">
        <v>45201</v>
      </c>
      <c r="C1626" t="s">
        <v>20</v>
      </c>
      <c r="D1626" t="s">
        <v>13</v>
      </c>
      <c r="E1626">
        <v>500</v>
      </c>
      <c r="F1626" t="s">
        <v>32</v>
      </c>
      <c r="G1626" t="s">
        <v>28</v>
      </c>
      <c r="H1626" t="s">
        <v>16</v>
      </c>
      <c r="I1626" t="s">
        <v>17</v>
      </c>
      <c r="J1626" t="s">
        <v>39</v>
      </c>
      <c r="K1626">
        <v>0</v>
      </c>
      <c r="L162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626">
        <f>GhanaStream[[#This Row],[Subscription Fee]]-(GhanaStream[[#This Row],[Discount]]*GhanaStream[[#This Row],[Subscription Fee]])</f>
        <v>500</v>
      </c>
      <c r="N1626" t="str">
        <f>IF(GhanaStream[[#This Row],[Churn Flag]]="Yes","Churned","Retained")</f>
        <v>Churned</v>
      </c>
    </row>
    <row r="1627" spans="1:14" x14ac:dyDescent="0.25">
      <c r="A1627" t="s">
        <v>1665</v>
      </c>
      <c r="B1627" s="1">
        <v>45069</v>
      </c>
      <c r="C1627" t="s">
        <v>20</v>
      </c>
      <c r="D1627" t="s">
        <v>13</v>
      </c>
      <c r="E1627">
        <v>500</v>
      </c>
      <c r="F1627" t="s">
        <v>14</v>
      </c>
      <c r="G1627" t="s">
        <v>15</v>
      </c>
      <c r="H1627" t="s">
        <v>33</v>
      </c>
      <c r="I1627" t="s">
        <v>34</v>
      </c>
      <c r="J1627" t="s">
        <v>55</v>
      </c>
      <c r="K1627">
        <v>0</v>
      </c>
      <c r="L162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627">
        <f>GhanaStream[[#This Row],[Subscription Fee]]-(GhanaStream[[#This Row],[Discount]]*GhanaStream[[#This Row],[Subscription Fee]])</f>
        <v>500</v>
      </c>
      <c r="N1627" t="str">
        <f>IF(GhanaStream[[#This Row],[Churn Flag]]="Yes","Churned","Retained")</f>
        <v>Retained</v>
      </c>
    </row>
    <row r="1628" spans="1:14" x14ac:dyDescent="0.25">
      <c r="A1628" t="s">
        <v>1666</v>
      </c>
      <c r="B1628" s="1">
        <v>45610</v>
      </c>
      <c r="C1628" t="s">
        <v>20</v>
      </c>
      <c r="D1628" t="s">
        <v>27</v>
      </c>
      <c r="E1628">
        <v>5400</v>
      </c>
      <c r="F1628" t="s">
        <v>21</v>
      </c>
      <c r="G1628" t="s">
        <v>15</v>
      </c>
      <c r="H1628" t="s">
        <v>16</v>
      </c>
      <c r="I1628" t="s">
        <v>17</v>
      </c>
      <c r="J1628" t="s">
        <v>22</v>
      </c>
      <c r="K1628">
        <v>0.1</v>
      </c>
      <c r="L162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628">
        <f>GhanaStream[[#This Row],[Subscription Fee]]-(GhanaStream[[#This Row],[Discount]]*GhanaStream[[#This Row],[Subscription Fee]])</f>
        <v>4860</v>
      </c>
      <c r="N1628" t="str">
        <f>IF(GhanaStream[[#This Row],[Churn Flag]]="Yes","Churned","Retained")</f>
        <v>Churned</v>
      </c>
    </row>
    <row r="1629" spans="1:14" x14ac:dyDescent="0.25">
      <c r="A1629" t="s">
        <v>1667</v>
      </c>
      <c r="B1629" s="1">
        <v>45457</v>
      </c>
      <c r="C1629" t="s">
        <v>20</v>
      </c>
      <c r="D1629" t="s">
        <v>27</v>
      </c>
      <c r="E1629">
        <v>5400</v>
      </c>
      <c r="F1629" t="s">
        <v>21</v>
      </c>
      <c r="G1629" t="s">
        <v>28</v>
      </c>
      <c r="H1629" t="s">
        <v>16</v>
      </c>
      <c r="I1629" t="s">
        <v>17</v>
      </c>
      <c r="J1629" t="s">
        <v>25</v>
      </c>
      <c r="K1629">
        <v>0.1</v>
      </c>
      <c r="L162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629">
        <f>GhanaStream[[#This Row],[Subscription Fee]]-(GhanaStream[[#This Row],[Discount]]*GhanaStream[[#This Row],[Subscription Fee]])</f>
        <v>4860</v>
      </c>
      <c r="N1629" t="str">
        <f>IF(GhanaStream[[#This Row],[Churn Flag]]="Yes","Churned","Retained")</f>
        <v>Churned</v>
      </c>
    </row>
    <row r="1630" spans="1:14" x14ac:dyDescent="0.25">
      <c r="A1630" t="s">
        <v>1668</v>
      </c>
      <c r="B1630" s="1">
        <v>45164</v>
      </c>
      <c r="C1630" t="s">
        <v>12</v>
      </c>
      <c r="D1630" t="s">
        <v>27</v>
      </c>
      <c r="E1630">
        <v>16200</v>
      </c>
      <c r="F1630" t="s">
        <v>32</v>
      </c>
      <c r="G1630" t="s">
        <v>24</v>
      </c>
      <c r="H1630" t="s">
        <v>33</v>
      </c>
      <c r="I1630" t="s">
        <v>34</v>
      </c>
      <c r="J1630" t="s">
        <v>66</v>
      </c>
      <c r="K1630">
        <v>0.1</v>
      </c>
      <c r="L163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630">
        <f>GhanaStream[[#This Row],[Subscription Fee]]-(GhanaStream[[#This Row],[Discount]]*GhanaStream[[#This Row],[Subscription Fee]])</f>
        <v>14580</v>
      </c>
      <c r="N1630" t="str">
        <f>IF(GhanaStream[[#This Row],[Churn Flag]]="Yes","Churned","Retained")</f>
        <v>Retained</v>
      </c>
    </row>
    <row r="1631" spans="1:14" x14ac:dyDescent="0.25">
      <c r="A1631" t="s">
        <v>1669</v>
      </c>
      <c r="B1631" s="1">
        <v>45240</v>
      </c>
      <c r="C1631" t="s">
        <v>31</v>
      </c>
      <c r="D1631" t="s">
        <v>27</v>
      </c>
      <c r="E1631">
        <v>10800</v>
      </c>
      <c r="F1631" t="s">
        <v>49</v>
      </c>
      <c r="G1631" t="s">
        <v>28</v>
      </c>
      <c r="H1631" t="s">
        <v>33</v>
      </c>
      <c r="I1631" t="s">
        <v>34</v>
      </c>
      <c r="J1631" t="s">
        <v>25</v>
      </c>
      <c r="K1631">
        <v>0.1</v>
      </c>
      <c r="L163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631">
        <f>GhanaStream[[#This Row],[Subscription Fee]]-(GhanaStream[[#This Row],[Discount]]*GhanaStream[[#This Row],[Subscription Fee]])</f>
        <v>9720</v>
      </c>
      <c r="N1631" t="str">
        <f>IF(GhanaStream[[#This Row],[Churn Flag]]="Yes","Churned","Retained")</f>
        <v>Retained</v>
      </c>
    </row>
    <row r="1632" spans="1:14" x14ac:dyDescent="0.25">
      <c r="A1632" t="s">
        <v>1670</v>
      </c>
      <c r="B1632" s="1">
        <v>45145</v>
      </c>
      <c r="C1632" t="s">
        <v>31</v>
      </c>
      <c r="D1632" t="s">
        <v>13</v>
      </c>
      <c r="E1632">
        <v>1000</v>
      </c>
      <c r="F1632" t="s">
        <v>49</v>
      </c>
      <c r="G1632" t="s">
        <v>24</v>
      </c>
      <c r="H1632" t="s">
        <v>33</v>
      </c>
      <c r="I1632" t="s">
        <v>34</v>
      </c>
      <c r="J1632" t="s">
        <v>18</v>
      </c>
      <c r="K1632">
        <v>0</v>
      </c>
      <c r="L163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632">
        <f>GhanaStream[[#This Row],[Subscription Fee]]-(GhanaStream[[#This Row],[Discount]]*GhanaStream[[#This Row],[Subscription Fee]])</f>
        <v>1000</v>
      </c>
      <c r="N1632" t="str">
        <f>IF(GhanaStream[[#This Row],[Churn Flag]]="Yes","Churned","Retained")</f>
        <v>Retained</v>
      </c>
    </row>
    <row r="1633" spans="1:14" x14ac:dyDescent="0.25">
      <c r="A1633" t="s">
        <v>1671</v>
      </c>
      <c r="B1633" s="1">
        <v>45603</v>
      </c>
      <c r="C1633" t="s">
        <v>20</v>
      </c>
      <c r="D1633" t="s">
        <v>13</v>
      </c>
      <c r="E1633">
        <v>500</v>
      </c>
      <c r="F1633" t="s">
        <v>14</v>
      </c>
      <c r="G1633" t="s">
        <v>28</v>
      </c>
      <c r="H1633" t="s">
        <v>33</v>
      </c>
      <c r="I1633" t="s">
        <v>34</v>
      </c>
      <c r="J1633" t="s">
        <v>37</v>
      </c>
      <c r="K1633">
        <v>0</v>
      </c>
      <c r="L163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633">
        <f>GhanaStream[[#This Row],[Subscription Fee]]-(GhanaStream[[#This Row],[Discount]]*GhanaStream[[#This Row],[Subscription Fee]])</f>
        <v>500</v>
      </c>
      <c r="N1633" t="str">
        <f>IF(GhanaStream[[#This Row],[Churn Flag]]="Yes","Churned","Retained")</f>
        <v>Retained</v>
      </c>
    </row>
    <row r="1634" spans="1:14" x14ac:dyDescent="0.25">
      <c r="A1634" t="s">
        <v>1672</v>
      </c>
      <c r="B1634" s="1">
        <v>45224</v>
      </c>
      <c r="C1634" t="s">
        <v>12</v>
      </c>
      <c r="D1634" t="s">
        <v>27</v>
      </c>
      <c r="E1634">
        <v>16200</v>
      </c>
      <c r="F1634" t="s">
        <v>32</v>
      </c>
      <c r="G1634" t="s">
        <v>28</v>
      </c>
      <c r="H1634" t="s">
        <v>16</v>
      </c>
      <c r="I1634" t="s">
        <v>17</v>
      </c>
      <c r="J1634" t="s">
        <v>66</v>
      </c>
      <c r="K1634">
        <v>0.1</v>
      </c>
      <c r="L163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634">
        <f>GhanaStream[[#This Row],[Subscription Fee]]-(GhanaStream[[#This Row],[Discount]]*GhanaStream[[#This Row],[Subscription Fee]])</f>
        <v>14580</v>
      </c>
      <c r="N1634" t="str">
        <f>IF(GhanaStream[[#This Row],[Churn Flag]]="Yes","Churned","Retained")</f>
        <v>Churned</v>
      </c>
    </row>
    <row r="1635" spans="1:14" x14ac:dyDescent="0.25">
      <c r="A1635" t="s">
        <v>1673</v>
      </c>
      <c r="B1635" s="1">
        <v>45177</v>
      </c>
      <c r="C1635" t="s">
        <v>20</v>
      </c>
      <c r="D1635" t="s">
        <v>27</v>
      </c>
      <c r="E1635">
        <v>5400</v>
      </c>
      <c r="F1635" t="s">
        <v>21</v>
      </c>
      <c r="G1635" t="s">
        <v>24</v>
      </c>
      <c r="H1635" t="s">
        <v>16</v>
      </c>
      <c r="I1635" t="s">
        <v>17</v>
      </c>
      <c r="J1635" t="s">
        <v>29</v>
      </c>
      <c r="K1635">
        <v>0.1</v>
      </c>
      <c r="L163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635">
        <f>GhanaStream[[#This Row],[Subscription Fee]]-(GhanaStream[[#This Row],[Discount]]*GhanaStream[[#This Row],[Subscription Fee]])</f>
        <v>4860</v>
      </c>
      <c r="N1635" t="str">
        <f>IF(GhanaStream[[#This Row],[Churn Flag]]="Yes","Churned","Retained")</f>
        <v>Churned</v>
      </c>
    </row>
    <row r="1636" spans="1:14" x14ac:dyDescent="0.25">
      <c r="A1636" t="s">
        <v>1674</v>
      </c>
      <c r="B1636" s="1">
        <v>45294</v>
      </c>
      <c r="C1636" t="s">
        <v>31</v>
      </c>
      <c r="D1636" t="s">
        <v>27</v>
      </c>
      <c r="E1636">
        <v>10800</v>
      </c>
      <c r="F1636" t="s">
        <v>32</v>
      </c>
      <c r="G1636" t="s">
        <v>24</v>
      </c>
      <c r="H1636" t="s">
        <v>33</v>
      </c>
      <c r="I1636" t="s">
        <v>34</v>
      </c>
      <c r="J1636" t="s">
        <v>39</v>
      </c>
      <c r="K1636">
        <v>0.1</v>
      </c>
      <c r="L163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636">
        <f>GhanaStream[[#This Row],[Subscription Fee]]-(GhanaStream[[#This Row],[Discount]]*GhanaStream[[#This Row],[Subscription Fee]])</f>
        <v>9720</v>
      </c>
      <c r="N1636" t="str">
        <f>IF(GhanaStream[[#This Row],[Churn Flag]]="Yes","Churned","Retained")</f>
        <v>Retained</v>
      </c>
    </row>
    <row r="1637" spans="1:14" x14ac:dyDescent="0.25">
      <c r="A1637" t="s">
        <v>1675</v>
      </c>
      <c r="B1637" s="1">
        <v>44932</v>
      </c>
      <c r="C1637" t="s">
        <v>20</v>
      </c>
      <c r="D1637" t="s">
        <v>27</v>
      </c>
      <c r="E1637">
        <v>5400</v>
      </c>
      <c r="F1637" t="s">
        <v>14</v>
      </c>
      <c r="G1637" t="s">
        <v>15</v>
      </c>
      <c r="H1637" t="s">
        <v>16</v>
      </c>
      <c r="I1637" t="s">
        <v>17</v>
      </c>
      <c r="J1637" t="s">
        <v>41</v>
      </c>
      <c r="K1637">
        <v>0.1</v>
      </c>
      <c r="L163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637">
        <f>GhanaStream[[#This Row],[Subscription Fee]]-(GhanaStream[[#This Row],[Discount]]*GhanaStream[[#This Row],[Subscription Fee]])</f>
        <v>4860</v>
      </c>
      <c r="N1637" t="str">
        <f>IF(GhanaStream[[#This Row],[Churn Flag]]="Yes","Churned","Retained")</f>
        <v>Churned</v>
      </c>
    </row>
    <row r="1638" spans="1:14" x14ac:dyDescent="0.25">
      <c r="A1638" t="s">
        <v>1676</v>
      </c>
      <c r="B1638" s="1">
        <v>45471</v>
      </c>
      <c r="C1638" t="s">
        <v>20</v>
      </c>
      <c r="D1638" t="s">
        <v>27</v>
      </c>
      <c r="E1638">
        <v>5400</v>
      </c>
      <c r="F1638" t="s">
        <v>49</v>
      </c>
      <c r="G1638" t="s">
        <v>24</v>
      </c>
      <c r="H1638" t="s">
        <v>16</v>
      </c>
      <c r="I1638" t="s">
        <v>17</v>
      </c>
      <c r="J1638" t="s">
        <v>50</v>
      </c>
      <c r="K1638">
        <v>0.1</v>
      </c>
      <c r="L163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638">
        <f>GhanaStream[[#This Row],[Subscription Fee]]-(GhanaStream[[#This Row],[Discount]]*GhanaStream[[#This Row],[Subscription Fee]])</f>
        <v>4860</v>
      </c>
      <c r="N1638" t="str">
        <f>IF(GhanaStream[[#This Row],[Churn Flag]]="Yes","Churned","Retained")</f>
        <v>Churned</v>
      </c>
    </row>
    <row r="1639" spans="1:14" x14ac:dyDescent="0.25">
      <c r="A1639" t="s">
        <v>1677</v>
      </c>
      <c r="B1639" s="1">
        <v>45288</v>
      </c>
      <c r="C1639" t="s">
        <v>31</v>
      </c>
      <c r="D1639" t="s">
        <v>13</v>
      </c>
      <c r="E1639">
        <v>1000</v>
      </c>
      <c r="F1639" t="s">
        <v>14</v>
      </c>
      <c r="G1639" t="s">
        <v>15</v>
      </c>
      <c r="H1639" t="s">
        <v>16</v>
      </c>
      <c r="I1639" t="s">
        <v>17</v>
      </c>
      <c r="J1639" t="s">
        <v>18</v>
      </c>
      <c r="K1639">
        <v>0</v>
      </c>
      <c r="L163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639">
        <f>GhanaStream[[#This Row],[Subscription Fee]]-(GhanaStream[[#This Row],[Discount]]*GhanaStream[[#This Row],[Subscription Fee]])</f>
        <v>1000</v>
      </c>
      <c r="N1639" t="str">
        <f>IF(GhanaStream[[#This Row],[Churn Flag]]="Yes","Churned","Retained")</f>
        <v>Churned</v>
      </c>
    </row>
    <row r="1640" spans="1:14" x14ac:dyDescent="0.25">
      <c r="A1640" t="s">
        <v>1678</v>
      </c>
      <c r="B1640" s="1">
        <v>45402</v>
      </c>
      <c r="C1640" t="s">
        <v>31</v>
      </c>
      <c r="D1640" t="s">
        <v>13</v>
      </c>
      <c r="E1640">
        <v>1000</v>
      </c>
      <c r="F1640" t="s">
        <v>14</v>
      </c>
      <c r="G1640" t="s">
        <v>28</v>
      </c>
      <c r="H1640" t="s">
        <v>33</v>
      </c>
      <c r="I1640" t="s">
        <v>34</v>
      </c>
      <c r="J1640" t="s">
        <v>41</v>
      </c>
      <c r="K1640">
        <v>0</v>
      </c>
      <c r="L164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640">
        <f>GhanaStream[[#This Row],[Subscription Fee]]-(GhanaStream[[#This Row],[Discount]]*GhanaStream[[#This Row],[Subscription Fee]])</f>
        <v>1000</v>
      </c>
      <c r="N1640" t="str">
        <f>IF(GhanaStream[[#This Row],[Churn Flag]]="Yes","Churned","Retained")</f>
        <v>Retained</v>
      </c>
    </row>
    <row r="1641" spans="1:14" x14ac:dyDescent="0.25">
      <c r="A1641" t="s">
        <v>1679</v>
      </c>
      <c r="B1641" s="1">
        <v>45289</v>
      </c>
      <c r="C1641" t="s">
        <v>20</v>
      </c>
      <c r="D1641" t="s">
        <v>13</v>
      </c>
      <c r="E1641">
        <v>500</v>
      </c>
      <c r="F1641" t="s">
        <v>14</v>
      </c>
      <c r="G1641" t="s">
        <v>24</v>
      </c>
      <c r="H1641" t="s">
        <v>33</v>
      </c>
      <c r="I1641" t="s">
        <v>34</v>
      </c>
      <c r="J1641" t="s">
        <v>22</v>
      </c>
      <c r="K1641">
        <v>0</v>
      </c>
      <c r="L164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641">
        <f>GhanaStream[[#This Row],[Subscription Fee]]-(GhanaStream[[#This Row],[Discount]]*GhanaStream[[#This Row],[Subscription Fee]])</f>
        <v>500</v>
      </c>
      <c r="N1641" t="str">
        <f>IF(GhanaStream[[#This Row],[Churn Flag]]="Yes","Churned","Retained")</f>
        <v>Retained</v>
      </c>
    </row>
    <row r="1642" spans="1:14" x14ac:dyDescent="0.25">
      <c r="A1642" t="s">
        <v>1680</v>
      </c>
      <c r="B1642" s="1">
        <v>45012</v>
      </c>
      <c r="C1642" t="s">
        <v>12</v>
      </c>
      <c r="D1642" t="s">
        <v>13</v>
      </c>
      <c r="E1642">
        <v>1500</v>
      </c>
      <c r="F1642" t="s">
        <v>32</v>
      </c>
      <c r="G1642" t="s">
        <v>28</v>
      </c>
      <c r="H1642" t="s">
        <v>16</v>
      </c>
      <c r="I1642" t="s">
        <v>17</v>
      </c>
      <c r="J1642" t="s">
        <v>25</v>
      </c>
      <c r="K1642">
        <v>0</v>
      </c>
      <c r="L164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642">
        <f>GhanaStream[[#This Row],[Subscription Fee]]-(GhanaStream[[#This Row],[Discount]]*GhanaStream[[#This Row],[Subscription Fee]])</f>
        <v>1500</v>
      </c>
      <c r="N1642" t="str">
        <f>IF(GhanaStream[[#This Row],[Churn Flag]]="Yes","Churned","Retained")</f>
        <v>Churned</v>
      </c>
    </row>
    <row r="1643" spans="1:14" x14ac:dyDescent="0.25">
      <c r="A1643" t="s">
        <v>1681</v>
      </c>
      <c r="B1643" s="1">
        <v>45283</v>
      </c>
      <c r="C1643" t="s">
        <v>31</v>
      </c>
      <c r="D1643" t="s">
        <v>27</v>
      </c>
      <c r="E1643">
        <v>10800</v>
      </c>
      <c r="F1643" t="s">
        <v>21</v>
      </c>
      <c r="G1643" t="s">
        <v>28</v>
      </c>
      <c r="H1643" t="s">
        <v>33</v>
      </c>
      <c r="I1643" t="s">
        <v>34</v>
      </c>
      <c r="J1643" t="s">
        <v>18</v>
      </c>
      <c r="K1643">
        <v>0.1</v>
      </c>
      <c r="L164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643">
        <f>GhanaStream[[#This Row],[Subscription Fee]]-(GhanaStream[[#This Row],[Discount]]*GhanaStream[[#This Row],[Subscription Fee]])</f>
        <v>9720</v>
      </c>
      <c r="N1643" t="str">
        <f>IF(GhanaStream[[#This Row],[Churn Flag]]="Yes","Churned","Retained")</f>
        <v>Retained</v>
      </c>
    </row>
    <row r="1644" spans="1:14" x14ac:dyDescent="0.25">
      <c r="A1644" t="s">
        <v>1682</v>
      </c>
      <c r="B1644" s="1">
        <v>45091</v>
      </c>
      <c r="C1644" t="s">
        <v>20</v>
      </c>
      <c r="D1644" t="s">
        <v>27</v>
      </c>
      <c r="E1644">
        <v>5400</v>
      </c>
      <c r="F1644" t="s">
        <v>32</v>
      </c>
      <c r="G1644" t="s">
        <v>24</v>
      </c>
      <c r="H1644" t="s">
        <v>16</v>
      </c>
      <c r="I1644" t="s">
        <v>17</v>
      </c>
      <c r="J1644" t="s">
        <v>66</v>
      </c>
      <c r="K1644">
        <v>0.1</v>
      </c>
      <c r="L164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644">
        <f>GhanaStream[[#This Row],[Subscription Fee]]-(GhanaStream[[#This Row],[Discount]]*GhanaStream[[#This Row],[Subscription Fee]])</f>
        <v>4860</v>
      </c>
      <c r="N1644" t="str">
        <f>IF(GhanaStream[[#This Row],[Churn Flag]]="Yes","Churned","Retained")</f>
        <v>Churned</v>
      </c>
    </row>
    <row r="1645" spans="1:14" x14ac:dyDescent="0.25">
      <c r="A1645" t="s">
        <v>1683</v>
      </c>
      <c r="B1645" s="1">
        <v>44997</v>
      </c>
      <c r="C1645" t="s">
        <v>31</v>
      </c>
      <c r="D1645" t="s">
        <v>13</v>
      </c>
      <c r="E1645">
        <v>1000</v>
      </c>
      <c r="F1645" t="s">
        <v>49</v>
      </c>
      <c r="G1645" t="s">
        <v>15</v>
      </c>
      <c r="H1645" t="s">
        <v>33</v>
      </c>
      <c r="I1645" t="s">
        <v>34</v>
      </c>
      <c r="J1645" t="s">
        <v>22</v>
      </c>
      <c r="K1645">
        <v>0</v>
      </c>
      <c r="L164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645">
        <f>GhanaStream[[#This Row],[Subscription Fee]]-(GhanaStream[[#This Row],[Discount]]*GhanaStream[[#This Row],[Subscription Fee]])</f>
        <v>1000</v>
      </c>
      <c r="N1645" t="str">
        <f>IF(GhanaStream[[#This Row],[Churn Flag]]="Yes","Churned","Retained")</f>
        <v>Retained</v>
      </c>
    </row>
    <row r="1646" spans="1:14" x14ac:dyDescent="0.25">
      <c r="A1646" t="s">
        <v>1684</v>
      </c>
      <c r="B1646" s="1">
        <v>45553</v>
      </c>
      <c r="C1646" t="s">
        <v>31</v>
      </c>
      <c r="D1646" t="s">
        <v>13</v>
      </c>
      <c r="E1646">
        <v>1000</v>
      </c>
      <c r="F1646" t="s">
        <v>14</v>
      </c>
      <c r="G1646" t="s">
        <v>28</v>
      </c>
      <c r="H1646" t="s">
        <v>33</v>
      </c>
      <c r="I1646" t="s">
        <v>34</v>
      </c>
      <c r="J1646" t="s">
        <v>37</v>
      </c>
      <c r="K1646">
        <v>0</v>
      </c>
      <c r="L164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646">
        <f>GhanaStream[[#This Row],[Subscription Fee]]-(GhanaStream[[#This Row],[Discount]]*GhanaStream[[#This Row],[Subscription Fee]])</f>
        <v>1000</v>
      </c>
      <c r="N1646" t="str">
        <f>IF(GhanaStream[[#This Row],[Churn Flag]]="Yes","Churned","Retained")</f>
        <v>Retained</v>
      </c>
    </row>
    <row r="1647" spans="1:14" x14ac:dyDescent="0.25">
      <c r="A1647" t="s">
        <v>1685</v>
      </c>
      <c r="B1647" s="1">
        <v>45384</v>
      </c>
      <c r="C1647" t="s">
        <v>12</v>
      </c>
      <c r="D1647" t="s">
        <v>13</v>
      </c>
      <c r="E1647">
        <v>1500</v>
      </c>
      <c r="F1647" t="s">
        <v>21</v>
      </c>
      <c r="G1647" t="s">
        <v>24</v>
      </c>
      <c r="H1647" t="s">
        <v>16</v>
      </c>
      <c r="I1647" t="s">
        <v>17</v>
      </c>
      <c r="J1647" t="s">
        <v>18</v>
      </c>
      <c r="K1647">
        <v>0</v>
      </c>
      <c r="L164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647">
        <f>GhanaStream[[#This Row],[Subscription Fee]]-(GhanaStream[[#This Row],[Discount]]*GhanaStream[[#This Row],[Subscription Fee]])</f>
        <v>1500</v>
      </c>
      <c r="N1647" t="str">
        <f>IF(GhanaStream[[#This Row],[Churn Flag]]="Yes","Churned","Retained")</f>
        <v>Churned</v>
      </c>
    </row>
    <row r="1648" spans="1:14" x14ac:dyDescent="0.25">
      <c r="A1648" t="s">
        <v>1686</v>
      </c>
      <c r="B1648" s="1">
        <v>45079</v>
      </c>
      <c r="C1648" t="s">
        <v>20</v>
      </c>
      <c r="D1648" t="s">
        <v>27</v>
      </c>
      <c r="E1648">
        <v>5400</v>
      </c>
      <c r="F1648" t="s">
        <v>14</v>
      </c>
      <c r="G1648" t="s">
        <v>15</v>
      </c>
      <c r="H1648" t="s">
        <v>16</v>
      </c>
      <c r="I1648" t="s">
        <v>17</v>
      </c>
      <c r="J1648" t="s">
        <v>22</v>
      </c>
      <c r="K1648">
        <v>0.1</v>
      </c>
      <c r="L164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648">
        <f>GhanaStream[[#This Row],[Subscription Fee]]-(GhanaStream[[#This Row],[Discount]]*GhanaStream[[#This Row],[Subscription Fee]])</f>
        <v>4860</v>
      </c>
      <c r="N1648" t="str">
        <f>IF(GhanaStream[[#This Row],[Churn Flag]]="Yes","Churned","Retained")</f>
        <v>Churned</v>
      </c>
    </row>
    <row r="1649" spans="1:14" x14ac:dyDescent="0.25">
      <c r="A1649" t="s">
        <v>1687</v>
      </c>
      <c r="B1649" s="1">
        <v>45195</v>
      </c>
      <c r="C1649" t="s">
        <v>31</v>
      </c>
      <c r="D1649" t="s">
        <v>27</v>
      </c>
      <c r="E1649">
        <v>10800</v>
      </c>
      <c r="F1649" t="s">
        <v>21</v>
      </c>
      <c r="G1649" t="s">
        <v>15</v>
      </c>
      <c r="H1649" t="s">
        <v>33</v>
      </c>
      <c r="I1649" t="s">
        <v>34</v>
      </c>
      <c r="J1649" t="s">
        <v>29</v>
      </c>
      <c r="K1649">
        <v>0.1</v>
      </c>
      <c r="L164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649">
        <f>GhanaStream[[#This Row],[Subscription Fee]]-(GhanaStream[[#This Row],[Discount]]*GhanaStream[[#This Row],[Subscription Fee]])</f>
        <v>9720</v>
      </c>
      <c r="N1649" t="str">
        <f>IF(GhanaStream[[#This Row],[Churn Flag]]="Yes","Churned","Retained")</f>
        <v>Retained</v>
      </c>
    </row>
    <row r="1650" spans="1:14" x14ac:dyDescent="0.25">
      <c r="A1650" t="s">
        <v>1688</v>
      </c>
      <c r="B1650" s="1">
        <v>45581</v>
      </c>
      <c r="C1650" t="s">
        <v>31</v>
      </c>
      <c r="D1650" t="s">
        <v>13</v>
      </c>
      <c r="E1650">
        <v>1000</v>
      </c>
      <c r="F1650" t="s">
        <v>14</v>
      </c>
      <c r="G1650" t="s">
        <v>24</v>
      </c>
      <c r="H1650" t="s">
        <v>33</v>
      </c>
      <c r="I1650" t="s">
        <v>34</v>
      </c>
      <c r="J1650" t="s">
        <v>41</v>
      </c>
      <c r="K1650">
        <v>0</v>
      </c>
      <c r="L165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650">
        <f>GhanaStream[[#This Row],[Subscription Fee]]-(GhanaStream[[#This Row],[Discount]]*GhanaStream[[#This Row],[Subscription Fee]])</f>
        <v>1000</v>
      </c>
      <c r="N1650" t="str">
        <f>IF(GhanaStream[[#This Row],[Churn Flag]]="Yes","Churned","Retained")</f>
        <v>Retained</v>
      </c>
    </row>
    <row r="1651" spans="1:14" x14ac:dyDescent="0.25">
      <c r="A1651" t="s">
        <v>1689</v>
      </c>
      <c r="B1651" s="1">
        <v>45172</v>
      </c>
      <c r="C1651" t="s">
        <v>12</v>
      </c>
      <c r="D1651" t="s">
        <v>13</v>
      </c>
      <c r="E1651">
        <v>1500</v>
      </c>
      <c r="F1651" t="s">
        <v>49</v>
      </c>
      <c r="G1651" t="s">
        <v>24</v>
      </c>
      <c r="H1651" t="s">
        <v>33</v>
      </c>
      <c r="I1651" t="s">
        <v>34</v>
      </c>
      <c r="J1651" t="s">
        <v>35</v>
      </c>
      <c r="K1651">
        <v>0</v>
      </c>
      <c r="L165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651">
        <f>GhanaStream[[#This Row],[Subscription Fee]]-(GhanaStream[[#This Row],[Discount]]*GhanaStream[[#This Row],[Subscription Fee]])</f>
        <v>1500</v>
      </c>
      <c r="N1651" t="str">
        <f>IF(GhanaStream[[#This Row],[Churn Flag]]="Yes","Churned","Retained")</f>
        <v>Retained</v>
      </c>
    </row>
    <row r="1652" spans="1:14" x14ac:dyDescent="0.25">
      <c r="A1652" t="s">
        <v>1690</v>
      </c>
      <c r="B1652" s="1">
        <v>45481</v>
      </c>
      <c r="C1652" t="s">
        <v>12</v>
      </c>
      <c r="D1652" t="s">
        <v>13</v>
      </c>
      <c r="E1652">
        <v>1500</v>
      </c>
      <c r="F1652" t="s">
        <v>21</v>
      </c>
      <c r="G1652" t="s">
        <v>28</v>
      </c>
      <c r="H1652" t="s">
        <v>33</v>
      </c>
      <c r="I1652" t="s">
        <v>34</v>
      </c>
      <c r="J1652" t="s">
        <v>22</v>
      </c>
      <c r="K1652">
        <v>0</v>
      </c>
      <c r="L165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652">
        <f>GhanaStream[[#This Row],[Subscription Fee]]-(GhanaStream[[#This Row],[Discount]]*GhanaStream[[#This Row],[Subscription Fee]])</f>
        <v>1500</v>
      </c>
      <c r="N1652" t="str">
        <f>IF(GhanaStream[[#This Row],[Churn Flag]]="Yes","Churned","Retained")</f>
        <v>Retained</v>
      </c>
    </row>
    <row r="1653" spans="1:14" x14ac:dyDescent="0.25">
      <c r="A1653" t="s">
        <v>1691</v>
      </c>
      <c r="B1653" s="1">
        <v>45059</v>
      </c>
      <c r="C1653" t="s">
        <v>31</v>
      </c>
      <c r="D1653" t="s">
        <v>27</v>
      </c>
      <c r="E1653">
        <v>10800</v>
      </c>
      <c r="F1653" t="s">
        <v>32</v>
      </c>
      <c r="G1653" t="s">
        <v>15</v>
      </c>
      <c r="H1653" t="s">
        <v>16</v>
      </c>
      <c r="I1653" t="s">
        <v>17</v>
      </c>
      <c r="J1653" t="s">
        <v>25</v>
      </c>
      <c r="K1653">
        <v>0.1</v>
      </c>
      <c r="L165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653">
        <f>GhanaStream[[#This Row],[Subscription Fee]]-(GhanaStream[[#This Row],[Discount]]*GhanaStream[[#This Row],[Subscription Fee]])</f>
        <v>9720</v>
      </c>
      <c r="N1653" t="str">
        <f>IF(GhanaStream[[#This Row],[Churn Flag]]="Yes","Churned","Retained")</f>
        <v>Churned</v>
      </c>
    </row>
    <row r="1654" spans="1:14" x14ac:dyDescent="0.25">
      <c r="A1654" t="s">
        <v>1692</v>
      </c>
      <c r="B1654" s="1">
        <v>45384</v>
      </c>
      <c r="C1654" t="s">
        <v>12</v>
      </c>
      <c r="D1654" t="s">
        <v>13</v>
      </c>
      <c r="E1654">
        <v>1500</v>
      </c>
      <c r="F1654" t="s">
        <v>32</v>
      </c>
      <c r="G1654" t="s">
        <v>15</v>
      </c>
      <c r="H1654" t="s">
        <v>33</v>
      </c>
      <c r="I1654" t="s">
        <v>34</v>
      </c>
      <c r="J1654" t="s">
        <v>25</v>
      </c>
      <c r="K1654">
        <v>0</v>
      </c>
      <c r="L165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654">
        <f>GhanaStream[[#This Row],[Subscription Fee]]-(GhanaStream[[#This Row],[Discount]]*GhanaStream[[#This Row],[Subscription Fee]])</f>
        <v>1500</v>
      </c>
      <c r="N1654" t="str">
        <f>IF(GhanaStream[[#This Row],[Churn Flag]]="Yes","Churned","Retained")</f>
        <v>Retained</v>
      </c>
    </row>
    <row r="1655" spans="1:14" x14ac:dyDescent="0.25">
      <c r="A1655" t="s">
        <v>1693</v>
      </c>
      <c r="B1655" s="1">
        <v>45129</v>
      </c>
      <c r="C1655" t="s">
        <v>20</v>
      </c>
      <c r="D1655" t="s">
        <v>27</v>
      </c>
      <c r="E1655">
        <v>5400</v>
      </c>
      <c r="F1655" t="s">
        <v>49</v>
      </c>
      <c r="G1655" t="s">
        <v>15</v>
      </c>
      <c r="H1655" t="s">
        <v>33</v>
      </c>
      <c r="I1655" t="s">
        <v>34</v>
      </c>
      <c r="J1655" t="s">
        <v>22</v>
      </c>
      <c r="K1655">
        <v>0.1</v>
      </c>
      <c r="L165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655">
        <f>GhanaStream[[#This Row],[Subscription Fee]]-(GhanaStream[[#This Row],[Discount]]*GhanaStream[[#This Row],[Subscription Fee]])</f>
        <v>4860</v>
      </c>
      <c r="N1655" t="str">
        <f>IF(GhanaStream[[#This Row],[Churn Flag]]="Yes","Churned","Retained")</f>
        <v>Retained</v>
      </c>
    </row>
    <row r="1656" spans="1:14" x14ac:dyDescent="0.25">
      <c r="A1656" t="s">
        <v>1694</v>
      </c>
      <c r="B1656" s="1">
        <v>45134</v>
      </c>
      <c r="C1656" t="s">
        <v>31</v>
      </c>
      <c r="D1656" t="s">
        <v>13</v>
      </c>
      <c r="E1656">
        <v>1000</v>
      </c>
      <c r="F1656" t="s">
        <v>21</v>
      </c>
      <c r="G1656" t="s">
        <v>28</v>
      </c>
      <c r="H1656" t="s">
        <v>16</v>
      </c>
      <c r="I1656" t="s">
        <v>17</v>
      </c>
      <c r="J1656" t="s">
        <v>18</v>
      </c>
      <c r="K1656">
        <v>0</v>
      </c>
      <c r="L165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656">
        <f>GhanaStream[[#This Row],[Subscription Fee]]-(GhanaStream[[#This Row],[Discount]]*GhanaStream[[#This Row],[Subscription Fee]])</f>
        <v>1000</v>
      </c>
      <c r="N1656" t="str">
        <f>IF(GhanaStream[[#This Row],[Churn Flag]]="Yes","Churned","Retained")</f>
        <v>Churned</v>
      </c>
    </row>
    <row r="1657" spans="1:14" x14ac:dyDescent="0.25">
      <c r="A1657" t="s">
        <v>1695</v>
      </c>
      <c r="B1657" s="1">
        <v>45018</v>
      </c>
      <c r="C1657" t="s">
        <v>12</v>
      </c>
      <c r="D1657" t="s">
        <v>13</v>
      </c>
      <c r="E1657">
        <v>1500</v>
      </c>
      <c r="F1657" t="s">
        <v>49</v>
      </c>
      <c r="G1657" t="s">
        <v>24</v>
      </c>
      <c r="H1657" t="s">
        <v>33</v>
      </c>
      <c r="I1657" t="s">
        <v>34</v>
      </c>
      <c r="J1657" t="s">
        <v>25</v>
      </c>
      <c r="K1657">
        <v>0</v>
      </c>
      <c r="L165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657">
        <f>GhanaStream[[#This Row],[Subscription Fee]]-(GhanaStream[[#This Row],[Discount]]*GhanaStream[[#This Row],[Subscription Fee]])</f>
        <v>1500</v>
      </c>
      <c r="N1657" t="str">
        <f>IF(GhanaStream[[#This Row],[Churn Flag]]="Yes","Churned","Retained")</f>
        <v>Retained</v>
      </c>
    </row>
    <row r="1658" spans="1:14" x14ac:dyDescent="0.25">
      <c r="A1658" t="s">
        <v>1696</v>
      </c>
      <c r="B1658" s="1">
        <v>45264</v>
      </c>
      <c r="C1658" t="s">
        <v>12</v>
      </c>
      <c r="D1658" t="s">
        <v>27</v>
      </c>
      <c r="E1658">
        <v>16200</v>
      </c>
      <c r="F1658" t="s">
        <v>14</v>
      </c>
      <c r="G1658" t="s">
        <v>28</v>
      </c>
      <c r="H1658" t="s">
        <v>16</v>
      </c>
      <c r="I1658" t="s">
        <v>17</v>
      </c>
      <c r="J1658" t="s">
        <v>55</v>
      </c>
      <c r="K1658">
        <v>0.1</v>
      </c>
      <c r="L165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658">
        <f>GhanaStream[[#This Row],[Subscription Fee]]-(GhanaStream[[#This Row],[Discount]]*GhanaStream[[#This Row],[Subscription Fee]])</f>
        <v>14580</v>
      </c>
      <c r="N1658" t="str">
        <f>IF(GhanaStream[[#This Row],[Churn Flag]]="Yes","Churned","Retained")</f>
        <v>Churned</v>
      </c>
    </row>
    <row r="1659" spans="1:14" x14ac:dyDescent="0.25">
      <c r="A1659" t="s">
        <v>1697</v>
      </c>
      <c r="B1659" s="1">
        <v>45378</v>
      </c>
      <c r="C1659" t="s">
        <v>12</v>
      </c>
      <c r="D1659" t="s">
        <v>27</v>
      </c>
      <c r="E1659">
        <v>16200</v>
      </c>
      <c r="F1659" t="s">
        <v>32</v>
      </c>
      <c r="G1659" t="s">
        <v>28</v>
      </c>
      <c r="H1659" t="s">
        <v>33</v>
      </c>
      <c r="I1659" t="s">
        <v>34</v>
      </c>
      <c r="J1659" t="s">
        <v>66</v>
      </c>
      <c r="K1659">
        <v>0.1</v>
      </c>
      <c r="L165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659">
        <f>GhanaStream[[#This Row],[Subscription Fee]]-(GhanaStream[[#This Row],[Discount]]*GhanaStream[[#This Row],[Subscription Fee]])</f>
        <v>14580</v>
      </c>
      <c r="N1659" t="str">
        <f>IF(GhanaStream[[#This Row],[Churn Flag]]="Yes","Churned","Retained")</f>
        <v>Retained</v>
      </c>
    </row>
    <row r="1660" spans="1:14" x14ac:dyDescent="0.25">
      <c r="A1660" t="s">
        <v>1698</v>
      </c>
      <c r="B1660" s="1">
        <v>45172</v>
      </c>
      <c r="C1660" t="s">
        <v>12</v>
      </c>
      <c r="D1660" t="s">
        <v>27</v>
      </c>
      <c r="E1660">
        <v>16200</v>
      </c>
      <c r="F1660" t="s">
        <v>21</v>
      </c>
      <c r="G1660" t="s">
        <v>15</v>
      </c>
      <c r="H1660" t="s">
        <v>16</v>
      </c>
      <c r="I1660" t="s">
        <v>17</v>
      </c>
      <c r="J1660" t="s">
        <v>18</v>
      </c>
      <c r="K1660">
        <v>0.1</v>
      </c>
      <c r="L166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660">
        <f>GhanaStream[[#This Row],[Subscription Fee]]-(GhanaStream[[#This Row],[Discount]]*GhanaStream[[#This Row],[Subscription Fee]])</f>
        <v>14580</v>
      </c>
      <c r="N1660" t="str">
        <f>IF(GhanaStream[[#This Row],[Churn Flag]]="Yes","Churned","Retained")</f>
        <v>Churned</v>
      </c>
    </row>
    <row r="1661" spans="1:14" x14ac:dyDescent="0.25">
      <c r="A1661" t="s">
        <v>1699</v>
      </c>
      <c r="B1661" s="1">
        <v>44961</v>
      </c>
      <c r="C1661" t="s">
        <v>31</v>
      </c>
      <c r="D1661" t="s">
        <v>13</v>
      </c>
      <c r="E1661">
        <v>1000</v>
      </c>
      <c r="F1661" t="s">
        <v>32</v>
      </c>
      <c r="G1661" t="s">
        <v>28</v>
      </c>
      <c r="H1661" t="s">
        <v>33</v>
      </c>
      <c r="I1661" t="s">
        <v>34</v>
      </c>
      <c r="J1661" t="s">
        <v>25</v>
      </c>
      <c r="K1661">
        <v>0</v>
      </c>
      <c r="L166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661">
        <f>GhanaStream[[#This Row],[Subscription Fee]]-(GhanaStream[[#This Row],[Discount]]*GhanaStream[[#This Row],[Subscription Fee]])</f>
        <v>1000</v>
      </c>
      <c r="N1661" t="str">
        <f>IF(GhanaStream[[#This Row],[Churn Flag]]="Yes","Churned","Retained")</f>
        <v>Retained</v>
      </c>
    </row>
    <row r="1662" spans="1:14" x14ac:dyDescent="0.25">
      <c r="A1662" t="s">
        <v>1700</v>
      </c>
      <c r="B1662" s="1">
        <v>45327</v>
      </c>
      <c r="C1662" t="s">
        <v>12</v>
      </c>
      <c r="D1662" t="s">
        <v>27</v>
      </c>
      <c r="E1662">
        <v>16200</v>
      </c>
      <c r="F1662" t="s">
        <v>49</v>
      </c>
      <c r="G1662" t="s">
        <v>24</v>
      </c>
      <c r="H1662" t="s">
        <v>33</v>
      </c>
      <c r="I1662" t="s">
        <v>34</v>
      </c>
      <c r="J1662" t="s">
        <v>50</v>
      </c>
      <c r="K1662">
        <v>0.1</v>
      </c>
      <c r="L166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662">
        <f>GhanaStream[[#This Row],[Subscription Fee]]-(GhanaStream[[#This Row],[Discount]]*GhanaStream[[#This Row],[Subscription Fee]])</f>
        <v>14580</v>
      </c>
      <c r="N1662" t="str">
        <f>IF(GhanaStream[[#This Row],[Churn Flag]]="Yes","Churned","Retained")</f>
        <v>Retained</v>
      </c>
    </row>
    <row r="1663" spans="1:14" x14ac:dyDescent="0.25">
      <c r="A1663" t="s">
        <v>1701</v>
      </c>
      <c r="B1663" s="1">
        <v>45648</v>
      </c>
      <c r="C1663" t="s">
        <v>31</v>
      </c>
      <c r="D1663" t="s">
        <v>13</v>
      </c>
      <c r="E1663">
        <v>1000</v>
      </c>
      <c r="F1663" t="s">
        <v>32</v>
      </c>
      <c r="G1663" t="s">
        <v>24</v>
      </c>
      <c r="H1663" t="s">
        <v>33</v>
      </c>
      <c r="I1663" t="s">
        <v>34</v>
      </c>
      <c r="J1663" t="s">
        <v>39</v>
      </c>
      <c r="K1663">
        <v>0</v>
      </c>
      <c r="L166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663">
        <f>GhanaStream[[#This Row],[Subscription Fee]]-(GhanaStream[[#This Row],[Discount]]*GhanaStream[[#This Row],[Subscription Fee]])</f>
        <v>1000</v>
      </c>
      <c r="N1663" t="str">
        <f>IF(GhanaStream[[#This Row],[Churn Flag]]="Yes","Churned","Retained")</f>
        <v>Retained</v>
      </c>
    </row>
    <row r="1664" spans="1:14" x14ac:dyDescent="0.25">
      <c r="A1664" t="s">
        <v>1702</v>
      </c>
      <c r="B1664" s="1">
        <v>45274</v>
      </c>
      <c r="C1664" t="s">
        <v>31</v>
      </c>
      <c r="D1664" t="s">
        <v>13</v>
      </c>
      <c r="E1664">
        <v>1000</v>
      </c>
      <c r="F1664" t="s">
        <v>14</v>
      </c>
      <c r="G1664" t="s">
        <v>24</v>
      </c>
      <c r="H1664" t="s">
        <v>16</v>
      </c>
      <c r="I1664" t="s">
        <v>17</v>
      </c>
      <c r="J1664" t="s">
        <v>37</v>
      </c>
      <c r="K1664">
        <v>0</v>
      </c>
      <c r="L166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664">
        <f>GhanaStream[[#This Row],[Subscription Fee]]-(GhanaStream[[#This Row],[Discount]]*GhanaStream[[#This Row],[Subscription Fee]])</f>
        <v>1000</v>
      </c>
      <c r="N1664" t="str">
        <f>IF(GhanaStream[[#This Row],[Churn Flag]]="Yes","Churned","Retained")</f>
        <v>Churned</v>
      </c>
    </row>
    <row r="1665" spans="1:14" x14ac:dyDescent="0.25">
      <c r="A1665" t="s">
        <v>1703</v>
      </c>
      <c r="B1665" s="1">
        <v>45541</v>
      </c>
      <c r="C1665" t="s">
        <v>20</v>
      </c>
      <c r="D1665" t="s">
        <v>13</v>
      </c>
      <c r="E1665">
        <v>500</v>
      </c>
      <c r="F1665" t="s">
        <v>14</v>
      </c>
      <c r="G1665" t="s">
        <v>24</v>
      </c>
      <c r="H1665" t="s">
        <v>16</v>
      </c>
      <c r="I1665" t="s">
        <v>17</v>
      </c>
      <c r="J1665" t="s">
        <v>41</v>
      </c>
      <c r="K1665">
        <v>0</v>
      </c>
      <c r="L166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665">
        <f>GhanaStream[[#This Row],[Subscription Fee]]-(GhanaStream[[#This Row],[Discount]]*GhanaStream[[#This Row],[Subscription Fee]])</f>
        <v>500</v>
      </c>
      <c r="N1665" t="str">
        <f>IF(GhanaStream[[#This Row],[Churn Flag]]="Yes","Churned","Retained")</f>
        <v>Churned</v>
      </c>
    </row>
    <row r="1666" spans="1:14" x14ac:dyDescent="0.25">
      <c r="A1666" t="s">
        <v>1704</v>
      </c>
      <c r="B1666" s="1">
        <v>45071</v>
      </c>
      <c r="C1666" t="s">
        <v>31</v>
      </c>
      <c r="D1666" t="s">
        <v>27</v>
      </c>
      <c r="E1666">
        <v>10800</v>
      </c>
      <c r="F1666" t="s">
        <v>21</v>
      </c>
      <c r="G1666" t="s">
        <v>15</v>
      </c>
      <c r="H1666" t="s">
        <v>33</v>
      </c>
      <c r="I1666" t="s">
        <v>34</v>
      </c>
      <c r="J1666" t="s">
        <v>18</v>
      </c>
      <c r="K1666">
        <v>0.1</v>
      </c>
      <c r="L166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666">
        <f>GhanaStream[[#This Row],[Subscription Fee]]-(GhanaStream[[#This Row],[Discount]]*GhanaStream[[#This Row],[Subscription Fee]])</f>
        <v>9720</v>
      </c>
      <c r="N1666" t="str">
        <f>IF(GhanaStream[[#This Row],[Churn Flag]]="Yes","Churned","Retained")</f>
        <v>Retained</v>
      </c>
    </row>
    <row r="1667" spans="1:14" x14ac:dyDescent="0.25">
      <c r="A1667" t="s">
        <v>1705</v>
      </c>
      <c r="B1667" s="1">
        <v>45465</v>
      </c>
      <c r="C1667" t="s">
        <v>31</v>
      </c>
      <c r="D1667" t="s">
        <v>27</v>
      </c>
      <c r="E1667">
        <v>10800</v>
      </c>
      <c r="F1667" t="s">
        <v>49</v>
      </c>
      <c r="G1667" t="s">
        <v>15</v>
      </c>
      <c r="H1667" t="s">
        <v>16</v>
      </c>
      <c r="I1667" t="s">
        <v>17</v>
      </c>
      <c r="J1667" t="s">
        <v>22</v>
      </c>
      <c r="K1667">
        <v>0.1</v>
      </c>
      <c r="L166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667">
        <f>GhanaStream[[#This Row],[Subscription Fee]]-(GhanaStream[[#This Row],[Discount]]*GhanaStream[[#This Row],[Subscription Fee]])</f>
        <v>9720</v>
      </c>
      <c r="N1667" t="str">
        <f>IF(GhanaStream[[#This Row],[Churn Flag]]="Yes","Churned","Retained")</f>
        <v>Churned</v>
      </c>
    </row>
    <row r="1668" spans="1:14" x14ac:dyDescent="0.25">
      <c r="A1668" t="s">
        <v>1706</v>
      </c>
      <c r="B1668" s="1">
        <v>45327</v>
      </c>
      <c r="C1668" t="s">
        <v>12</v>
      </c>
      <c r="D1668" t="s">
        <v>27</v>
      </c>
      <c r="E1668">
        <v>16200</v>
      </c>
      <c r="F1668" t="s">
        <v>32</v>
      </c>
      <c r="G1668" t="s">
        <v>28</v>
      </c>
      <c r="H1668" t="s">
        <v>33</v>
      </c>
      <c r="I1668" t="s">
        <v>34</v>
      </c>
      <c r="J1668" t="s">
        <v>39</v>
      </c>
      <c r="K1668">
        <v>0.1</v>
      </c>
      <c r="L166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668">
        <f>GhanaStream[[#This Row],[Subscription Fee]]-(GhanaStream[[#This Row],[Discount]]*GhanaStream[[#This Row],[Subscription Fee]])</f>
        <v>14580</v>
      </c>
      <c r="N1668" t="str">
        <f>IF(GhanaStream[[#This Row],[Churn Flag]]="Yes","Churned","Retained")</f>
        <v>Retained</v>
      </c>
    </row>
    <row r="1669" spans="1:14" x14ac:dyDescent="0.25">
      <c r="A1669" t="s">
        <v>1707</v>
      </c>
      <c r="B1669" s="1">
        <v>45065</v>
      </c>
      <c r="C1669" t="s">
        <v>20</v>
      </c>
      <c r="D1669" t="s">
        <v>27</v>
      </c>
      <c r="E1669">
        <v>5400</v>
      </c>
      <c r="F1669" t="s">
        <v>14</v>
      </c>
      <c r="G1669" t="s">
        <v>24</v>
      </c>
      <c r="H1669" t="s">
        <v>16</v>
      </c>
      <c r="I1669" t="s">
        <v>17</v>
      </c>
      <c r="J1669" t="s">
        <v>37</v>
      </c>
      <c r="K1669">
        <v>0.1</v>
      </c>
      <c r="L166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669">
        <f>GhanaStream[[#This Row],[Subscription Fee]]-(GhanaStream[[#This Row],[Discount]]*GhanaStream[[#This Row],[Subscription Fee]])</f>
        <v>4860</v>
      </c>
      <c r="N1669" t="str">
        <f>IF(GhanaStream[[#This Row],[Churn Flag]]="Yes","Churned","Retained")</f>
        <v>Churned</v>
      </c>
    </row>
    <row r="1670" spans="1:14" x14ac:dyDescent="0.25">
      <c r="A1670" t="s">
        <v>1708</v>
      </c>
      <c r="B1670" s="1">
        <v>45493</v>
      </c>
      <c r="C1670" t="s">
        <v>20</v>
      </c>
      <c r="D1670" t="s">
        <v>27</v>
      </c>
      <c r="E1670">
        <v>5400</v>
      </c>
      <c r="F1670" t="s">
        <v>14</v>
      </c>
      <c r="G1670" t="s">
        <v>28</v>
      </c>
      <c r="H1670" t="s">
        <v>16</v>
      </c>
      <c r="I1670" t="s">
        <v>17</v>
      </c>
      <c r="J1670" t="s">
        <v>37</v>
      </c>
      <c r="K1670">
        <v>0.1</v>
      </c>
      <c r="L167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670">
        <f>GhanaStream[[#This Row],[Subscription Fee]]-(GhanaStream[[#This Row],[Discount]]*GhanaStream[[#This Row],[Subscription Fee]])</f>
        <v>4860</v>
      </c>
      <c r="N1670" t="str">
        <f>IF(GhanaStream[[#This Row],[Churn Flag]]="Yes","Churned","Retained")</f>
        <v>Churned</v>
      </c>
    </row>
    <row r="1671" spans="1:14" x14ac:dyDescent="0.25">
      <c r="A1671" t="s">
        <v>1709</v>
      </c>
      <c r="B1671" s="1">
        <v>45082</v>
      </c>
      <c r="C1671" t="s">
        <v>20</v>
      </c>
      <c r="D1671" t="s">
        <v>13</v>
      </c>
      <c r="E1671">
        <v>500</v>
      </c>
      <c r="F1671" t="s">
        <v>21</v>
      </c>
      <c r="G1671" t="s">
        <v>15</v>
      </c>
      <c r="H1671" t="s">
        <v>33</v>
      </c>
      <c r="I1671" t="s">
        <v>34</v>
      </c>
      <c r="J1671" t="s">
        <v>18</v>
      </c>
      <c r="K1671">
        <v>0</v>
      </c>
      <c r="L167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671">
        <f>GhanaStream[[#This Row],[Subscription Fee]]-(GhanaStream[[#This Row],[Discount]]*GhanaStream[[#This Row],[Subscription Fee]])</f>
        <v>500</v>
      </c>
      <c r="N1671" t="str">
        <f>IF(GhanaStream[[#This Row],[Churn Flag]]="Yes","Churned","Retained")</f>
        <v>Retained</v>
      </c>
    </row>
    <row r="1672" spans="1:14" x14ac:dyDescent="0.25">
      <c r="A1672" t="s">
        <v>1710</v>
      </c>
      <c r="B1672" s="1">
        <v>45255</v>
      </c>
      <c r="C1672" t="s">
        <v>31</v>
      </c>
      <c r="D1672" t="s">
        <v>27</v>
      </c>
      <c r="E1672">
        <v>10800</v>
      </c>
      <c r="F1672" t="s">
        <v>49</v>
      </c>
      <c r="G1672" t="s">
        <v>15</v>
      </c>
      <c r="H1672" t="s">
        <v>16</v>
      </c>
      <c r="I1672" t="s">
        <v>17</v>
      </c>
      <c r="J1672" t="s">
        <v>25</v>
      </c>
      <c r="K1672">
        <v>0.1</v>
      </c>
      <c r="L167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672">
        <f>GhanaStream[[#This Row],[Subscription Fee]]-(GhanaStream[[#This Row],[Discount]]*GhanaStream[[#This Row],[Subscription Fee]])</f>
        <v>9720</v>
      </c>
      <c r="N1672" t="str">
        <f>IF(GhanaStream[[#This Row],[Churn Flag]]="Yes","Churned","Retained")</f>
        <v>Churned</v>
      </c>
    </row>
    <row r="1673" spans="1:14" x14ac:dyDescent="0.25">
      <c r="A1673" t="s">
        <v>1711</v>
      </c>
      <c r="B1673" s="1">
        <v>45503</v>
      </c>
      <c r="C1673" t="s">
        <v>12</v>
      </c>
      <c r="D1673" t="s">
        <v>27</v>
      </c>
      <c r="E1673">
        <v>16200</v>
      </c>
      <c r="F1673" t="s">
        <v>49</v>
      </c>
      <c r="G1673" t="s">
        <v>15</v>
      </c>
      <c r="H1673" t="s">
        <v>16</v>
      </c>
      <c r="I1673" t="s">
        <v>17</v>
      </c>
      <c r="J1673" t="s">
        <v>25</v>
      </c>
      <c r="K1673">
        <v>0.1</v>
      </c>
      <c r="L167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673">
        <f>GhanaStream[[#This Row],[Subscription Fee]]-(GhanaStream[[#This Row],[Discount]]*GhanaStream[[#This Row],[Subscription Fee]])</f>
        <v>14580</v>
      </c>
      <c r="N1673" t="str">
        <f>IF(GhanaStream[[#This Row],[Churn Flag]]="Yes","Churned","Retained")</f>
        <v>Churned</v>
      </c>
    </row>
    <row r="1674" spans="1:14" x14ac:dyDescent="0.25">
      <c r="A1674" t="s">
        <v>1712</v>
      </c>
      <c r="B1674" s="1">
        <v>45561</v>
      </c>
      <c r="C1674" t="s">
        <v>12</v>
      </c>
      <c r="D1674" t="s">
        <v>13</v>
      </c>
      <c r="E1674">
        <v>1500</v>
      </c>
      <c r="F1674" t="s">
        <v>14</v>
      </c>
      <c r="G1674" t="s">
        <v>24</v>
      </c>
      <c r="H1674" t="s">
        <v>33</v>
      </c>
      <c r="I1674" t="s">
        <v>34</v>
      </c>
      <c r="J1674" t="s">
        <v>22</v>
      </c>
      <c r="K1674">
        <v>0</v>
      </c>
      <c r="L167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674">
        <f>GhanaStream[[#This Row],[Subscription Fee]]-(GhanaStream[[#This Row],[Discount]]*GhanaStream[[#This Row],[Subscription Fee]])</f>
        <v>1500</v>
      </c>
      <c r="N1674" t="str">
        <f>IF(GhanaStream[[#This Row],[Churn Flag]]="Yes","Churned","Retained")</f>
        <v>Retained</v>
      </c>
    </row>
    <row r="1675" spans="1:14" x14ac:dyDescent="0.25">
      <c r="A1675" t="s">
        <v>1713</v>
      </c>
      <c r="B1675" s="1">
        <v>45221</v>
      </c>
      <c r="C1675" t="s">
        <v>31</v>
      </c>
      <c r="D1675" t="s">
        <v>27</v>
      </c>
      <c r="E1675">
        <v>10800</v>
      </c>
      <c r="F1675" t="s">
        <v>32</v>
      </c>
      <c r="G1675" t="s">
        <v>28</v>
      </c>
      <c r="H1675" t="s">
        <v>16</v>
      </c>
      <c r="I1675" t="s">
        <v>17</v>
      </c>
      <c r="J1675" t="s">
        <v>39</v>
      </c>
      <c r="K1675">
        <v>0.1</v>
      </c>
      <c r="L167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675">
        <f>GhanaStream[[#This Row],[Subscription Fee]]-(GhanaStream[[#This Row],[Discount]]*GhanaStream[[#This Row],[Subscription Fee]])</f>
        <v>9720</v>
      </c>
      <c r="N1675" t="str">
        <f>IF(GhanaStream[[#This Row],[Churn Flag]]="Yes","Churned","Retained")</f>
        <v>Churned</v>
      </c>
    </row>
    <row r="1676" spans="1:14" x14ac:dyDescent="0.25">
      <c r="A1676" t="s">
        <v>1714</v>
      </c>
      <c r="B1676" s="1">
        <v>45513</v>
      </c>
      <c r="C1676" t="s">
        <v>20</v>
      </c>
      <c r="D1676" t="s">
        <v>13</v>
      </c>
      <c r="E1676">
        <v>500</v>
      </c>
      <c r="F1676" t="s">
        <v>21</v>
      </c>
      <c r="G1676" t="s">
        <v>15</v>
      </c>
      <c r="H1676" t="s">
        <v>33</v>
      </c>
      <c r="I1676" t="s">
        <v>34</v>
      </c>
      <c r="J1676" t="s">
        <v>25</v>
      </c>
      <c r="K1676">
        <v>0</v>
      </c>
      <c r="L167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676">
        <f>GhanaStream[[#This Row],[Subscription Fee]]-(GhanaStream[[#This Row],[Discount]]*GhanaStream[[#This Row],[Subscription Fee]])</f>
        <v>500</v>
      </c>
      <c r="N1676" t="str">
        <f>IF(GhanaStream[[#This Row],[Churn Flag]]="Yes","Churned","Retained")</f>
        <v>Retained</v>
      </c>
    </row>
    <row r="1677" spans="1:14" x14ac:dyDescent="0.25">
      <c r="A1677" t="s">
        <v>1715</v>
      </c>
      <c r="B1677" s="1">
        <v>45141</v>
      </c>
      <c r="C1677" t="s">
        <v>31</v>
      </c>
      <c r="D1677" t="s">
        <v>13</v>
      </c>
      <c r="E1677">
        <v>1000</v>
      </c>
      <c r="F1677" t="s">
        <v>21</v>
      </c>
      <c r="G1677" t="s">
        <v>28</v>
      </c>
      <c r="H1677" t="s">
        <v>33</v>
      </c>
      <c r="I1677" t="s">
        <v>34</v>
      </c>
      <c r="J1677" t="s">
        <v>25</v>
      </c>
      <c r="K1677">
        <v>0</v>
      </c>
      <c r="L167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677">
        <f>GhanaStream[[#This Row],[Subscription Fee]]-(GhanaStream[[#This Row],[Discount]]*GhanaStream[[#This Row],[Subscription Fee]])</f>
        <v>1000</v>
      </c>
      <c r="N1677" t="str">
        <f>IF(GhanaStream[[#This Row],[Churn Flag]]="Yes","Churned","Retained")</f>
        <v>Retained</v>
      </c>
    </row>
    <row r="1678" spans="1:14" x14ac:dyDescent="0.25">
      <c r="A1678" t="s">
        <v>1716</v>
      </c>
      <c r="B1678" s="1">
        <v>45041</v>
      </c>
      <c r="C1678" t="s">
        <v>12</v>
      </c>
      <c r="D1678" t="s">
        <v>27</v>
      </c>
      <c r="E1678">
        <v>16200</v>
      </c>
      <c r="F1678" t="s">
        <v>32</v>
      </c>
      <c r="G1678" t="s">
        <v>28</v>
      </c>
      <c r="H1678" t="s">
        <v>16</v>
      </c>
      <c r="I1678" t="s">
        <v>17</v>
      </c>
      <c r="J1678" t="s">
        <v>25</v>
      </c>
      <c r="K1678">
        <v>0.1</v>
      </c>
      <c r="L167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678">
        <f>GhanaStream[[#This Row],[Subscription Fee]]-(GhanaStream[[#This Row],[Discount]]*GhanaStream[[#This Row],[Subscription Fee]])</f>
        <v>14580</v>
      </c>
      <c r="N1678" t="str">
        <f>IF(GhanaStream[[#This Row],[Churn Flag]]="Yes","Churned","Retained")</f>
        <v>Churned</v>
      </c>
    </row>
    <row r="1679" spans="1:14" x14ac:dyDescent="0.25">
      <c r="A1679" t="s">
        <v>1717</v>
      </c>
      <c r="B1679" s="1">
        <v>45505</v>
      </c>
      <c r="C1679" t="s">
        <v>12</v>
      </c>
      <c r="D1679" t="s">
        <v>27</v>
      </c>
      <c r="E1679">
        <v>16200</v>
      </c>
      <c r="F1679" t="s">
        <v>14</v>
      </c>
      <c r="G1679" t="s">
        <v>28</v>
      </c>
      <c r="H1679" t="s">
        <v>33</v>
      </c>
      <c r="I1679" t="s">
        <v>34</v>
      </c>
      <c r="J1679" t="s">
        <v>37</v>
      </c>
      <c r="K1679">
        <v>0.1</v>
      </c>
      <c r="L167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679">
        <f>GhanaStream[[#This Row],[Subscription Fee]]-(GhanaStream[[#This Row],[Discount]]*GhanaStream[[#This Row],[Subscription Fee]])</f>
        <v>14580</v>
      </c>
      <c r="N1679" t="str">
        <f>IF(GhanaStream[[#This Row],[Churn Flag]]="Yes","Churned","Retained")</f>
        <v>Retained</v>
      </c>
    </row>
    <row r="1680" spans="1:14" x14ac:dyDescent="0.25">
      <c r="A1680" t="s">
        <v>1718</v>
      </c>
      <c r="B1680" s="1">
        <v>45176</v>
      </c>
      <c r="C1680" t="s">
        <v>31</v>
      </c>
      <c r="D1680" t="s">
        <v>27</v>
      </c>
      <c r="E1680">
        <v>10800</v>
      </c>
      <c r="F1680" t="s">
        <v>21</v>
      </c>
      <c r="G1680" t="s">
        <v>28</v>
      </c>
      <c r="H1680" t="s">
        <v>33</v>
      </c>
      <c r="I1680" t="s">
        <v>34</v>
      </c>
      <c r="J1680" t="s">
        <v>25</v>
      </c>
      <c r="K1680">
        <v>0.1</v>
      </c>
      <c r="L168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680">
        <f>GhanaStream[[#This Row],[Subscription Fee]]-(GhanaStream[[#This Row],[Discount]]*GhanaStream[[#This Row],[Subscription Fee]])</f>
        <v>9720</v>
      </c>
      <c r="N1680" t="str">
        <f>IF(GhanaStream[[#This Row],[Churn Flag]]="Yes","Churned","Retained")</f>
        <v>Retained</v>
      </c>
    </row>
    <row r="1681" spans="1:14" x14ac:dyDescent="0.25">
      <c r="A1681" t="s">
        <v>1719</v>
      </c>
      <c r="B1681" s="1">
        <v>45361</v>
      </c>
      <c r="C1681" t="s">
        <v>31</v>
      </c>
      <c r="D1681" t="s">
        <v>13</v>
      </c>
      <c r="E1681">
        <v>1000</v>
      </c>
      <c r="F1681" t="s">
        <v>32</v>
      </c>
      <c r="G1681" t="s">
        <v>24</v>
      </c>
      <c r="H1681" t="s">
        <v>33</v>
      </c>
      <c r="I1681" t="s">
        <v>34</v>
      </c>
      <c r="J1681" t="s">
        <v>39</v>
      </c>
      <c r="K1681">
        <v>0</v>
      </c>
      <c r="L168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681">
        <f>GhanaStream[[#This Row],[Subscription Fee]]-(GhanaStream[[#This Row],[Discount]]*GhanaStream[[#This Row],[Subscription Fee]])</f>
        <v>1000</v>
      </c>
      <c r="N1681" t="str">
        <f>IF(GhanaStream[[#This Row],[Churn Flag]]="Yes","Churned","Retained")</f>
        <v>Retained</v>
      </c>
    </row>
    <row r="1682" spans="1:14" x14ac:dyDescent="0.25">
      <c r="A1682" t="s">
        <v>1720</v>
      </c>
      <c r="B1682" s="1">
        <v>45140</v>
      </c>
      <c r="C1682" t="s">
        <v>20</v>
      </c>
      <c r="D1682" t="s">
        <v>27</v>
      </c>
      <c r="E1682">
        <v>5400</v>
      </c>
      <c r="F1682" t="s">
        <v>32</v>
      </c>
      <c r="G1682" t="s">
        <v>28</v>
      </c>
      <c r="H1682" t="s">
        <v>33</v>
      </c>
      <c r="I1682" t="s">
        <v>34</v>
      </c>
      <c r="J1682" t="s">
        <v>44</v>
      </c>
      <c r="K1682">
        <v>0.1</v>
      </c>
      <c r="L168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682">
        <f>GhanaStream[[#This Row],[Subscription Fee]]-(GhanaStream[[#This Row],[Discount]]*GhanaStream[[#This Row],[Subscription Fee]])</f>
        <v>4860</v>
      </c>
      <c r="N1682" t="str">
        <f>IF(GhanaStream[[#This Row],[Churn Flag]]="Yes","Churned","Retained")</f>
        <v>Retained</v>
      </c>
    </row>
    <row r="1683" spans="1:14" x14ac:dyDescent="0.25">
      <c r="A1683" t="s">
        <v>1721</v>
      </c>
      <c r="B1683" s="1">
        <v>44974</v>
      </c>
      <c r="C1683" t="s">
        <v>12</v>
      </c>
      <c r="D1683" t="s">
        <v>27</v>
      </c>
      <c r="E1683">
        <v>16200</v>
      </c>
      <c r="F1683" t="s">
        <v>49</v>
      </c>
      <c r="G1683" t="s">
        <v>15</v>
      </c>
      <c r="H1683" t="s">
        <v>33</v>
      </c>
      <c r="I1683" t="s">
        <v>34</v>
      </c>
      <c r="J1683" t="s">
        <v>22</v>
      </c>
      <c r="K1683">
        <v>0.1</v>
      </c>
      <c r="L168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683">
        <f>GhanaStream[[#This Row],[Subscription Fee]]-(GhanaStream[[#This Row],[Discount]]*GhanaStream[[#This Row],[Subscription Fee]])</f>
        <v>14580</v>
      </c>
      <c r="N1683" t="str">
        <f>IF(GhanaStream[[#This Row],[Churn Flag]]="Yes","Churned","Retained")</f>
        <v>Retained</v>
      </c>
    </row>
    <row r="1684" spans="1:14" x14ac:dyDescent="0.25">
      <c r="A1684" t="s">
        <v>1722</v>
      </c>
      <c r="B1684" s="1">
        <v>45211</v>
      </c>
      <c r="C1684" t="s">
        <v>12</v>
      </c>
      <c r="D1684" t="s">
        <v>13</v>
      </c>
      <c r="E1684">
        <v>1500</v>
      </c>
      <c r="F1684" t="s">
        <v>49</v>
      </c>
      <c r="G1684" t="s">
        <v>24</v>
      </c>
      <c r="H1684" t="s">
        <v>16</v>
      </c>
      <c r="I1684" t="s">
        <v>17</v>
      </c>
      <c r="J1684" t="s">
        <v>18</v>
      </c>
      <c r="K1684">
        <v>0</v>
      </c>
      <c r="L168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684">
        <f>GhanaStream[[#This Row],[Subscription Fee]]-(GhanaStream[[#This Row],[Discount]]*GhanaStream[[#This Row],[Subscription Fee]])</f>
        <v>1500</v>
      </c>
      <c r="N1684" t="str">
        <f>IF(GhanaStream[[#This Row],[Churn Flag]]="Yes","Churned","Retained")</f>
        <v>Churned</v>
      </c>
    </row>
    <row r="1685" spans="1:14" x14ac:dyDescent="0.25">
      <c r="A1685" t="s">
        <v>1723</v>
      </c>
      <c r="B1685" s="1">
        <v>45346</v>
      </c>
      <c r="C1685" t="s">
        <v>31</v>
      </c>
      <c r="D1685" t="s">
        <v>13</v>
      </c>
      <c r="E1685">
        <v>1000</v>
      </c>
      <c r="F1685" t="s">
        <v>14</v>
      </c>
      <c r="G1685" t="s">
        <v>15</v>
      </c>
      <c r="H1685" t="s">
        <v>33</v>
      </c>
      <c r="I1685" t="s">
        <v>34</v>
      </c>
      <c r="J1685" t="s">
        <v>41</v>
      </c>
      <c r="K1685">
        <v>0</v>
      </c>
      <c r="L168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685">
        <f>GhanaStream[[#This Row],[Subscription Fee]]-(GhanaStream[[#This Row],[Discount]]*GhanaStream[[#This Row],[Subscription Fee]])</f>
        <v>1000</v>
      </c>
      <c r="N1685" t="str">
        <f>IF(GhanaStream[[#This Row],[Churn Flag]]="Yes","Churned","Retained")</f>
        <v>Retained</v>
      </c>
    </row>
    <row r="1686" spans="1:14" x14ac:dyDescent="0.25">
      <c r="A1686" t="s">
        <v>1724</v>
      </c>
      <c r="B1686" s="1">
        <v>45473</v>
      </c>
      <c r="C1686" t="s">
        <v>20</v>
      </c>
      <c r="D1686" t="s">
        <v>13</v>
      </c>
      <c r="E1686">
        <v>500</v>
      </c>
      <c r="F1686" t="s">
        <v>21</v>
      </c>
      <c r="G1686" t="s">
        <v>24</v>
      </c>
      <c r="H1686" t="s">
        <v>16</v>
      </c>
      <c r="I1686" t="s">
        <v>17</v>
      </c>
      <c r="J1686" t="s">
        <v>25</v>
      </c>
      <c r="K1686">
        <v>0</v>
      </c>
      <c r="L168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686">
        <f>GhanaStream[[#This Row],[Subscription Fee]]-(GhanaStream[[#This Row],[Discount]]*GhanaStream[[#This Row],[Subscription Fee]])</f>
        <v>500</v>
      </c>
      <c r="N1686" t="str">
        <f>IF(GhanaStream[[#This Row],[Churn Flag]]="Yes","Churned","Retained")</f>
        <v>Churned</v>
      </c>
    </row>
    <row r="1687" spans="1:14" x14ac:dyDescent="0.25">
      <c r="A1687" t="s">
        <v>1725</v>
      </c>
      <c r="B1687" s="1">
        <v>44959</v>
      </c>
      <c r="C1687" t="s">
        <v>31</v>
      </c>
      <c r="D1687" t="s">
        <v>27</v>
      </c>
      <c r="E1687">
        <v>10800</v>
      </c>
      <c r="F1687" t="s">
        <v>21</v>
      </c>
      <c r="G1687" t="s">
        <v>15</v>
      </c>
      <c r="H1687" t="s">
        <v>16</v>
      </c>
      <c r="I1687" t="s">
        <v>17</v>
      </c>
      <c r="J1687" t="s">
        <v>29</v>
      </c>
      <c r="K1687">
        <v>0.1</v>
      </c>
      <c r="L168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687">
        <f>GhanaStream[[#This Row],[Subscription Fee]]-(GhanaStream[[#This Row],[Discount]]*GhanaStream[[#This Row],[Subscription Fee]])</f>
        <v>9720</v>
      </c>
      <c r="N1687" t="str">
        <f>IF(GhanaStream[[#This Row],[Churn Flag]]="Yes","Churned","Retained")</f>
        <v>Churned</v>
      </c>
    </row>
    <row r="1688" spans="1:14" x14ac:dyDescent="0.25">
      <c r="A1688" t="s">
        <v>1726</v>
      </c>
      <c r="B1688" s="1">
        <v>45578</v>
      </c>
      <c r="C1688" t="s">
        <v>31</v>
      </c>
      <c r="D1688" t="s">
        <v>27</v>
      </c>
      <c r="E1688">
        <v>10800</v>
      </c>
      <c r="F1688" t="s">
        <v>49</v>
      </c>
      <c r="G1688" t="s">
        <v>24</v>
      </c>
      <c r="H1688" t="s">
        <v>16</v>
      </c>
      <c r="I1688" t="s">
        <v>17</v>
      </c>
      <c r="J1688" t="s">
        <v>35</v>
      </c>
      <c r="K1688">
        <v>0.1</v>
      </c>
      <c r="L168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688">
        <f>GhanaStream[[#This Row],[Subscription Fee]]-(GhanaStream[[#This Row],[Discount]]*GhanaStream[[#This Row],[Subscription Fee]])</f>
        <v>9720</v>
      </c>
      <c r="N1688" t="str">
        <f>IF(GhanaStream[[#This Row],[Churn Flag]]="Yes","Churned","Retained")</f>
        <v>Churned</v>
      </c>
    </row>
    <row r="1689" spans="1:14" x14ac:dyDescent="0.25">
      <c r="A1689" t="s">
        <v>1727</v>
      </c>
      <c r="B1689" s="1">
        <v>45004</v>
      </c>
      <c r="C1689" t="s">
        <v>31</v>
      </c>
      <c r="D1689" t="s">
        <v>27</v>
      </c>
      <c r="E1689">
        <v>10800</v>
      </c>
      <c r="F1689" t="s">
        <v>21</v>
      </c>
      <c r="G1689" t="s">
        <v>24</v>
      </c>
      <c r="H1689" t="s">
        <v>16</v>
      </c>
      <c r="I1689" t="s">
        <v>17</v>
      </c>
      <c r="J1689" t="s">
        <v>29</v>
      </c>
      <c r="K1689">
        <v>0.1</v>
      </c>
      <c r="L168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689">
        <f>GhanaStream[[#This Row],[Subscription Fee]]-(GhanaStream[[#This Row],[Discount]]*GhanaStream[[#This Row],[Subscription Fee]])</f>
        <v>9720</v>
      </c>
      <c r="N1689" t="str">
        <f>IF(GhanaStream[[#This Row],[Churn Flag]]="Yes","Churned","Retained")</f>
        <v>Churned</v>
      </c>
    </row>
    <row r="1690" spans="1:14" x14ac:dyDescent="0.25">
      <c r="A1690" t="s">
        <v>1728</v>
      </c>
      <c r="B1690" s="1">
        <v>44948</v>
      </c>
      <c r="C1690" t="s">
        <v>20</v>
      </c>
      <c r="D1690" t="s">
        <v>13</v>
      </c>
      <c r="E1690">
        <v>500</v>
      </c>
      <c r="F1690" t="s">
        <v>14</v>
      </c>
      <c r="G1690" t="s">
        <v>15</v>
      </c>
      <c r="H1690" t="s">
        <v>16</v>
      </c>
      <c r="I1690" t="s">
        <v>17</v>
      </c>
      <c r="J1690" t="s">
        <v>22</v>
      </c>
      <c r="K1690">
        <v>0</v>
      </c>
      <c r="L169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690">
        <f>GhanaStream[[#This Row],[Subscription Fee]]-(GhanaStream[[#This Row],[Discount]]*GhanaStream[[#This Row],[Subscription Fee]])</f>
        <v>500</v>
      </c>
      <c r="N1690" t="str">
        <f>IF(GhanaStream[[#This Row],[Churn Flag]]="Yes","Churned","Retained")</f>
        <v>Churned</v>
      </c>
    </row>
    <row r="1691" spans="1:14" x14ac:dyDescent="0.25">
      <c r="A1691" t="s">
        <v>1729</v>
      </c>
      <c r="B1691" s="1">
        <v>45371</v>
      </c>
      <c r="C1691" t="s">
        <v>12</v>
      </c>
      <c r="D1691" t="s">
        <v>13</v>
      </c>
      <c r="E1691">
        <v>1500</v>
      </c>
      <c r="F1691" t="s">
        <v>21</v>
      </c>
      <c r="G1691" t="s">
        <v>15</v>
      </c>
      <c r="H1691" t="s">
        <v>33</v>
      </c>
      <c r="I1691" t="s">
        <v>34</v>
      </c>
      <c r="J1691" t="s">
        <v>29</v>
      </c>
      <c r="K1691">
        <v>0</v>
      </c>
      <c r="L169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691">
        <f>GhanaStream[[#This Row],[Subscription Fee]]-(GhanaStream[[#This Row],[Discount]]*GhanaStream[[#This Row],[Subscription Fee]])</f>
        <v>1500</v>
      </c>
      <c r="N1691" t="str">
        <f>IF(GhanaStream[[#This Row],[Churn Flag]]="Yes","Churned","Retained")</f>
        <v>Retained</v>
      </c>
    </row>
    <row r="1692" spans="1:14" x14ac:dyDescent="0.25">
      <c r="A1692" t="s">
        <v>1730</v>
      </c>
      <c r="B1692" s="1">
        <v>45197</v>
      </c>
      <c r="C1692" t="s">
        <v>12</v>
      </c>
      <c r="D1692" t="s">
        <v>27</v>
      </c>
      <c r="E1692">
        <v>16200</v>
      </c>
      <c r="F1692" t="s">
        <v>49</v>
      </c>
      <c r="G1692" t="s">
        <v>24</v>
      </c>
      <c r="H1692" t="s">
        <v>16</v>
      </c>
      <c r="I1692" t="s">
        <v>17</v>
      </c>
      <c r="J1692" t="s">
        <v>50</v>
      </c>
      <c r="K1692">
        <v>0.1</v>
      </c>
      <c r="L169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692">
        <f>GhanaStream[[#This Row],[Subscription Fee]]-(GhanaStream[[#This Row],[Discount]]*GhanaStream[[#This Row],[Subscription Fee]])</f>
        <v>14580</v>
      </c>
      <c r="N1692" t="str">
        <f>IF(GhanaStream[[#This Row],[Churn Flag]]="Yes","Churned","Retained")</f>
        <v>Churned</v>
      </c>
    </row>
    <row r="1693" spans="1:14" x14ac:dyDescent="0.25">
      <c r="A1693" t="s">
        <v>1731</v>
      </c>
      <c r="B1693" s="1">
        <v>45306</v>
      </c>
      <c r="C1693" t="s">
        <v>12</v>
      </c>
      <c r="D1693" t="s">
        <v>27</v>
      </c>
      <c r="E1693">
        <v>16200</v>
      </c>
      <c r="F1693" t="s">
        <v>32</v>
      </c>
      <c r="G1693" t="s">
        <v>24</v>
      </c>
      <c r="H1693" t="s">
        <v>33</v>
      </c>
      <c r="I1693" t="s">
        <v>34</v>
      </c>
      <c r="J1693" t="s">
        <v>39</v>
      </c>
      <c r="K1693">
        <v>0.1</v>
      </c>
      <c r="L169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693">
        <f>GhanaStream[[#This Row],[Subscription Fee]]-(GhanaStream[[#This Row],[Discount]]*GhanaStream[[#This Row],[Subscription Fee]])</f>
        <v>14580</v>
      </c>
      <c r="N1693" t="str">
        <f>IF(GhanaStream[[#This Row],[Churn Flag]]="Yes","Churned","Retained")</f>
        <v>Retained</v>
      </c>
    </row>
    <row r="1694" spans="1:14" x14ac:dyDescent="0.25">
      <c r="A1694" t="s">
        <v>1732</v>
      </c>
      <c r="B1694" s="1">
        <v>45337</v>
      </c>
      <c r="C1694" t="s">
        <v>12</v>
      </c>
      <c r="D1694" t="s">
        <v>27</v>
      </c>
      <c r="E1694">
        <v>16200</v>
      </c>
      <c r="F1694" t="s">
        <v>49</v>
      </c>
      <c r="G1694" t="s">
        <v>28</v>
      </c>
      <c r="H1694" t="s">
        <v>16</v>
      </c>
      <c r="I1694" t="s">
        <v>17</v>
      </c>
      <c r="J1694" t="s">
        <v>18</v>
      </c>
      <c r="K1694">
        <v>0.1</v>
      </c>
      <c r="L169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694">
        <f>GhanaStream[[#This Row],[Subscription Fee]]-(GhanaStream[[#This Row],[Discount]]*GhanaStream[[#This Row],[Subscription Fee]])</f>
        <v>14580</v>
      </c>
      <c r="N1694" t="str">
        <f>IF(GhanaStream[[#This Row],[Churn Flag]]="Yes","Churned","Retained")</f>
        <v>Churned</v>
      </c>
    </row>
    <row r="1695" spans="1:14" x14ac:dyDescent="0.25">
      <c r="A1695" t="s">
        <v>1733</v>
      </c>
      <c r="B1695" s="1">
        <v>45553</v>
      </c>
      <c r="C1695" t="s">
        <v>12</v>
      </c>
      <c r="D1695" t="s">
        <v>13</v>
      </c>
      <c r="E1695">
        <v>1500</v>
      </c>
      <c r="F1695" t="s">
        <v>14</v>
      </c>
      <c r="G1695" t="s">
        <v>24</v>
      </c>
      <c r="H1695" t="s">
        <v>16</v>
      </c>
      <c r="I1695" t="s">
        <v>17</v>
      </c>
      <c r="J1695" t="s">
        <v>55</v>
      </c>
      <c r="K1695">
        <v>0</v>
      </c>
      <c r="L169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695">
        <f>GhanaStream[[#This Row],[Subscription Fee]]-(GhanaStream[[#This Row],[Discount]]*GhanaStream[[#This Row],[Subscription Fee]])</f>
        <v>1500</v>
      </c>
      <c r="N1695" t="str">
        <f>IF(GhanaStream[[#This Row],[Churn Flag]]="Yes","Churned","Retained")</f>
        <v>Churned</v>
      </c>
    </row>
    <row r="1696" spans="1:14" x14ac:dyDescent="0.25">
      <c r="A1696" t="s">
        <v>1734</v>
      </c>
      <c r="B1696" s="1">
        <v>45187</v>
      </c>
      <c r="C1696" t="s">
        <v>31</v>
      </c>
      <c r="D1696" t="s">
        <v>13</v>
      </c>
      <c r="E1696">
        <v>1000</v>
      </c>
      <c r="F1696" t="s">
        <v>21</v>
      </c>
      <c r="G1696" t="s">
        <v>24</v>
      </c>
      <c r="H1696" t="s">
        <v>33</v>
      </c>
      <c r="I1696" t="s">
        <v>34</v>
      </c>
      <c r="J1696" t="s">
        <v>18</v>
      </c>
      <c r="K1696">
        <v>0</v>
      </c>
      <c r="L169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696">
        <f>GhanaStream[[#This Row],[Subscription Fee]]-(GhanaStream[[#This Row],[Discount]]*GhanaStream[[#This Row],[Subscription Fee]])</f>
        <v>1000</v>
      </c>
      <c r="N1696" t="str">
        <f>IF(GhanaStream[[#This Row],[Churn Flag]]="Yes","Churned","Retained")</f>
        <v>Retained</v>
      </c>
    </row>
    <row r="1697" spans="1:14" x14ac:dyDescent="0.25">
      <c r="A1697" t="s">
        <v>1735</v>
      </c>
      <c r="B1697" s="1">
        <v>44976</v>
      </c>
      <c r="C1697" t="s">
        <v>31</v>
      </c>
      <c r="D1697" t="s">
        <v>13</v>
      </c>
      <c r="E1697">
        <v>1000</v>
      </c>
      <c r="F1697" t="s">
        <v>49</v>
      </c>
      <c r="G1697" t="s">
        <v>28</v>
      </c>
      <c r="H1697" t="s">
        <v>16</v>
      </c>
      <c r="I1697" t="s">
        <v>17</v>
      </c>
      <c r="J1697" t="s">
        <v>18</v>
      </c>
      <c r="K1697">
        <v>0</v>
      </c>
      <c r="L169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697">
        <f>GhanaStream[[#This Row],[Subscription Fee]]-(GhanaStream[[#This Row],[Discount]]*GhanaStream[[#This Row],[Subscription Fee]])</f>
        <v>1000</v>
      </c>
      <c r="N1697" t="str">
        <f>IF(GhanaStream[[#This Row],[Churn Flag]]="Yes","Churned","Retained")</f>
        <v>Churned</v>
      </c>
    </row>
    <row r="1698" spans="1:14" x14ac:dyDescent="0.25">
      <c r="A1698" t="s">
        <v>1736</v>
      </c>
      <c r="B1698" s="1">
        <v>45136</v>
      </c>
      <c r="C1698" t="s">
        <v>12</v>
      </c>
      <c r="D1698" t="s">
        <v>13</v>
      </c>
      <c r="E1698">
        <v>1500</v>
      </c>
      <c r="F1698" t="s">
        <v>14</v>
      </c>
      <c r="G1698" t="s">
        <v>24</v>
      </c>
      <c r="H1698" t="s">
        <v>16</v>
      </c>
      <c r="I1698" t="s">
        <v>17</v>
      </c>
      <c r="J1698" t="s">
        <v>37</v>
      </c>
      <c r="K1698">
        <v>0</v>
      </c>
      <c r="L169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698">
        <f>GhanaStream[[#This Row],[Subscription Fee]]-(GhanaStream[[#This Row],[Discount]]*GhanaStream[[#This Row],[Subscription Fee]])</f>
        <v>1500</v>
      </c>
      <c r="N1698" t="str">
        <f>IF(GhanaStream[[#This Row],[Churn Flag]]="Yes","Churned","Retained")</f>
        <v>Churned</v>
      </c>
    </row>
    <row r="1699" spans="1:14" x14ac:dyDescent="0.25">
      <c r="A1699" t="s">
        <v>1737</v>
      </c>
      <c r="B1699" s="1">
        <v>45332</v>
      </c>
      <c r="C1699" t="s">
        <v>20</v>
      </c>
      <c r="D1699" t="s">
        <v>13</v>
      </c>
      <c r="E1699">
        <v>500</v>
      </c>
      <c r="F1699" t="s">
        <v>32</v>
      </c>
      <c r="G1699" t="s">
        <v>24</v>
      </c>
      <c r="H1699" t="s">
        <v>33</v>
      </c>
      <c r="I1699" t="s">
        <v>34</v>
      </c>
      <c r="J1699" t="s">
        <v>35</v>
      </c>
      <c r="K1699">
        <v>0</v>
      </c>
      <c r="L169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699">
        <f>GhanaStream[[#This Row],[Subscription Fee]]-(GhanaStream[[#This Row],[Discount]]*GhanaStream[[#This Row],[Subscription Fee]])</f>
        <v>500</v>
      </c>
      <c r="N1699" t="str">
        <f>IF(GhanaStream[[#This Row],[Churn Flag]]="Yes","Churned","Retained")</f>
        <v>Retained</v>
      </c>
    </row>
    <row r="1700" spans="1:14" x14ac:dyDescent="0.25">
      <c r="A1700" t="s">
        <v>1738</v>
      </c>
      <c r="B1700" s="1">
        <v>45557</v>
      </c>
      <c r="C1700" t="s">
        <v>12</v>
      </c>
      <c r="D1700" t="s">
        <v>27</v>
      </c>
      <c r="E1700">
        <v>16200</v>
      </c>
      <c r="F1700" t="s">
        <v>14</v>
      </c>
      <c r="G1700" t="s">
        <v>28</v>
      </c>
      <c r="H1700" t="s">
        <v>16</v>
      </c>
      <c r="I1700" t="s">
        <v>17</v>
      </c>
      <c r="J1700" t="s">
        <v>37</v>
      </c>
      <c r="K1700">
        <v>0.1</v>
      </c>
      <c r="L170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700">
        <f>GhanaStream[[#This Row],[Subscription Fee]]-(GhanaStream[[#This Row],[Discount]]*GhanaStream[[#This Row],[Subscription Fee]])</f>
        <v>14580</v>
      </c>
      <c r="N1700" t="str">
        <f>IF(GhanaStream[[#This Row],[Churn Flag]]="Yes","Churned","Retained")</f>
        <v>Churned</v>
      </c>
    </row>
    <row r="1701" spans="1:14" x14ac:dyDescent="0.25">
      <c r="A1701" t="s">
        <v>1739</v>
      </c>
      <c r="B1701" s="1">
        <v>45546</v>
      </c>
      <c r="C1701" t="s">
        <v>20</v>
      </c>
      <c r="D1701" t="s">
        <v>27</v>
      </c>
      <c r="E1701">
        <v>5400</v>
      </c>
      <c r="F1701" t="s">
        <v>14</v>
      </c>
      <c r="G1701" t="s">
        <v>24</v>
      </c>
      <c r="H1701" t="s">
        <v>16</v>
      </c>
      <c r="I1701" t="s">
        <v>17</v>
      </c>
      <c r="J1701" t="s">
        <v>22</v>
      </c>
      <c r="K1701">
        <v>0.1</v>
      </c>
      <c r="L170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701">
        <f>GhanaStream[[#This Row],[Subscription Fee]]-(GhanaStream[[#This Row],[Discount]]*GhanaStream[[#This Row],[Subscription Fee]])</f>
        <v>4860</v>
      </c>
      <c r="N1701" t="str">
        <f>IF(GhanaStream[[#This Row],[Churn Flag]]="Yes","Churned","Retained")</f>
        <v>Churned</v>
      </c>
    </row>
    <row r="1702" spans="1:14" x14ac:dyDescent="0.25">
      <c r="A1702" t="s">
        <v>1740</v>
      </c>
      <c r="B1702" s="1">
        <v>45263</v>
      </c>
      <c r="C1702" t="s">
        <v>31</v>
      </c>
      <c r="D1702" t="s">
        <v>27</v>
      </c>
      <c r="E1702">
        <v>10800</v>
      </c>
      <c r="F1702" t="s">
        <v>14</v>
      </c>
      <c r="G1702" t="s">
        <v>28</v>
      </c>
      <c r="H1702" t="s">
        <v>16</v>
      </c>
      <c r="I1702" t="s">
        <v>17</v>
      </c>
      <c r="J1702" t="s">
        <v>22</v>
      </c>
      <c r="K1702">
        <v>0.1</v>
      </c>
      <c r="L170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702">
        <f>GhanaStream[[#This Row],[Subscription Fee]]-(GhanaStream[[#This Row],[Discount]]*GhanaStream[[#This Row],[Subscription Fee]])</f>
        <v>9720</v>
      </c>
      <c r="N1702" t="str">
        <f>IF(GhanaStream[[#This Row],[Churn Flag]]="Yes","Churned","Retained")</f>
        <v>Churned</v>
      </c>
    </row>
    <row r="1703" spans="1:14" x14ac:dyDescent="0.25">
      <c r="A1703" t="s">
        <v>1741</v>
      </c>
      <c r="B1703" s="1">
        <v>45387</v>
      </c>
      <c r="C1703" t="s">
        <v>12</v>
      </c>
      <c r="D1703" t="s">
        <v>13</v>
      </c>
      <c r="E1703">
        <v>1500</v>
      </c>
      <c r="F1703" t="s">
        <v>32</v>
      </c>
      <c r="G1703" t="s">
        <v>15</v>
      </c>
      <c r="H1703" t="s">
        <v>16</v>
      </c>
      <c r="I1703" t="s">
        <v>17</v>
      </c>
      <c r="J1703" t="s">
        <v>35</v>
      </c>
      <c r="K1703">
        <v>0</v>
      </c>
      <c r="L170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703">
        <f>GhanaStream[[#This Row],[Subscription Fee]]-(GhanaStream[[#This Row],[Discount]]*GhanaStream[[#This Row],[Subscription Fee]])</f>
        <v>1500</v>
      </c>
      <c r="N1703" t="str">
        <f>IF(GhanaStream[[#This Row],[Churn Flag]]="Yes","Churned","Retained")</f>
        <v>Churned</v>
      </c>
    </row>
    <row r="1704" spans="1:14" x14ac:dyDescent="0.25">
      <c r="A1704" t="s">
        <v>1742</v>
      </c>
      <c r="B1704" s="1">
        <v>44983</v>
      </c>
      <c r="C1704" t="s">
        <v>12</v>
      </c>
      <c r="D1704" t="s">
        <v>13</v>
      </c>
      <c r="E1704">
        <v>1500</v>
      </c>
      <c r="F1704" t="s">
        <v>32</v>
      </c>
      <c r="G1704" t="s">
        <v>28</v>
      </c>
      <c r="H1704" t="s">
        <v>16</v>
      </c>
      <c r="I1704" t="s">
        <v>17</v>
      </c>
      <c r="J1704" t="s">
        <v>66</v>
      </c>
      <c r="K1704">
        <v>0</v>
      </c>
      <c r="L170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704">
        <f>GhanaStream[[#This Row],[Subscription Fee]]-(GhanaStream[[#This Row],[Discount]]*GhanaStream[[#This Row],[Subscription Fee]])</f>
        <v>1500</v>
      </c>
      <c r="N1704" t="str">
        <f>IF(GhanaStream[[#This Row],[Churn Flag]]="Yes","Churned","Retained")</f>
        <v>Churned</v>
      </c>
    </row>
    <row r="1705" spans="1:14" x14ac:dyDescent="0.25">
      <c r="A1705" t="s">
        <v>1743</v>
      </c>
      <c r="B1705" s="1">
        <v>45618</v>
      </c>
      <c r="C1705" t="s">
        <v>31</v>
      </c>
      <c r="D1705" t="s">
        <v>27</v>
      </c>
      <c r="E1705">
        <v>10800</v>
      </c>
      <c r="F1705" t="s">
        <v>32</v>
      </c>
      <c r="G1705" t="s">
        <v>24</v>
      </c>
      <c r="H1705" t="s">
        <v>16</v>
      </c>
      <c r="I1705" t="s">
        <v>17</v>
      </c>
      <c r="J1705" t="s">
        <v>39</v>
      </c>
      <c r="K1705">
        <v>0.1</v>
      </c>
      <c r="L170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705">
        <f>GhanaStream[[#This Row],[Subscription Fee]]-(GhanaStream[[#This Row],[Discount]]*GhanaStream[[#This Row],[Subscription Fee]])</f>
        <v>9720</v>
      </c>
      <c r="N1705" t="str">
        <f>IF(GhanaStream[[#This Row],[Churn Flag]]="Yes","Churned","Retained")</f>
        <v>Churned</v>
      </c>
    </row>
    <row r="1706" spans="1:14" x14ac:dyDescent="0.25">
      <c r="A1706" t="s">
        <v>1744</v>
      </c>
      <c r="B1706" s="1">
        <v>45586</v>
      </c>
      <c r="C1706" t="s">
        <v>20</v>
      </c>
      <c r="D1706" t="s">
        <v>27</v>
      </c>
      <c r="E1706">
        <v>5400</v>
      </c>
      <c r="F1706" t="s">
        <v>49</v>
      </c>
      <c r="G1706" t="s">
        <v>24</v>
      </c>
      <c r="H1706" t="s">
        <v>16</v>
      </c>
      <c r="I1706" t="s">
        <v>17</v>
      </c>
      <c r="J1706" t="s">
        <v>58</v>
      </c>
      <c r="K1706">
        <v>0.1</v>
      </c>
      <c r="L170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706">
        <f>GhanaStream[[#This Row],[Subscription Fee]]-(GhanaStream[[#This Row],[Discount]]*GhanaStream[[#This Row],[Subscription Fee]])</f>
        <v>4860</v>
      </c>
      <c r="N1706" t="str">
        <f>IF(GhanaStream[[#This Row],[Churn Flag]]="Yes","Churned","Retained")</f>
        <v>Churned</v>
      </c>
    </row>
    <row r="1707" spans="1:14" x14ac:dyDescent="0.25">
      <c r="A1707" t="s">
        <v>1745</v>
      </c>
      <c r="B1707" s="1">
        <v>45371</v>
      </c>
      <c r="C1707" t="s">
        <v>31</v>
      </c>
      <c r="D1707" t="s">
        <v>27</v>
      </c>
      <c r="E1707">
        <v>10800</v>
      </c>
      <c r="F1707" t="s">
        <v>21</v>
      </c>
      <c r="G1707" t="s">
        <v>24</v>
      </c>
      <c r="H1707" t="s">
        <v>33</v>
      </c>
      <c r="I1707" t="s">
        <v>34</v>
      </c>
      <c r="J1707" t="s">
        <v>25</v>
      </c>
      <c r="K1707">
        <v>0.1</v>
      </c>
      <c r="L170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707">
        <f>GhanaStream[[#This Row],[Subscription Fee]]-(GhanaStream[[#This Row],[Discount]]*GhanaStream[[#This Row],[Subscription Fee]])</f>
        <v>9720</v>
      </c>
      <c r="N1707" t="str">
        <f>IF(GhanaStream[[#This Row],[Churn Flag]]="Yes","Churned","Retained")</f>
        <v>Retained</v>
      </c>
    </row>
    <row r="1708" spans="1:14" x14ac:dyDescent="0.25">
      <c r="A1708" t="s">
        <v>1746</v>
      </c>
      <c r="B1708" s="1">
        <v>45626</v>
      </c>
      <c r="C1708" t="s">
        <v>12</v>
      </c>
      <c r="D1708" t="s">
        <v>27</v>
      </c>
      <c r="E1708">
        <v>16200</v>
      </c>
      <c r="F1708" t="s">
        <v>14</v>
      </c>
      <c r="G1708" t="s">
        <v>28</v>
      </c>
      <c r="H1708" t="s">
        <v>16</v>
      </c>
      <c r="I1708" t="s">
        <v>17</v>
      </c>
      <c r="J1708" t="s">
        <v>18</v>
      </c>
      <c r="K1708">
        <v>0.1</v>
      </c>
      <c r="L170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708">
        <f>GhanaStream[[#This Row],[Subscription Fee]]-(GhanaStream[[#This Row],[Discount]]*GhanaStream[[#This Row],[Subscription Fee]])</f>
        <v>14580</v>
      </c>
      <c r="N1708" t="str">
        <f>IF(GhanaStream[[#This Row],[Churn Flag]]="Yes","Churned","Retained")</f>
        <v>Churned</v>
      </c>
    </row>
    <row r="1709" spans="1:14" x14ac:dyDescent="0.25">
      <c r="A1709" t="s">
        <v>1747</v>
      </c>
      <c r="B1709" s="1">
        <v>45654</v>
      </c>
      <c r="C1709" t="s">
        <v>20</v>
      </c>
      <c r="D1709" t="s">
        <v>13</v>
      </c>
      <c r="E1709">
        <v>500</v>
      </c>
      <c r="F1709" t="s">
        <v>14</v>
      </c>
      <c r="G1709" t="s">
        <v>24</v>
      </c>
      <c r="H1709" t="s">
        <v>33</v>
      </c>
      <c r="I1709" t="s">
        <v>34</v>
      </c>
      <c r="J1709" t="s">
        <v>55</v>
      </c>
      <c r="K1709">
        <v>0</v>
      </c>
      <c r="L170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709">
        <f>GhanaStream[[#This Row],[Subscription Fee]]-(GhanaStream[[#This Row],[Discount]]*GhanaStream[[#This Row],[Subscription Fee]])</f>
        <v>500</v>
      </c>
      <c r="N1709" t="str">
        <f>IF(GhanaStream[[#This Row],[Churn Flag]]="Yes","Churned","Retained")</f>
        <v>Retained</v>
      </c>
    </row>
    <row r="1710" spans="1:14" x14ac:dyDescent="0.25">
      <c r="A1710" t="s">
        <v>1748</v>
      </c>
      <c r="B1710" s="1">
        <v>45158</v>
      </c>
      <c r="C1710" t="s">
        <v>12</v>
      </c>
      <c r="D1710" t="s">
        <v>27</v>
      </c>
      <c r="E1710">
        <v>16200</v>
      </c>
      <c r="F1710" t="s">
        <v>14</v>
      </c>
      <c r="G1710" t="s">
        <v>28</v>
      </c>
      <c r="H1710" t="s">
        <v>16</v>
      </c>
      <c r="I1710" t="s">
        <v>17</v>
      </c>
      <c r="J1710" t="s">
        <v>41</v>
      </c>
      <c r="K1710">
        <v>0.1</v>
      </c>
      <c r="L171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710">
        <f>GhanaStream[[#This Row],[Subscription Fee]]-(GhanaStream[[#This Row],[Discount]]*GhanaStream[[#This Row],[Subscription Fee]])</f>
        <v>14580</v>
      </c>
      <c r="N1710" t="str">
        <f>IF(GhanaStream[[#This Row],[Churn Flag]]="Yes","Churned","Retained")</f>
        <v>Churned</v>
      </c>
    </row>
    <row r="1711" spans="1:14" x14ac:dyDescent="0.25">
      <c r="A1711" t="s">
        <v>1749</v>
      </c>
      <c r="B1711" s="1">
        <v>45537</v>
      </c>
      <c r="C1711" t="s">
        <v>31</v>
      </c>
      <c r="D1711" t="s">
        <v>27</v>
      </c>
      <c r="E1711">
        <v>10800</v>
      </c>
      <c r="F1711" t="s">
        <v>49</v>
      </c>
      <c r="G1711" t="s">
        <v>15</v>
      </c>
      <c r="H1711" t="s">
        <v>16</v>
      </c>
      <c r="I1711" t="s">
        <v>17</v>
      </c>
      <c r="J1711" t="s">
        <v>18</v>
      </c>
      <c r="K1711">
        <v>0.1</v>
      </c>
      <c r="L171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711">
        <f>GhanaStream[[#This Row],[Subscription Fee]]-(GhanaStream[[#This Row],[Discount]]*GhanaStream[[#This Row],[Subscription Fee]])</f>
        <v>9720</v>
      </c>
      <c r="N1711" t="str">
        <f>IF(GhanaStream[[#This Row],[Churn Flag]]="Yes","Churned","Retained")</f>
        <v>Churned</v>
      </c>
    </row>
    <row r="1712" spans="1:14" x14ac:dyDescent="0.25">
      <c r="A1712" t="s">
        <v>1750</v>
      </c>
      <c r="B1712" s="1">
        <v>45601</v>
      </c>
      <c r="C1712" t="s">
        <v>31</v>
      </c>
      <c r="D1712" t="s">
        <v>27</v>
      </c>
      <c r="E1712">
        <v>10800</v>
      </c>
      <c r="F1712" t="s">
        <v>14</v>
      </c>
      <c r="G1712" t="s">
        <v>24</v>
      </c>
      <c r="H1712" t="s">
        <v>33</v>
      </c>
      <c r="I1712" t="s">
        <v>34</v>
      </c>
      <c r="J1712" t="s">
        <v>41</v>
      </c>
      <c r="K1712">
        <v>0.1</v>
      </c>
      <c r="L171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712">
        <f>GhanaStream[[#This Row],[Subscription Fee]]-(GhanaStream[[#This Row],[Discount]]*GhanaStream[[#This Row],[Subscription Fee]])</f>
        <v>9720</v>
      </c>
      <c r="N1712" t="str">
        <f>IF(GhanaStream[[#This Row],[Churn Flag]]="Yes","Churned","Retained")</f>
        <v>Retained</v>
      </c>
    </row>
    <row r="1713" spans="1:14" x14ac:dyDescent="0.25">
      <c r="A1713" t="s">
        <v>1751</v>
      </c>
      <c r="B1713" s="1">
        <v>45451</v>
      </c>
      <c r="C1713" t="s">
        <v>31</v>
      </c>
      <c r="D1713" t="s">
        <v>27</v>
      </c>
      <c r="E1713">
        <v>10800</v>
      </c>
      <c r="F1713" t="s">
        <v>32</v>
      </c>
      <c r="G1713" t="s">
        <v>28</v>
      </c>
      <c r="H1713" t="s">
        <v>33</v>
      </c>
      <c r="I1713" t="s">
        <v>34</v>
      </c>
      <c r="J1713" t="s">
        <v>39</v>
      </c>
      <c r="K1713">
        <v>0.1</v>
      </c>
      <c r="L171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713">
        <f>GhanaStream[[#This Row],[Subscription Fee]]-(GhanaStream[[#This Row],[Discount]]*GhanaStream[[#This Row],[Subscription Fee]])</f>
        <v>9720</v>
      </c>
      <c r="N1713" t="str">
        <f>IF(GhanaStream[[#This Row],[Churn Flag]]="Yes","Churned","Retained")</f>
        <v>Retained</v>
      </c>
    </row>
    <row r="1714" spans="1:14" x14ac:dyDescent="0.25">
      <c r="A1714" t="s">
        <v>1752</v>
      </c>
      <c r="B1714" s="1">
        <v>45499</v>
      </c>
      <c r="C1714" t="s">
        <v>12</v>
      </c>
      <c r="D1714" t="s">
        <v>27</v>
      </c>
      <c r="E1714">
        <v>16200</v>
      </c>
      <c r="F1714" t="s">
        <v>32</v>
      </c>
      <c r="G1714" t="s">
        <v>28</v>
      </c>
      <c r="H1714" t="s">
        <v>16</v>
      </c>
      <c r="I1714" t="s">
        <v>17</v>
      </c>
      <c r="J1714" t="s">
        <v>35</v>
      </c>
      <c r="K1714">
        <v>0.1</v>
      </c>
      <c r="L171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714">
        <f>GhanaStream[[#This Row],[Subscription Fee]]-(GhanaStream[[#This Row],[Discount]]*GhanaStream[[#This Row],[Subscription Fee]])</f>
        <v>14580</v>
      </c>
      <c r="N1714" t="str">
        <f>IF(GhanaStream[[#This Row],[Churn Flag]]="Yes","Churned","Retained")</f>
        <v>Churned</v>
      </c>
    </row>
    <row r="1715" spans="1:14" x14ac:dyDescent="0.25">
      <c r="A1715" t="s">
        <v>1753</v>
      </c>
      <c r="B1715" s="1">
        <v>45365</v>
      </c>
      <c r="C1715" t="s">
        <v>20</v>
      </c>
      <c r="D1715" t="s">
        <v>13</v>
      </c>
      <c r="E1715">
        <v>500</v>
      </c>
      <c r="F1715" t="s">
        <v>14</v>
      </c>
      <c r="G1715" t="s">
        <v>24</v>
      </c>
      <c r="H1715" t="s">
        <v>16</v>
      </c>
      <c r="I1715" t="s">
        <v>17</v>
      </c>
      <c r="J1715" t="s">
        <v>37</v>
      </c>
      <c r="K1715">
        <v>0</v>
      </c>
      <c r="L171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715">
        <f>GhanaStream[[#This Row],[Subscription Fee]]-(GhanaStream[[#This Row],[Discount]]*GhanaStream[[#This Row],[Subscription Fee]])</f>
        <v>500</v>
      </c>
      <c r="N1715" t="str">
        <f>IF(GhanaStream[[#This Row],[Churn Flag]]="Yes","Churned","Retained")</f>
        <v>Churned</v>
      </c>
    </row>
    <row r="1716" spans="1:14" x14ac:dyDescent="0.25">
      <c r="A1716" t="s">
        <v>1754</v>
      </c>
      <c r="B1716" s="1">
        <v>45356</v>
      </c>
      <c r="C1716" t="s">
        <v>20</v>
      </c>
      <c r="D1716" t="s">
        <v>13</v>
      </c>
      <c r="E1716">
        <v>500</v>
      </c>
      <c r="F1716" t="s">
        <v>49</v>
      </c>
      <c r="G1716" t="s">
        <v>28</v>
      </c>
      <c r="H1716" t="s">
        <v>33</v>
      </c>
      <c r="I1716" t="s">
        <v>34</v>
      </c>
      <c r="J1716" t="s">
        <v>58</v>
      </c>
      <c r="K1716">
        <v>0</v>
      </c>
      <c r="L171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716">
        <f>GhanaStream[[#This Row],[Subscription Fee]]-(GhanaStream[[#This Row],[Discount]]*GhanaStream[[#This Row],[Subscription Fee]])</f>
        <v>500</v>
      </c>
      <c r="N1716" t="str">
        <f>IF(GhanaStream[[#This Row],[Churn Flag]]="Yes","Churned","Retained")</f>
        <v>Retained</v>
      </c>
    </row>
    <row r="1717" spans="1:14" x14ac:dyDescent="0.25">
      <c r="A1717" t="s">
        <v>1755</v>
      </c>
      <c r="B1717" s="1">
        <v>45141</v>
      </c>
      <c r="C1717" t="s">
        <v>31</v>
      </c>
      <c r="D1717" t="s">
        <v>27</v>
      </c>
      <c r="E1717">
        <v>10800</v>
      </c>
      <c r="F1717" t="s">
        <v>14</v>
      </c>
      <c r="G1717" t="s">
        <v>15</v>
      </c>
      <c r="H1717" t="s">
        <v>16</v>
      </c>
      <c r="I1717" t="s">
        <v>17</v>
      </c>
      <c r="J1717" t="s">
        <v>18</v>
      </c>
      <c r="K1717">
        <v>0.1</v>
      </c>
      <c r="L171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717">
        <f>GhanaStream[[#This Row],[Subscription Fee]]-(GhanaStream[[#This Row],[Discount]]*GhanaStream[[#This Row],[Subscription Fee]])</f>
        <v>9720</v>
      </c>
      <c r="N1717" t="str">
        <f>IF(GhanaStream[[#This Row],[Churn Flag]]="Yes","Churned","Retained")</f>
        <v>Churned</v>
      </c>
    </row>
    <row r="1718" spans="1:14" x14ac:dyDescent="0.25">
      <c r="A1718" t="s">
        <v>1756</v>
      </c>
      <c r="B1718" s="1">
        <v>45065</v>
      </c>
      <c r="C1718" t="s">
        <v>12</v>
      </c>
      <c r="D1718" t="s">
        <v>13</v>
      </c>
      <c r="E1718">
        <v>1500</v>
      </c>
      <c r="F1718" t="s">
        <v>14</v>
      </c>
      <c r="G1718" t="s">
        <v>15</v>
      </c>
      <c r="H1718" t="s">
        <v>33</v>
      </c>
      <c r="I1718" t="s">
        <v>34</v>
      </c>
      <c r="J1718" t="s">
        <v>18</v>
      </c>
      <c r="K1718">
        <v>0</v>
      </c>
      <c r="L171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718">
        <f>GhanaStream[[#This Row],[Subscription Fee]]-(GhanaStream[[#This Row],[Discount]]*GhanaStream[[#This Row],[Subscription Fee]])</f>
        <v>1500</v>
      </c>
      <c r="N1718" t="str">
        <f>IF(GhanaStream[[#This Row],[Churn Flag]]="Yes","Churned","Retained")</f>
        <v>Retained</v>
      </c>
    </row>
    <row r="1719" spans="1:14" x14ac:dyDescent="0.25">
      <c r="A1719" t="s">
        <v>1757</v>
      </c>
      <c r="B1719" s="1">
        <v>45061</v>
      </c>
      <c r="C1719" t="s">
        <v>20</v>
      </c>
      <c r="D1719" t="s">
        <v>13</v>
      </c>
      <c r="E1719">
        <v>500</v>
      </c>
      <c r="F1719" t="s">
        <v>21</v>
      </c>
      <c r="G1719" t="s">
        <v>24</v>
      </c>
      <c r="H1719" t="s">
        <v>33</v>
      </c>
      <c r="I1719" t="s">
        <v>34</v>
      </c>
      <c r="J1719" t="s">
        <v>22</v>
      </c>
      <c r="K1719">
        <v>0</v>
      </c>
      <c r="L171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719">
        <f>GhanaStream[[#This Row],[Subscription Fee]]-(GhanaStream[[#This Row],[Discount]]*GhanaStream[[#This Row],[Subscription Fee]])</f>
        <v>500</v>
      </c>
      <c r="N1719" t="str">
        <f>IF(GhanaStream[[#This Row],[Churn Flag]]="Yes","Churned","Retained")</f>
        <v>Retained</v>
      </c>
    </row>
    <row r="1720" spans="1:14" x14ac:dyDescent="0.25">
      <c r="A1720" t="s">
        <v>1758</v>
      </c>
      <c r="B1720" s="1">
        <v>45125</v>
      </c>
      <c r="C1720" t="s">
        <v>12</v>
      </c>
      <c r="D1720" t="s">
        <v>13</v>
      </c>
      <c r="E1720">
        <v>1500</v>
      </c>
      <c r="F1720" t="s">
        <v>14</v>
      </c>
      <c r="G1720" t="s">
        <v>28</v>
      </c>
      <c r="H1720" t="s">
        <v>33</v>
      </c>
      <c r="I1720" t="s">
        <v>34</v>
      </c>
      <c r="J1720" t="s">
        <v>18</v>
      </c>
      <c r="K1720">
        <v>0</v>
      </c>
      <c r="L172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720">
        <f>GhanaStream[[#This Row],[Subscription Fee]]-(GhanaStream[[#This Row],[Discount]]*GhanaStream[[#This Row],[Subscription Fee]])</f>
        <v>1500</v>
      </c>
      <c r="N1720" t="str">
        <f>IF(GhanaStream[[#This Row],[Churn Flag]]="Yes","Churned","Retained")</f>
        <v>Retained</v>
      </c>
    </row>
    <row r="1721" spans="1:14" x14ac:dyDescent="0.25">
      <c r="A1721" t="s">
        <v>1759</v>
      </c>
      <c r="B1721" s="1">
        <v>45035</v>
      </c>
      <c r="C1721" t="s">
        <v>20</v>
      </c>
      <c r="D1721" t="s">
        <v>27</v>
      </c>
      <c r="E1721">
        <v>5400</v>
      </c>
      <c r="F1721" t="s">
        <v>49</v>
      </c>
      <c r="G1721" t="s">
        <v>15</v>
      </c>
      <c r="H1721" t="s">
        <v>33</v>
      </c>
      <c r="I1721" t="s">
        <v>34</v>
      </c>
      <c r="J1721" t="s">
        <v>50</v>
      </c>
      <c r="K1721">
        <v>0.1</v>
      </c>
      <c r="L172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721">
        <f>GhanaStream[[#This Row],[Subscription Fee]]-(GhanaStream[[#This Row],[Discount]]*GhanaStream[[#This Row],[Subscription Fee]])</f>
        <v>4860</v>
      </c>
      <c r="N1721" t="str">
        <f>IF(GhanaStream[[#This Row],[Churn Flag]]="Yes","Churned","Retained")</f>
        <v>Retained</v>
      </c>
    </row>
    <row r="1722" spans="1:14" x14ac:dyDescent="0.25">
      <c r="A1722" t="s">
        <v>1760</v>
      </c>
      <c r="B1722" s="1">
        <v>45275</v>
      </c>
      <c r="C1722" t="s">
        <v>31</v>
      </c>
      <c r="D1722" t="s">
        <v>13</v>
      </c>
      <c r="E1722">
        <v>1000</v>
      </c>
      <c r="F1722" t="s">
        <v>32</v>
      </c>
      <c r="G1722" t="s">
        <v>28</v>
      </c>
      <c r="H1722" t="s">
        <v>16</v>
      </c>
      <c r="I1722" t="s">
        <v>17</v>
      </c>
      <c r="J1722" t="s">
        <v>44</v>
      </c>
      <c r="K1722">
        <v>0</v>
      </c>
      <c r="L172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722">
        <f>GhanaStream[[#This Row],[Subscription Fee]]-(GhanaStream[[#This Row],[Discount]]*GhanaStream[[#This Row],[Subscription Fee]])</f>
        <v>1000</v>
      </c>
      <c r="N1722" t="str">
        <f>IF(GhanaStream[[#This Row],[Churn Flag]]="Yes","Churned","Retained")</f>
        <v>Churned</v>
      </c>
    </row>
    <row r="1723" spans="1:14" x14ac:dyDescent="0.25">
      <c r="A1723" t="s">
        <v>1761</v>
      </c>
      <c r="B1723" s="1">
        <v>45476</v>
      </c>
      <c r="C1723" t="s">
        <v>20</v>
      </c>
      <c r="D1723" t="s">
        <v>13</v>
      </c>
      <c r="E1723">
        <v>500</v>
      </c>
      <c r="F1723" t="s">
        <v>32</v>
      </c>
      <c r="G1723" t="s">
        <v>15</v>
      </c>
      <c r="H1723" t="s">
        <v>16</v>
      </c>
      <c r="I1723" t="s">
        <v>17</v>
      </c>
      <c r="J1723" t="s">
        <v>66</v>
      </c>
      <c r="K1723">
        <v>0</v>
      </c>
      <c r="L172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723">
        <f>GhanaStream[[#This Row],[Subscription Fee]]-(GhanaStream[[#This Row],[Discount]]*GhanaStream[[#This Row],[Subscription Fee]])</f>
        <v>500</v>
      </c>
      <c r="N1723" t="str">
        <f>IF(GhanaStream[[#This Row],[Churn Flag]]="Yes","Churned","Retained")</f>
        <v>Churned</v>
      </c>
    </row>
    <row r="1724" spans="1:14" x14ac:dyDescent="0.25">
      <c r="A1724" t="s">
        <v>1762</v>
      </c>
      <c r="B1724" s="1">
        <v>45097</v>
      </c>
      <c r="C1724" t="s">
        <v>12</v>
      </c>
      <c r="D1724" t="s">
        <v>13</v>
      </c>
      <c r="E1724">
        <v>1500</v>
      </c>
      <c r="F1724" t="s">
        <v>49</v>
      </c>
      <c r="G1724" t="s">
        <v>15</v>
      </c>
      <c r="H1724" t="s">
        <v>33</v>
      </c>
      <c r="I1724" t="s">
        <v>34</v>
      </c>
      <c r="J1724" t="s">
        <v>18</v>
      </c>
      <c r="K1724">
        <v>0</v>
      </c>
      <c r="L172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724">
        <f>GhanaStream[[#This Row],[Subscription Fee]]-(GhanaStream[[#This Row],[Discount]]*GhanaStream[[#This Row],[Subscription Fee]])</f>
        <v>1500</v>
      </c>
      <c r="N1724" t="str">
        <f>IF(GhanaStream[[#This Row],[Churn Flag]]="Yes","Churned","Retained")</f>
        <v>Retained</v>
      </c>
    </row>
    <row r="1725" spans="1:14" x14ac:dyDescent="0.25">
      <c r="A1725" t="s">
        <v>1763</v>
      </c>
      <c r="B1725" s="1">
        <v>45538</v>
      </c>
      <c r="C1725" t="s">
        <v>31</v>
      </c>
      <c r="D1725" t="s">
        <v>27</v>
      </c>
      <c r="E1725">
        <v>10800</v>
      </c>
      <c r="F1725" t="s">
        <v>49</v>
      </c>
      <c r="G1725" t="s">
        <v>28</v>
      </c>
      <c r="H1725" t="s">
        <v>16</v>
      </c>
      <c r="I1725" t="s">
        <v>17</v>
      </c>
      <c r="J1725" t="s">
        <v>58</v>
      </c>
      <c r="K1725">
        <v>0.1</v>
      </c>
      <c r="L172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725">
        <f>GhanaStream[[#This Row],[Subscription Fee]]-(GhanaStream[[#This Row],[Discount]]*GhanaStream[[#This Row],[Subscription Fee]])</f>
        <v>9720</v>
      </c>
      <c r="N1725" t="str">
        <f>IF(GhanaStream[[#This Row],[Churn Flag]]="Yes","Churned","Retained")</f>
        <v>Churned</v>
      </c>
    </row>
    <row r="1726" spans="1:14" x14ac:dyDescent="0.25">
      <c r="A1726" t="s">
        <v>1764</v>
      </c>
      <c r="B1726" s="1">
        <v>45067</v>
      </c>
      <c r="C1726" t="s">
        <v>31</v>
      </c>
      <c r="D1726" t="s">
        <v>27</v>
      </c>
      <c r="E1726">
        <v>10800</v>
      </c>
      <c r="F1726" t="s">
        <v>14</v>
      </c>
      <c r="G1726" t="s">
        <v>15</v>
      </c>
      <c r="H1726" t="s">
        <v>33</v>
      </c>
      <c r="I1726" t="s">
        <v>34</v>
      </c>
      <c r="J1726" t="s">
        <v>37</v>
      </c>
      <c r="K1726">
        <v>0.1</v>
      </c>
      <c r="L172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726">
        <f>GhanaStream[[#This Row],[Subscription Fee]]-(GhanaStream[[#This Row],[Discount]]*GhanaStream[[#This Row],[Subscription Fee]])</f>
        <v>9720</v>
      </c>
      <c r="N1726" t="str">
        <f>IF(GhanaStream[[#This Row],[Churn Flag]]="Yes","Churned","Retained")</f>
        <v>Retained</v>
      </c>
    </row>
    <row r="1727" spans="1:14" x14ac:dyDescent="0.25">
      <c r="A1727" t="s">
        <v>1765</v>
      </c>
      <c r="B1727" s="1">
        <v>45002</v>
      </c>
      <c r="C1727" t="s">
        <v>20</v>
      </c>
      <c r="D1727" t="s">
        <v>27</v>
      </c>
      <c r="E1727">
        <v>5400</v>
      </c>
      <c r="F1727" t="s">
        <v>49</v>
      </c>
      <c r="G1727" t="s">
        <v>24</v>
      </c>
      <c r="H1727" t="s">
        <v>16</v>
      </c>
      <c r="I1727" t="s">
        <v>17</v>
      </c>
      <c r="J1727" t="s">
        <v>22</v>
      </c>
      <c r="K1727">
        <v>0.1</v>
      </c>
      <c r="L172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727">
        <f>GhanaStream[[#This Row],[Subscription Fee]]-(GhanaStream[[#This Row],[Discount]]*GhanaStream[[#This Row],[Subscription Fee]])</f>
        <v>4860</v>
      </c>
      <c r="N1727" t="str">
        <f>IF(GhanaStream[[#This Row],[Churn Flag]]="Yes","Churned","Retained")</f>
        <v>Churned</v>
      </c>
    </row>
    <row r="1728" spans="1:14" x14ac:dyDescent="0.25">
      <c r="A1728" t="s">
        <v>1766</v>
      </c>
      <c r="B1728" s="1">
        <v>45652</v>
      </c>
      <c r="C1728" t="s">
        <v>31</v>
      </c>
      <c r="D1728" t="s">
        <v>13</v>
      </c>
      <c r="E1728">
        <v>1000</v>
      </c>
      <c r="F1728" t="s">
        <v>49</v>
      </c>
      <c r="G1728" t="s">
        <v>15</v>
      </c>
      <c r="H1728" t="s">
        <v>33</v>
      </c>
      <c r="I1728" t="s">
        <v>34</v>
      </c>
      <c r="J1728" t="s">
        <v>25</v>
      </c>
      <c r="K1728">
        <v>0</v>
      </c>
      <c r="L172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728">
        <f>GhanaStream[[#This Row],[Subscription Fee]]-(GhanaStream[[#This Row],[Discount]]*GhanaStream[[#This Row],[Subscription Fee]])</f>
        <v>1000</v>
      </c>
      <c r="N1728" t="str">
        <f>IF(GhanaStream[[#This Row],[Churn Flag]]="Yes","Churned","Retained")</f>
        <v>Retained</v>
      </c>
    </row>
    <row r="1729" spans="1:14" x14ac:dyDescent="0.25">
      <c r="A1729" t="s">
        <v>1767</v>
      </c>
      <c r="B1729" s="1">
        <v>45206</v>
      </c>
      <c r="C1729" t="s">
        <v>20</v>
      </c>
      <c r="D1729" t="s">
        <v>27</v>
      </c>
      <c r="E1729">
        <v>5400</v>
      </c>
      <c r="F1729" t="s">
        <v>49</v>
      </c>
      <c r="G1729" t="s">
        <v>15</v>
      </c>
      <c r="H1729" t="s">
        <v>16</v>
      </c>
      <c r="I1729" t="s">
        <v>17</v>
      </c>
      <c r="J1729" t="s">
        <v>25</v>
      </c>
      <c r="K1729">
        <v>0.1</v>
      </c>
      <c r="L172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729">
        <f>GhanaStream[[#This Row],[Subscription Fee]]-(GhanaStream[[#This Row],[Discount]]*GhanaStream[[#This Row],[Subscription Fee]])</f>
        <v>4860</v>
      </c>
      <c r="N1729" t="str">
        <f>IF(GhanaStream[[#This Row],[Churn Flag]]="Yes","Churned","Retained")</f>
        <v>Churned</v>
      </c>
    </row>
    <row r="1730" spans="1:14" x14ac:dyDescent="0.25">
      <c r="A1730" t="s">
        <v>1768</v>
      </c>
      <c r="B1730" s="1">
        <v>45023</v>
      </c>
      <c r="C1730" t="s">
        <v>12</v>
      </c>
      <c r="D1730" t="s">
        <v>27</v>
      </c>
      <c r="E1730">
        <v>16200</v>
      </c>
      <c r="F1730" t="s">
        <v>14</v>
      </c>
      <c r="G1730" t="s">
        <v>28</v>
      </c>
      <c r="H1730" t="s">
        <v>16</v>
      </c>
      <c r="I1730" t="s">
        <v>17</v>
      </c>
      <c r="J1730" t="s">
        <v>37</v>
      </c>
      <c r="K1730">
        <v>0.1</v>
      </c>
      <c r="L173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730">
        <f>GhanaStream[[#This Row],[Subscription Fee]]-(GhanaStream[[#This Row],[Discount]]*GhanaStream[[#This Row],[Subscription Fee]])</f>
        <v>14580</v>
      </c>
      <c r="N1730" t="str">
        <f>IF(GhanaStream[[#This Row],[Churn Flag]]="Yes","Churned","Retained")</f>
        <v>Churned</v>
      </c>
    </row>
    <row r="1731" spans="1:14" x14ac:dyDescent="0.25">
      <c r="A1731" t="s">
        <v>1769</v>
      </c>
      <c r="B1731" s="1">
        <v>45074</v>
      </c>
      <c r="C1731" t="s">
        <v>12</v>
      </c>
      <c r="D1731" t="s">
        <v>27</v>
      </c>
      <c r="E1731">
        <v>16200</v>
      </c>
      <c r="F1731" t="s">
        <v>49</v>
      </c>
      <c r="G1731" t="s">
        <v>15</v>
      </c>
      <c r="H1731" t="s">
        <v>16</v>
      </c>
      <c r="I1731" t="s">
        <v>17</v>
      </c>
      <c r="J1731" t="s">
        <v>35</v>
      </c>
      <c r="K1731">
        <v>0.1</v>
      </c>
      <c r="L173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731">
        <f>GhanaStream[[#This Row],[Subscription Fee]]-(GhanaStream[[#This Row],[Discount]]*GhanaStream[[#This Row],[Subscription Fee]])</f>
        <v>14580</v>
      </c>
      <c r="N1731" t="str">
        <f>IF(GhanaStream[[#This Row],[Churn Flag]]="Yes","Churned","Retained")</f>
        <v>Churned</v>
      </c>
    </row>
    <row r="1732" spans="1:14" x14ac:dyDescent="0.25">
      <c r="A1732" t="s">
        <v>1770</v>
      </c>
      <c r="B1732" s="1">
        <v>44929</v>
      </c>
      <c r="C1732" t="s">
        <v>20</v>
      </c>
      <c r="D1732" t="s">
        <v>13</v>
      </c>
      <c r="E1732">
        <v>500</v>
      </c>
      <c r="F1732" t="s">
        <v>32</v>
      </c>
      <c r="G1732" t="s">
        <v>15</v>
      </c>
      <c r="H1732" t="s">
        <v>16</v>
      </c>
      <c r="I1732" t="s">
        <v>17</v>
      </c>
      <c r="J1732" t="s">
        <v>39</v>
      </c>
      <c r="K1732">
        <v>0</v>
      </c>
      <c r="L173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732">
        <f>GhanaStream[[#This Row],[Subscription Fee]]-(GhanaStream[[#This Row],[Discount]]*GhanaStream[[#This Row],[Subscription Fee]])</f>
        <v>500</v>
      </c>
      <c r="N1732" t="str">
        <f>IF(GhanaStream[[#This Row],[Churn Flag]]="Yes","Churned","Retained")</f>
        <v>Churned</v>
      </c>
    </row>
    <row r="1733" spans="1:14" x14ac:dyDescent="0.25">
      <c r="A1733" t="s">
        <v>1771</v>
      </c>
      <c r="B1733" s="1">
        <v>45258</v>
      </c>
      <c r="C1733" t="s">
        <v>31</v>
      </c>
      <c r="D1733" t="s">
        <v>13</v>
      </c>
      <c r="E1733">
        <v>1000</v>
      </c>
      <c r="F1733" t="s">
        <v>14</v>
      </c>
      <c r="G1733" t="s">
        <v>28</v>
      </c>
      <c r="H1733" t="s">
        <v>33</v>
      </c>
      <c r="I1733" t="s">
        <v>34</v>
      </c>
      <c r="J1733" t="s">
        <v>37</v>
      </c>
      <c r="K1733">
        <v>0</v>
      </c>
      <c r="L173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733">
        <f>GhanaStream[[#This Row],[Subscription Fee]]-(GhanaStream[[#This Row],[Discount]]*GhanaStream[[#This Row],[Subscription Fee]])</f>
        <v>1000</v>
      </c>
      <c r="N1733" t="str">
        <f>IF(GhanaStream[[#This Row],[Churn Flag]]="Yes","Churned","Retained")</f>
        <v>Retained</v>
      </c>
    </row>
    <row r="1734" spans="1:14" x14ac:dyDescent="0.25">
      <c r="A1734" t="s">
        <v>1772</v>
      </c>
      <c r="B1734" s="1">
        <v>45333</v>
      </c>
      <c r="C1734" t="s">
        <v>12</v>
      </c>
      <c r="D1734" t="s">
        <v>27</v>
      </c>
      <c r="E1734">
        <v>16200</v>
      </c>
      <c r="F1734" t="s">
        <v>49</v>
      </c>
      <c r="G1734" t="s">
        <v>15</v>
      </c>
      <c r="H1734" t="s">
        <v>33</v>
      </c>
      <c r="I1734" t="s">
        <v>34</v>
      </c>
      <c r="J1734" t="s">
        <v>22</v>
      </c>
      <c r="K1734">
        <v>0.1</v>
      </c>
      <c r="L173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734">
        <f>GhanaStream[[#This Row],[Subscription Fee]]-(GhanaStream[[#This Row],[Discount]]*GhanaStream[[#This Row],[Subscription Fee]])</f>
        <v>14580</v>
      </c>
      <c r="N1734" t="str">
        <f>IF(GhanaStream[[#This Row],[Churn Flag]]="Yes","Churned","Retained")</f>
        <v>Retained</v>
      </c>
    </row>
    <row r="1735" spans="1:14" x14ac:dyDescent="0.25">
      <c r="A1735" t="s">
        <v>1773</v>
      </c>
      <c r="B1735" s="1">
        <v>45144</v>
      </c>
      <c r="C1735" t="s">
        <v>31</v>
      </c>
      <c r="D1735" t="s">
        <v>27</v>
      </c>
      <c r="E1735">
        <v>10800</v>
      </c>
      <c r="F1735" t="s">
        <v>32</v>
      </c>
      <c r="G1735" t="s">
        <v>15</v>
      </c>
      <c r="H1735" t="s">
        <v>33</v>
      </c>
      <c r="I1735" t="s">
        <v>34</v>
      </c>
      <c r="J1735" t="s">
        <v>66</v>
      </c>
      <c r="K1735">
        <v>0.1</v>
      </c>
      <c r="L173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735">
        <f>GhanaStream[[#This Row],[Subscription Fee]]-(GhanaStream[[#This Row],[Discount]]*GhanaStream[[#This Row],[Subscription Fee]])</f>
        <v>9720</v>
      </c>
      <c r="N1735" t="str">
        <f>IF(GhanaStream[[#This Row],[Churn Flag]]="Yes","Churned","Retained")</f>
        <v>Retained</v>
      </c>
    </row>
    <row r="1736" spans="1:14" x14ac:dyDescent="0.25">
      <c r="A1736" t="s">
        <v>1774</v>
      </c>
      <c r="B1736" s="1">
        <v>44940</v>
      </c>
      <c r="C1736" t="s">
        <v>20</v>
      </c>
      <c r="D1736" t="s">
        <v>13</v>
      </c>
      <c r="E1736">
        <v>500</v>
      </c>
      <c r="F1736" t="s">
        <v>32</v>
      </c>
      <c r="G1736" t="s">
        <v>28</v>
      </c>
      <c r="H1736" t="s">
        <v>33</v>
      </c>
      <c r="I1736" t="s">
        <v>34</v>
      </c>
      <c r="J1736" t="s">
        <v>44</v>
      </c>
      <c r="K1736">
        <v>0</v>
      </c>
      <c r="L173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736">
        <f>GhanaStream[[#This Row],[Subscription Fee]]-(GhanaStream[[#This Row],[Discount]]*GhanaStream[[#This Row],[Subscription Fee]])</f>
        <v>500</v>
      </c>
      <c r="N1736" t="str">
        <f>IF(GhanaStream[[#This Row],[Churn Flag]]="Yes","Churned","Retained")</f>
        <v>Retained</v>
      </c>
    </row>
    <row r="1737" spans="1:14" x14ac:dyDescent="0.25">
      <c r="A1737" t="s">
        <v>1775</v>
      </c>
      <c r="B1737" s="1">
        <v>45309</v>
      </c>
      <c r="C1737" t="s">
        <v>12</v>
      </c>
      <c r="D1737" t="s">
        <v>27</v>
      </c>
      <c r="E1737">
        <v>16200</v>
      </c>
      <c r="F1737" t="s">
        <v>21</v>
      </c>
      <c r="G1737" t="s">
        <v>28</v>
      </c>
      <c r="H1737" t="s">
        <v>16</v>
      </c>
      <c r="I1737" t="s">
        <v>17</v>
      </c>
      <c r="J1737" t="s">
        <v>29</v>
      </c>
      <c r="K1737">
        <v>0.1</v>
      </c>
      <c r="L173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737">
        <f>GhanaStream[[#This Row],[Subscription Fee]]-(GhanaStream[[#This Row],[Discount]]*GhanaStream[[#This Row],[Subscription Fee]])</f>
        <v>14580</v>
      </c>
      <c r="N1737" t="str">
        <f>IF(GhanaStream[[#This Row],[Churn Flag]]="Yes","Churned","Retained")</f>
        <v>Churned</v>
      </c>
    </row>
    <row r="1738" spans="1:14" x14ac:dyDescent="0.25">
      <c r="A1738" t="s">
        <v>1776</v>
      </c>
      <c r="B1738" s="1">
        <v>45197</v>
      </c>
      <c r="C1738" t="s">
        <v>31</v>
      </c>
      <c r="D1738" t="s">
        <v>13</v>
      </c>
      <c r="E1738">
        <v>1000</v>
      </c>
      <c r="F1738" t="s">
        <v>32</v>
      </c>
      <c r="G1738" t="s">
        <v>15</v>
      </c>
      <c r="H1738" t="s">
        <v>33</v>
      </c>
      <c r="I1738" t="s">
        <v>34</v>
      </c>
      <c r="J1738" t="s">
        <v>39</v>
      </c>
      <c r="K1738">
        <v>0</v>
      </c>
      <c r="L173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738">
        <f>GhanaStream[[#This Row],[Subscription Fee]]-(GhanaStream[[#This Row],[Discount]]*GhanaStream[[#This Row],[Subscription Fee]])</f>
        <v>1000</v>
      </c>
      <c r="N1738" t="str">
        <f>IF(GhanaStream[[#This Row],[Churn Flag]]="Yes","Churned","Retained")</f>
        <v>Retained</v>
      </c>
    </row>
    <row r="1739" spans="1:14" x14ac:dyDescent="0.25">
      <c r="A1739" t="s">
        <v>1777</v>
      </c>
      <c r="B1739" s="1">
        <v>44944</v>
      </c>
      <c r="C1739" t="s">
        <v>31</v>
      </c>
      <c r="D1739" t="s">
        <v>27</v>
      </c>
      <c r="E1739">
        <v>10800</v>
      </c>
      <c r="F1739" t="s">
        <v>14</v>
      </c>
      <c r="G1739" t="s">
        <v>28</v>
      </c>
      <c r="H1739" t="s">
        <v>33</v>
      </c>
      <c r="I1739" t="s">
        <v>34</v>
      </c>
      <c r="J1739" t="s">
        <v>55</v>
      </c>
      <c r="K1739">
        <v>0.1</v>
      </c>
      <c r="L173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739">
        <f>GhanaStream[[#This Row],[Subscription Fee]]-(GhanaStream[[#This Row],[Discount]]*GhanaStream[[#This Row],[Subscription Fee]])</f>
        <v>9720</v>
      </c>
      <c r="N1739" t="str">
        <f>IF(GhanaStream[[#This Row],[Churn Flag]]="Yes","Churned","Retained")</f>
        <v>Retained</v>
      </c>
    </row>
    <row r="1740" spans="1:14" x14ac:dyDescent="0.25">
      <c r="A1740" t="s">
        <v>1778</v>
      </c>
      <c r="B1740" s="1">
        <v>45212</v>
      </c>
      <c r="C1740" t="s">
        <v>31</v>
      </c>
      <c r="D1740" t="s">
        <v>13</v>
      </c>
      <c r="E1740">
        <v>1000</v>
      </c>
      <c r="F1740" t="s">
        <v>32</v>
      </c>
      <c r="G1740" t="s">
        <v>15</v>
      </c>
      <c r="H1740" t="s">
        <v>16</v>
      </c>
      <c r="I1740" t="s">
        <v>17</v>
      </c>
      <c r="J1740" t="s">
        <v>39</v>
      </c>
      <c r="K1740">
        <v>0</v>
      </c>
      <c r="L174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740">
        <f>GhanaStream[[#This Row],[Subscription Fee]]-(GhanaStream[[#This Row],[Discount]]*GhanaStream[[#This Row],[Subscription Fee]])</f>
        <v>1000</v>
      </c>
      <c r="N1740" t="str">
        <f>IF(GhanaStream[[#This Row],[Churn Flag]]="Yes","Churned","Retained")</f>
        <v>Churned</v>
      </c>
    </row>
    <row r="1741" spans="1:14" x14ac:dyDescent="0.25">
      <c r="A1741" t="s">
        <v>1779</v>
      </c>
      <c r="B1741" s="1">
        <v>45292</v>
      </c>
      <c r="C1741" t="s">
        <v>31</v>
      </c>
      <c r="D1741" t="s">
        <v>27</v>
      </c>
      <c r="E1741">
        <v>10800</v>
      </c>
      <c r="F1741" t="s">
        <v>32</v>
      </c>
      <c r="G1741" t="s">
        <v>28</v>
      </c>
      <c r="H1741" t="s">
        <v>33</v>
      </c>
      <c r="I1741" t="s">
        <v>34</v>
      </c>
      <c r="J1741" t="s">
        <v>44</v>
      </c>
      <c r="K1741">
        <v>0.1</v>
      </c>
      <c r="L174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741">
        <f>GhanaStream[[#This Row],[Subscription Fee]]-(GhanaStream[[#This Row],[Discount]]*GhanaStream[[#This Row],[Subscription Fee]])</f>
        <v>9720</v>
      </c>
      <c r="N1741" t="str">
        <f>IF(GhanaStream[[#This Row],[Churn Flag]]="Yes","Churned","Retained")</f>
        <v>Retained</v>
      </c>
    </row>
    <row r="1742" spans="1:14" x14ac:dyDescent="0.25">
      <c r="A1742" t="s">
        <v>1780</v>
      </c>
      <c r="B1742" s="1">
        <v>45443</v>
      </c>
      <c r="C1742" t="s">
        <v>12</v>
      </c>
      <c r="D1742" t="s">
        <v>13</v>
      </c>
      <c r="E1742">
        <v>1500</v>
      </c>
      <c r="F1742" t="s">
        <v>32</v>
      </c>
      <c r="G1742" t="s">
        <v>24</v>
      </c>
      <c r="H1742" t="s">
        <v>16</v>
      </c>
      <c r="I1742" t="s">
        <v>17</v>
      </c>
      <c r="J1742" t="s">
        <v>35</v>
      </c>
      <c r="K1742">
        <v>0</v>
      </c>
      <c r="L174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742">
        <f>GhanaStream[[#This Row],[Subscription Fee]]-(GhanaStream[[#This Row],[Discount]]*GhanaStream[[#This Row],[Subscription Fee]])</f>
        <v>1500</v>
      </c>
      <c r="N1742" t="str">
        <f>IF(GhanaStream[[#This Row],[Churn Flag]]="Yes","Churned","Retained")</f>
        <v>Churned</v>
      </c>
    </row>
    <row r="1743" spans="1:14" x14ac:dyDescent="0.25">
      <c r="A1743" t="s">
        <v>1781</v>
      </c>
      <c r="B1743" s="1">
        <v>45622</v>
      </c>
      <c r="C1743" t="s">
        <v>31</v>
      </c>
      <c r="D1743" t="s">
        <v>13</v>
      </c>
      <c r="E1743">
        <v>1000</v>
      </c>
      <c r="F1743" t="s">
        <v>14</v>
      </c>
      <c r="G1743" t="s">
        <v>24</v>
      </c>
      <c r="H1743" t="s">
        <v>33</v>
      </c>
      <c r="I1743" t="s">
        <v>34</v>
      </c>
      <c r="J1743" t="s">
        <v>37</v>
      </c>
      <c r="K1743">
        <v>0</v>
      </c>
      <c r="L174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743">
        <f>GhanaStream[[#This Row],[Subscription Fee]]-(GhanaStream[[#This Row],[Discount]]*GhanaStream[[#This Row],[Subscription Fee]])</f>
        <v>1000</v>
      </c>
      <c r="N1743" t="str">
        <f>IF(GhanaStream[[#This Row],[Churn Flag]]="Yes","Churned","Retained")</f>
        <v>Retained</v>
      </c>
    </row>
    <row r="1744" spans="1:14" x14ac:dyDescent="0.25">
      <c r="A1744" t="s">
        <v>1782</v>
      </c>
      <c r="B1744" s="1">
        <v>44945</v>
      </c>
      <c r="C1744" t="s">
        <v>31</v>
      </c>
      <c r="D1744" t="s">
        <v>13</v>
      </c>
      <c r="E1744">
        <v>1000</v>
      </c>
      <c r="F1744" t="s">
        <v>21</v>
      </c>
      <c r="G1744" t="s">
        <v>24</v>
      </c>
      <c r="H1744" t="s">
        <v>16</v>
      </c>
      <c r="I1744" t="s">
        <v>17</v>
      </c>
      <c r="J1744" t="s">
        <v>18</v>
      </c>
      <c r="K1744">
        <v>0</v>
      </c>
      <c r="L174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744">
        <f>GhanaStream[[#This Row],[Subscription Fee]]-(GhanaStream[[#This Row],[Discount]]*GhanaStream[[#This Row],[Subscription Fee]])</f>
        <v>1000</v>
      </c>
      <c r="N1744" t="str">
        <f>IF(GhanaStream[[#This Row],[Churn Flag]]="Yes","Churned","Retained")</f>
        <v>Churned</v>
      </c>
    </row>
    <row r="1745" spans="1:14" x14ac:dyDescent="0.25">
      <c r="A1745" t="s">
        <v>1783</v>
      </c>
      <c r="B1745" s="1">
        <v>45106</v>
      </c>
      <c r="C1745" t="s">
        <v>20</v>
      </c>
      <c r="D1745" t="s">
        <v>13</v>
      </c>
      <c r="E1745">
        <v>500</v>
      </c>
      <c r="F1745" t="s">
        <v>14</v>
      </c>
      <c r="G1745" t="s">
        <v>28</v>
      </c>
      <c r="H1745" t="s">
        <v>33</v>
      </c>
      <c r="I1745" t="s">
        <v>34</v>
      </c>
      <c r="J1745" t="s">
        <v>37</v>
      </c>
      <c r="K1745">
        <v>0</v>
      </c>
      <c r="L174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745">
        <f>GhanaStream[[#This Row],[Subscription Fee]]-(GhanaStream[[#This Row],[Discount]]*GhanaStream[[#This Row],[Subscription Fee]])</f>
        <v>500</v>
      </c>
      <c r="N1745" t="str">
        <f>IF(GhanaStream[[#This Row],[Churn Flag]]="Yes","Churned","Retained")</f>
        <v>Retained</v>
      </c>
    </row>
    <row r="1746" spans="1:14" x14ac:dyDescent="0.25">
      <c r="A1746" t="s">
        <v>1784</v>
      </c>
      <c r="B1746" s="1">
        <v>44951</v>
      </c>
      <c r="C1746" t="s">
        <v>20</v>
      </c>
      <c r="D1746" t="s">
        <v>13</v>
      </c>
      <c r="E1746">
        <v>500</v>
      </c>
      <c r="F1746" t="s">
        <v>21</v>
      </c>
      <c r="G1746" t="s">
        <v>24</v>
      </c>
      <c r="H1746" t="s">
        <v>33</v>
      </c>
      <c r="I1746" t="s">
        <v>34</v>
      </c>
      <c r="J1746" t="s">
        <v>18</v>
      </c>
      <c r="K1746">
        <v>0</v>
      </c>
      <c r="L174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746">
        <f>GhanaStream[[#This Row],[Subscription Fee]]-(GhanaStream[[#This Row],[Discount]]*GhanaStream[[#This Row],[Subscription Fee]])</f>
        <v>500</v>
      </c>
      <c r="N1746" t="str">
        <f>IF(GhanaStream[[#This Row],[Churn Flag]]="Yes","Churned","Retained")</f>
        <v>Retained</v>
      </c>
    </row>
    <row r="1747" spans="1:14" x14ac:dyDescent="0.25">
      <c r="A1747" t="s">
        <v>1785</v>
      </c>
      <c r="B1747" s="1">
        <v>45089</v>
      </c>
      <c r="C1747" t="s">
        <v>12</v>
      </c>
      <c r="D1747" t="s">
        <v>13</v>
      </c>
      <c r="E1747">
        <v>1500</v>
      </c>
      <c r="F1747" t="s">
        <v>32</v>
      </c>
      <c r="G1747" t="s">
        <v>24</v>
      </c>
      <c r="H1747" t="s">
        <v>16</v>
      </c>
      <c r="I1747" t="s">
        <v>17</v>
      </c>
      <c r="J1747" t="s">
        <v>25</v>
      </c>
      <c r="K1747">
        <v>0</v>
      </c>
      <c r="L174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747">
        <f>GhanaStream[[#This Row],[Subscription Fee]]-(GhanaStream[[#This Row],[Discount]]*GhanaStream[[#This Row],[Subscription Fee]])</f>
        <v>1500</v>
      </c>
      <c r="N1747" t="str">
        <f>IF(GhanaStream[[#This Row],[Churn Flag]]="Yes","Churned","Retained")</f>
        <v>Churned</v>
      </c>
    </row>
    <row r="1748" spans="1:14" x14ac:dyDescent="0.25">
      <c r="A1748" t="s">
        <v>1786</v>
      </c>
      <c r="B1748" s="1">
        <v>44956</v>
      </c>
      <c r="C1748" t="s">
        <v>20</v>
      </c>
      <c r="D1748" t="s">
        <v>13</v>
      </c>
      <c r="E1748">
        <v>500</v>
      </c>
      <c r="F1748" t="s">
        <v>14</v>
      </c>
      <c r="G1748" t="s">
        <v>24</v>
      </c>
      <c r="H1748" t="s">
        <v>33</v>
      </c>
      <c r="I1748" t="s">
        <v>34</v>
      </c>
      <c r="J1748" t="s">
        <v>41</v>
      </c>
      <c r="K1748">
        <v>0</v>
      </c>
      <c r="L174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748">
        <f>GhanaStream[[#This Row],[Subscription Fee]]-(GhanaStream[[#This Row],[Discount]]*GhanaStream[[#This Row],[Subscription Fee]])</f>
        <v>500</v>
      </c>
      <c r="N1748" t="str">
        <f>IF(GhanaStream[[#This Row],[Churn Flag]]="Yes","Churned","Retained")</f>
        <v>Retained</v>
      </c>
    </row>
    <row r="1749" spans="1:14" x14ac:dyDescent="0.25">
      <c r="A1749" t="s">
        <v>1787</v>
      </c>
      <c r="B1749" s="1">
        <v>45639</v>
      </c>
      <c r="C1749" t="s">
        <v>31</v>
      </c>
      <c r="D1749" t="s">
        <v>13</v>
      </c>
      <c r="E1749">
        <v>1000</v>
      </c>
      <c r="F1749" t="s">
        <v>21</v>
      </c>
      <c r="G1749" t="s">
        <v>15</v>
      </c>
      <c r="H1749" t="s">
        <v>33</v>
      </c>
      <c r="I1749" t="s">
        <v>34</v>
      </c>
      <c r="J1749" t="s">
        <v>29</v>
      </c>
      <c r="K1749">
        <v>0</v>
      </c>
      <c r="L174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749">
        <f>GhanaStream[[#This Row],[Subscription Fee]]-(GhanaStream[[#This Row],[Discount]]*GhanaStream[[#This Row],[Subscription Fee]])</f>
        <v>1000</v>
      </c>
      <c r="N1749" t="str">
        <f>IF(GhanaStream[[#This Row],[Churn Flag]]="Yes","Churned","Retained")</f>
        <v>Retained</v>
      </c>
    </row>
    <row r="1750" spans="1:14" x14ac:dyDescent="0.25">
      <c r="A1750" t="s">
        <v>1788</v>
      </c>
      <c r="B1750" s="1">
        <v>45621</v>
      </c>
      <c r="C1750" t="s">
        <v>20</v>
      </c>
      <c r="D1750" t="s">
        <v>13</v>
      </c>
      <c r="E1750">
        <v>500</v>
      </c>
      <c r="F1750" t="s">
        <v>49</v>
      </c>
      <c r="G1750" t="s">
        <v>24</v>
      </c>
      <c r="H1750" t="s">
        <v>33</v>
      </c>
      <c r="I1750" t="s">
        <v>34</v>
      </c>
      <c r="J1750" t="s">
        <v>58</v>
      </c>
      <c r="K1750">
        <v>0</v>
      </c>
      <c r="L175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750">
        <f>GhanaStream[[#This Row],[Subscription Fee]]-(GhanaStream[[#This Row],[Discount]]*GhanaStream[[#This Row],[Subscription Fee]])</f>
        <v>500</v>
      </c>
      <c r="N1750" t="str">
        <f>IF(GhanaStream[[#This Row],[Churn Flag]]="Yes","Churned","Retained")</f>
        <v>Retained</v>
      </c>
    </row>
    <row r="1751" spans="1:14" x14ac:dyDescent="0.25">
      <c r="A1751" t="s">
        <v>1789</v>
      </c>
      <c r="B1751" s="1">
        <v>45072</v>
      </c>
      <c r="C1751" t="s">
        <v>31</v>
      </c>
      <c r="D1751" t="s">
        <v>13</v>
      </c>
      <c r="E1751">
        <v>1000</v>
      </c>
      <c r="F1751" t="s">
        <v>14</v>
      </c>
      <c r="G1751" t="s">
        <v>24</v>
      </c>
      <c r="H1751" t="s">
        <v>33</v>
      </c>
      <c r="I1751" t="s">
        <v>34</v>
      </c>
      <c r="J1751" t="s">
        <v>37</v>
      </c>
      <c r="K1751">
        <v>0</v>
      </c>
      <c r="L175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751">
        <f>GhanaStream[[#This Row],[Subscription Fee]]-(GhanaStream[[#This Row],[Discount]]*GhanaStream[[#This Row],[Subscription Fee]])</f>
        <v>1000</v>
      </c>
      <c r="N1751" t="str">
        <f>IF(GhanaStream[[#This Row],[Churn Flag]]="Yes","Churned","Retained")</f>
        <v>Retained</v>
      </c>
    </row>
    <row r="1752" spans="1:14" x14ac:dyDescent="0.25">
      <c r="A1752" t="s">
        <v>1790</v>
      </c>
      <c r="B1752" s="1">
        <v>45229</v>
      </c>
      <c r="C1752" t="s">
        <v>20</v>
      </c>
      <c r="D1752" t="s">
        <v>13</v>
      </c>
      <c r="E1752">
        <v>500</v>
      </c>
      <c r="F1752" t="s">
        <v>21</v>
      </c>
      <c r="G1752" t="s">
        <v>15</v>
      </c>
      <c r="H1752" t="s">
        <v>33</v>
      </c>
      <c r="I1752" t="s">
        <v>34</v>
      </c>
      <c r="J1752" t="s">
        <v>22</v>
      </c>
      <c r="K1752">
        <v>0</v>
      </c>
      <c r="L175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752">
        <f>GhanaStream[[#This Row],[Subscription Fee]]-(GhanaStream[[#This Row],[Discount]]*GhanaStream[[#This Row],[Subscription Fee]])</f>
        <v>500</v>
      </c>
      <c r="N1752" t="str">
        <f>IF(GhanaStream[[#This Row],[Churn Flag]]="Yes","Churned","Retained")</f>
        <v>Retained</v>
      </c>
    </row>
    <row r="1753" spans="1:14" x14ac:dyDescent="0.25">
      <c r="A1753" t="s">
        <v>1791</v>
      </c>
      <c r="B1753" s="1">
        <v>45617</v>
      </c>
      <c r="C1753" t="s">
        <v>31</v>
      </c>
      <c r="D1753" t="s">
        <v>13</v>
      </c>
      <c r="E1753">
        <v>1000</v>
      </c>
      <c r="F1753" t="s">
        <v>14</v>
      </c>
      <c r="G1753" t="s">
        <v>15</v>
      </c>
      <c r="H1753" t="s">
        <v>16</v>
      </c>
      <c r="I1753" t="s">
        <v>17</v>
      </c>
      <c r="J1753" t="s">
        <v>22</v>
      </c>
      <c r="K1753">
        <v>0</v>
      </c>
      <c r="L175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753">
        <f>GhanaStream[[#This Row],[Subscription Fee]]-(GhanaStream[[#This Row],[Discount]]*GhanaStream[[#This Row],[Subscription Fee]])</f>
        <v>1000</v>
      </c>
      <c r="N1753" t="str">
        <f>IF(GhanaStream[[#This Row],[Churn Flag]]="Yes","Churned","Retained")</f>
        <v>Churned</v>
      </c>
    </row>
    <row r="1754" spans="1:14" x14ac:dyDescent="0.25">
      <c r="A1754" t="s">
        <v>1792</v>
      </c>
      <c r="B1754" s="1">
        <v>45428</v>
      </c>
      <c r="C1754" t="s">
        <v>31</v>
      </c>
      <c r="D1754" t="s">
        <v>13</v>
      </c>
      <c r="E1754">
        <v>1000</v>
      </c>
      <c r="F1754" t="s">
        <v>21</v>
      </c>
      <c r="G1754" t="s">
        <v>15</v>
      </c>
      <c r="H1754" t="s">
        <v>33</v>
      </c>
      <c r="I1754" t="s">
        <v>34</v>
      </c>
      <c r="J1754" t="s">
        <v>22</v>
      </c>
      <c r="K1754">
        <v>0</v>
      </c>
      <c r="L175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754">
        <f>GhanaStream[[#This Row],[Subscription Fee]]-(GhanaStream[[#This Row],[Discount]]*GhanaStream[[#This Row],[Subscription Fee]])</f>
        <v>1000</v>
      </c>
      <c r="N1754" t="str">
        <f>IF(GhanaStream[[#This Row],[Churn Flag]]="Yes","Churned","Retained")</f>
        <v>Retained</v>
      </c>
    </row>
    <row r="1755" spans="1:14" x14ac:dyDescent="0.25">
      <c r="A1755" t="s">
        <v>1793</v>
      </c>
      <c r="B1755" s="1">
        <v>45512</v>
      </c>
      <c r="C1755" t="s">
        <v>20</v>
      </c>
      <c r="D1755" t="s">
        <v>27</v>
      </c>
      <c r="E1755">
        <v>5400</v>
      </c>
      <c r="F1755" t="s">
        <v>49</v>
      </c>
      <c r="G1755" t="s">
        <v>15</v>
      </c>
      <c r="H1755" t="s">
        <v>16</v>
      </c>
      <c r="I1755" t="s">
        <v>17</v>
      </c>
      <c r="J1755" t="s">
        <v>50</v>
      </c>
      <c r="K1755">
        <v>0.1</v>
      </c>
      <c r="L175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755">
        <f>GhanaStream[[#This Row],[Subscription Fee]]-(GhanaStream[[#This Row],[Discount]]*GhanaStream[[#This Row],[Subscription Fee]])</f>
        <v>4860</v>
      </c>
      <c r="N1755" t="str">
        <f>IF(GhanaStream[[#This Row],[Churn Flag]]="Yes","Churned","Retained")</f>
        <v>Churned</v>
      </c>
    </row>
    <row r="1756" spans="1:14" x14ac:dyDescent="0.25">
      <c r="A1756" t="s">
        <v>1794</v>
      </c>
      <c r="B1756" s="1">
        <v>45003</v>
      </c>
      <c r="C1756" t="s">
        <v>31</v>
      </c>
      <c r="D1756" t="s">
        <v>27</v>
      </c>
      <c r="E1756">
        <v>10800</v>
      </c>
      <c r="F1756" t="s">
        <v>49</v>
      </c>
      <c r="G1756" t="s">
        <v>15</v>
      </c>
      <c r="H1756" t="s">
        <v>16</v>
      </c>
      <c r="I1756" t="s">
        <v>17</v>
      </c>
      <c r="J1756" t="s">
        <v>50</v>
      </c>
      <c r="K1756">
        <v>0.1</v>
      </c>
      <c r="L175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756">
        <f>GhanaStream[[#This Row],[Subscription Fee]]-(GhanaStream[[#This Row],[Discount]]*GhanaStream[[#This Row],[Subscription Fee]])</f>
        <v>9720</v>
      </c>
      <c r="N1756" t="str">
        <f>IF(GhanaStream[[#This Row],[Churn Flag]]="Yes","Churned","Retained")</f>
        <v>Churned</v>
      </c>
    </row>
    <row r="1757" spans="1:14" x14ac:dyDescent="0.25">
      <c r="A1757" t="s">
        <v>1795</v>
      </c>
      <c r="B1757" s="1">
        <v>45446</v>
      </c>
      <c r="C1757" t="s">
        <v>31</v>
      </c>
      <c r="D1757" t="s">
        <v>27</v>
      </c>
      <c r="E1757">
        <v>10800</v>
      </c>
      <c r="F1757" t="s">
        <v>49</v>
      </c>
      <c r="G1757" t="s">
        <v>28</v>
      </c>
      <c r="H1757" t="s">
        <v>16</v>
      </c>
      <c r="I1757" t="s">
        <v>17</v>
      </c>
      <c r="J1757" t="s">
        <v>25</v>
      </c>
      <c r="K1757">
        <v>0.1</v>
      </c>
      <c r="L175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757">
        <f>GhanaStream[[#This Row],[Subscription Fee]]-(GhanaStream[[#This Row],[Discount]]*GhanaStream[[#This Row],[Subscription Fee]])</f>
        <v>9720</v>
      </c>
      <c r="N1757" t="str">
        <f>IF(GhanaStream[[#This Row],[Churn Flag]]="Yes","Churned","Retained")</f>
        <v>Churned</v>
      </c>
    </row>
    <row r="1758" spans="1:14" x14ac:dyDescent="0.25">
      <c r="A1758" t="s">
        <v>1796</v>
      </c>
      <c r="B1758" s="1">
        <v>45468</v>
      </c>
      <c r="C1758" t="s">
        <v>12</v>
      </c>
      <c r="D1758" t="s">
        <v>13</v>
      </c>
      <c r="E1758">
        <v>1500</v>
      </c>
      <c r="F1758" t="s">
        <v>49</v>
      </c>
      <c r="G1758" t="s">
        <v>15</v>
      </c>
      <c r="H1758" t="s">
        <v>33</v>
      </c>
      <c r="I1758" t="s">
        <v>34</v>
      </c>
      <c r="J1758" t="s">
        <v>58</v>
      </c>
      <c r="K1758">
        <v>0</v>
      </c>
      <c r="L175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758">
        <f>GhanaStream[[#This Row],[Subscription Fee]]-(GhanaStream[[#This Row],[Discount]]*GhanaStream[[#This Row],[Subscription Fee]])</f>
        <v>1500</v>
      </c>
      <c r="N1758" t="str">
        <f>IF(GhanaStream[[#This Row],[Churn Flag]]="Yes","Churned","Retained")</f>
        <v>Retained</v>
      </c>
    </row>
    <row r="1759" spans="1:14" x14ac:dyDescent="0.25">
      <c r="A1759" t="s">
        <v>1797</v>
      </c>
      <c r="B1759" s="1">
        <v>45656</v>
      </c>
      <c r="C1759" t="s">
        <v>12</v>
      </c>
      <c r="D1759" t="s">
        <v>27</v>
      </c>
      <c r="E1759">
        <v>16200</v>
      </c>
      <c r="F1759" t="s">
        <v>21</v>
      </c>
      <c r="G1759" t="s">
        <v>24</v>
      </c>
      <c r="H1759" t="s">
        <v>33</v>
      </c>
      <c r="I1759" t="s">
        <v>34</v>
      </c>
      <c r="J1759" t="s">
        <v>22</v>
      </c>
      <c r="K1759">
        <v>0.1</v>
      </c>
      <c r="L175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759">
        <f>GhanaStream[[#This Row],[Subscription Fee]]-(GhanaStream[[#This Row],[Discount]]*GhanaStream[[#This Row],[Subscription Fee]])</f>
        <v>14580</v>
      </c>
      <c r="N1759" t="str">
        <f>IF(GhanaStream[[#This Row],[Churn Flag]]="Yes","Churned","Retained")</f>
        <v>Retained</v>
      </c>
    </row>
    <row r="1760" spans="1:14" x14ac:dyDescent="0.25">
      <c r="A1760" t="s">
        <v>1798</v>
      </c>
      <c r="B1760" s="1">
        <v>45499</v>
      </c>
      <c r="C1760" t="s">
        <v>20</v>
      </c>
      <c r="D1760" t="s">
        <v>13</v>
      </c>
      <c r="E1760">
        <v>500</v>
      </c>
      <c r="F1760" t="s">
        <v>49</v>
      </c>
      <c r="G1760" t="s">
        <v>28</v>
      </c>
      <c r="H1760" t="s">
        <v>33</v>
      </c>
      <c r="I1760" t="s">
        <v>34</v>
      </c>
      <c r="J1760" t="s">
        <v>50</v>
      </c>
      <c r="K1760">
        <v>0</v>
      </c>
      <c r="L176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760">
        <f>GhanaStream[[#This Row],[Subscription Fee]]-(GhanaStream[[#This Row],[Discount]]*GhanaStream[[#This Row],[Subscription Fee]])</f>
        <v>500</v>
      </c>
      <c r="N1760" t="str">
        <f>IF(GhanaStream[[#This Row],[Churn Flag]]="Yes","Churned","Retained")</f>
        <v>Retained</v>
      </c>
    </row>
    <row r="1761" spans="1:14" x14ac:dyDescent="0.25">
      <c r="A1761" t="s">
        <v>1799</v>
      </c>
      <c r="B1761" s="1">
        <v>45001</v>
      </c>
      <c r="C1761" t="s">
        <v>31</v>
      </c>
      <c r="D1761" t="s">
        <v>13</v>
      </c>
      <c r="E1761">
        <v>1000</v>
      </c>
      <c r="F1761" t="s">
        <v>14</v>
      </c>
      <c r="G1761" t="s">
        <v>24</v>
      </c>
      <c r="H1761" t="s">
        <v>16</v>
      </c>
      <c r="I1761" t="s">
        <v>17</v>
      </c>
      <c r="J1761" t="s">
        <v>37</v>
      </c>
      <c r="K1761">
        <v>0</v>
      </c>
      <c r="L176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761">
        <f>GhanaStream[[#This Row],[Subscription Fee]]-(GhanaStream[[#This Row],[Discount]]*GhanaStream[[#This Row],[Subscription Fee]])</f>
        <v>1000</v>
      </c>
      <c r="N1761" t="str">
        <f>IF(GhanaStream[[#This Row],[Churn Flag]]="Yes","Churned","Retained")</f>
        <v>Churned</v>
      </c>
    </row>
    <row r="1762" spans="1:14" x14ac:dyDescent="0.25">
      <c r="A1762" t="s">
        <v>1800</v>
      </c>
      <c r="B1762" s="1">
        <v>44988</v>
      </c>
      <c r="C1762" t="s">
        <v>12</v>
      </c>
      <c r="D1762" t="s">
        <v>13</v>
      </c>
      <c r="E1762">
        <v>1500</v>
      </c>
      <c r="F1762" t="s">
        <v>32</v>
      </c>
      <c r="G1762" t="s">
        <v>24</v>
      </c>
      <c r="H1762" t="s">
        <v>16</v>
      </c>
      <c r="I1762" t="s">
        <v>17</v>
      </c>
      <c r="J1762" t="s">
        <v>35</v>
      </c>
      <c r="K1762">
        <v>0</v>
      </c>
      <c r="L176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762">
        <f>GhanaStream[[#This Row],[Subscription Fee]]-(GhanaStream[[#This Row],[Discount]]*GhanaStream[[#This Row],[Subscription Fee]])</f>
        <v>1500</v>
      </c>
      <c r="N1762" t="str">
        <f>IF(GhanaStream[[#This Row],[Churn Flag]]="Yes","Churned","Retained")</f>
        <v>Churned</v>
      </c>
    </row>
    <row r="1763" spans="1:14" x14ac:dyDescent="0.25">
      <c r="A1763" t="s">
        <v>1801</v>
      </c>
      <c r="B1763" s="1">
        <v>45168</v>
      </c>
      <c r="C1763" t="s">
        <v>31</v>
      </c>
      <c r="D1763" t="s">
        <v>27</v>
      </c>
      <c r="E1763">
        <v>10800</v>
      </c>
      <c r="F1763" t="s">
        <v>49</v>
      </c>
      <c r="G1763" t="s">
        <v>15</v>
      </c>
      <c r="H1763" t="s">
        <v>33</v>
      </c>
      <c r="I1763" t="s">
        <v>34</v>
      </c>
      <c r="J1763" t="s">
        <v>25</v>
      </c>
      <c r="K1763">
        <v>0.1</v>
      </c>
      <c r="L176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763">
        <f>GhanaStream[[#This Row],[Subscription Fee]]-(GhanaStream[[#This Row],[Discount]]*GhanaStream[[#This Row],[Subscription Fee]])</f>
        <v>9720</v>
      </c>
      <c r="N1763" t="str">
        <f>IF(GhanaStream[[#This Row],[Churn Flag]]="Yes","Churned","Retained")</f>
        <v>Retained</v>
      </c>
    </row>
    <row r="1764" spans="1:14" x14ac:dyDescent="0.25">
      <c r="A1764" t="s">
        <v>1802</v>
      </c>
      <c r="B1764" s="1">
        <v>45360</v>
      </c>
      <c r="C1764" t="s">
        <v>31</v>
      </c>
      <c r="D1764" t="s">
        <v>27</v>
      </c>
      <c r="E1764">
        <v>10800</v>
      </c>
      <c r="F1764" t="s">
        <v>21</v>
      </c>
      <c r="G1764" t="s">
        <v>15</v>
      </c>
      <c r="H1764" t="s">
        <v>16</v>
      </c>
      <c r="I1764" t="s">
        <v>17</v>
      </c>
      <c r="J1764" t="s">
        <v>29</v>
      </c>
      <c r="K1764">
        <v>0.1</v>
      </c>
      <c r="L176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764">
        <f>GhanaStream[[#This Row],[Subscription Fee]]-(GhanaStream[[#This Row],[Discount]]*GhanaStream[[#This Row],[Subscription Fee]])</f>
        <v>9720</v>
      </c>
      <c r="N1764" t="str">
        <f>IF(GhanaStream[[#This Row],[Churn Flag]]="Yes","Churned","Retained")</f>
        <v>Churned</v>
      </c>
    </row>
    <row r="1765" spans="1:14" x14ac:dyDescent="0.25">
      <c r="A1765" t="s">
        <v>1803</v>
      </c>
      <c r="B1765" s="1">
        <v>45315</v>
      </c>
      <c r="C1765" t="s">
        <v>31</v>
      </c>
      <c r="D1765" t="s">
        <v>27</v>
      </c>
      <c r="E1765">
        <v>10800</v>
      </c>
      <c r="F1765" t="s">
        <v>49</v>
      </c>
      <c r="G1765" t="s">
        <v>28</v>
      </c>
      <c r="H1765" t="s">
        <v>33</v>
      </c>
      <c r="I1765" t="s">
        <v>34</v>
      </c>
      <c r="J1765" t="s">
        <v>35</v>
      </c>
      <c r="K1765">
        <v>0.1</v>
      </c>
      <c r="L176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765">
        <f>GhanaStream[[#This Row],[Subscription Fee]]-(GhanaStream[[#This Row],[Discount]]*GhanaStream[[#This Row],[Subscription Fee]])</f>
        <v>9720</v>
      </c>
      <c r="N1765" t="str">
        <f>IF(GhanaStream[[#This Row],[Churn Flag]]="Yes","Churned","Retained")</f>
        <v>Retained</v>
      </c>
    </row>
    <row r="1766" spans="1:14" x14ac:dyDescent="0.25">
      <c r="A1766" t="s">
        <v>1804</v>
      </c>
      <c r="B1766" s="1">
        <v>45521</v>
      </c>
      <c r="C1766" t="s">
        <v>20</v>
      </c>
      <c r="D1766" t="s">
        <v>13</v>
      </c>
      <c r="E1766">
        <v>500</v>
      </c>
      <c r="F1766" t="s">
        <v>21</v>
      </c>
      <c r="G1766" t="s">
        <v>28</v>
      </c>
      <c r="H1766" t="s">
        <v>33</v>
      </c>
      <c r="I1766" t="s">
        <v>34</v>
      </c>
      <c r="J1766" t="s">
        <v>22</v>
      </c>
      <c r="K1766">
        <v>0</v>
      </c>
      <c r="L176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766">
        <f>GhanaStream[[#This Row],[Subscription Fee]]-(GhanaStream[[#This Row],[Discount]]*GhanaStream[[#This Row],[Subscription Fee]])</f>
        <v>500</v>
      </c>
      <c r="N1766" t="str">
        <f>IF(GhanaStream[[#This Row],[Churn Flag]]="Yes","Churned","Retained")</f>
        <v>Retained</v>
      </c>
    </row>
    <row r="1767" spans="1:14" x14ac:dyDescent="0.25">
      <c r="A1767" t="s">
        <v>1805</v>
      </c>
      <c r="B1767" s="1">
        <v>45639</v>
      </c>
      <c r="C1767" t="s">
        <v>31</v>
      </c>
      <c r="D1767" t="s">
        <v>13</v>
      </c>
      <c r="E1767">
        <v>1000</v>
      </c>
      <c r="F1767" t="s">
        <v>49</v>
      </c>
      <c r="G1767" t="s">
        <v>15</v>
      </c>
      <c r="H1767" t="s">
        <v>33</v>
      </c>
      <c r="I1767" t="s">
        <v>34</v>
      </c>
      <c r="J1767" t="s">
        <v>18</v>
      </c>
      <c r="K1767">
        <v>0</v>
      </c>
      <c r="L176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767">
        <f>GhanaStream[[#This Row],[Subscription Fee]]-(GhanaStream[[#This Row],[Discount]]*GhanaStream[[#This Row],[Subscription Fee]])</f>
        <v>1000</v>
      </c>
      <c r="N1767" t="str">
        <f>IF(GhanaStream[[#This Row],[Churn Flag]]="Yes","Churned","Retained")</f>
        <v>Retained</v>
      </c>
    </row>
    <row r="1768" spans="1:14" x14ac:dyDescent="0.25">
      <c r="A1768" t="s">
        <v>1806</v>
      </c>
      <c r="B1768" s="1">
        <v>45634</v>
      </c>
      <c r="C1768" t="s">
        <v>31</v>
      </c>
      <c r="D1768" t="s">
        <v>13</v>
      </c>
      <c r="E1768">
        <v>1000</v>
      </c>
      <c r="F1768" t="s">
        <v>32</v>
      </c>
      <c r="G1768" t="s">
        <v>15</v>
      </c>
      <c r="H1768" t="s">
        <v>16</v>
      </c>
      <c r="I1768" t="s">
        <v>17</v>
      </c>
      <c r="J1768" t="s">
        <v>25</v>
      </c>
      <c r="K1768">
        <v>0</v>
      </c>
      <c r="L176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768">
        <f>GhanaStream[[#This Row],[Subscription Fee]]-(GhanaStream[[#This Row],[Discount]]*GhanaStream[[#This Row],[Subscription Fee]])</f>
        <v>1000</v>
      </c>
      <c r="N1768" t="str">
        <f>IF(GhanaStream[[#This Row],[Churn Flag]]="Yes","Churned","Retained")</f>
        <v>Churned</v>
      </c>
    </row>
    <row r="1769" spans="1:14" x14ac:dyDescent="0.25">
      <c r="A1769" t="s">
        <v>1807</v>
      </c>
      <c r="B1769" s="1">
        <v>45643</v>
      </c>
      <c r="C1769" t="s">
        <v>12</v>
      </c>
      <c r="D1769" t="s">
        <v>27</v>
      </c>
      <c r="E1769">
        <v>16200</v>
      </c>
      <c r="F1769" t="s">
        <v>49</v>
      </c>
      <c r="G1769" t="s">
        <v>15</v>
      </c>
      <c r="H1769" t="s">
        <v>33</v>
      </c>
      <c r="I1769" t="s">
        <v>34</v>
      </c>
      <c r="J1769" t="s">
        <v>18</v>
      </c>
      <c r="K1769">
        <v>0.1</v>
      </c>
      <c r="L176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769">
        <f>GhanaStream[[#This Row],[Subscription Fee]]-(GhanaStream[[#This Row],[Discount]]*GhanaStream[[#This Row],[Subscription Fee]])</f>
        <v>14580</v>
      </c>
      <c r="N1769" t="str">
        <f>IF(GhanaStream[[#This Row],[Churn Flag]]="Yes","Churned","Retained")</f>
        <v>Retained</v>
      </c>
    </row>
    <row r="1770" spans="1:14" x14ac:dyDescent="0.25">
      <c r="A1770" t="s">
        <v>1808</v>
      </c>
      <c r="B1770" s="1">
        <v>45649</v>
      </c>
      <c r="C1770" t="s">
        <v>31</v>
      </c>
      <c r="D1770" t="s">
        <v>27</v>
      </c>
      <c r="E1770">
        <v>10800</v>
      </c>
      <c r="F1770" t="s">
        <v>21</v>
      </c>
      <c r="G1770" t="s">
        <v>15</v>
      </c>
      <c r="H1770" t="s">
        <v>33</v>
      </c>
      <c r="I1770" t="s">
        <v>34</v>
      </c>
      <c r="J1770" t="s">
        <v>18</v>
      </c>
      <c r="K1770">
        <v>0.1</v>
      </c>
      <c r="L177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770">
        <f>GhanaStream[[#This Row],[Subscription Fee]]-(GhanaStream[[#This Row],[Discount]]*GhanaStream[[#This Row],[Subscription Fee]])</f>
        <v>9720</v>
      </c>
      <c r="N1770" t="str">
        <f>IF(GhanaStream[[#This Row],[Churn Flag]]="Yes","Churned","Retained")</f>
        <v>Retained</v>
      </c>
    </row>
    <row r="1771" spans="1:14" x14ac:dyDescent="0.25">
      <c r="A1771" t="s">
        <v>1809</v>
      </c>
      <c r="B1771" s="1">
        <v>45325</v>
      </c>
      <c r="C1771" t="s">
        <v>31</v>
      </c>
      <c r="D1771" t="s">
        <v>27</v>
      </c>
      <c r="E1771">
        <v>10800</v>
      </c>
      <c r="F1771" t="s">
        <v>21</v>
      </c>
      <c r="G1771" t="s">
        <v>24</v>
      </c>
      <c r="H1771" t="s">
        <v>33</v>
      </c>
      <c r="I1771" t="s">
        <v>34</v>
      </c>
      <c r="J1771" t="s">
        <v>29</v>
      </c>
      <c r="K1771">
        <v>0.1</v>
      </c>
      <c r="L177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771">
        <f>GhanaStream[[#This Row],[Subscription Fee]]-(GhanaStream[[#This Row],[Discount]]*GhanaStream[[#This Row],[Subscription Fee]])</f>
        <v>9720</v>
      </c>
      <c r="N1771" t="str">
        <f>IF(GhanaStream[[#This Row],[Churn Flag]]="Yes","Churned","Retained")</f>
        <v>Retained</v>
      </c>
    </row>
    <row r="1772" spans="1:14" x14ac:dyDescent="0.25">
      <c r="A1772" t="s">
        <v>1810</v>
      </c>
      <c r="B1772" s="1">
        <v>45245</v>
      </c>
      <c r="C1772" t="s">
        <v>12</v>
      </c>
      <c r="D1772" t="s">
        <v>13</v>
      </c>
      <c r="E1772">
        <v>1500</v>
      </c>
      <c r="F1772" t="s">
        <v>32</v>
      </c>
      <c r="G1772" t="s">
        <v>15</v>
      </c>
      <c r="H1772" t="s">
        <v>33</v>
      </c>
      <c r="I1772" t="s">
        <v>34</v>
      </c>
      <c r="J1772" t="s">
        <v>39</v>
      </c>
      <c r="K1772">
        <v>0</v>
      </c>
      <c r="L177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772">
        <f>GhanaStream[[#This Row],[Subscription Fee]]-(GhanaStream[[#This Row],[Discount]]*GhanaStream[[#This Row],[Subscription Fee]])</f>
        <v>1500</v>
      </c>
      <c r="N1772" t="str">
        <f>IF(GhanaStream[[#This Row],[Churn Flag]]="Yes","Churned","Retained")</f>
        <v>Retained</v>
      </c>
    </row>
    <row r="1773" spans="1:14" x14ac:dyDescent="0.25">
      <c r="A1773" t="s">
        <v>1811</v>
      </c>
      <c r="B1773" s="1">
        <v>45597</v>
      </c>
      <c r="C1773" t="s">
        <v>31</v>
      </c>
      <c r="D1773" t="s">
        <v>27</v>
      </c>
      <c r="E1773">
        <v>10800</v>
      </c>
      <c r="F1773" t="s">
        <v>32</v>
      </c>
      <c r="G1773" t="s">
        <v>24</v>
      </c>
      <c r="H1773" t="s">
        <v>33</v>
      </c>
      <c r="I1773" t="s">
        <v>34</v>
      </c>
      <c r="J1773" t="s">
        <v>25</v>
      </c>
      <c r="K1773">
        <v>0.1</v>
      </c>
      <c r="L177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773">
        <f>GhanaStream[[#This Row],[Subscription Fee]]-(GhanaStream[[#This Row],[Discount]]*GhanaStream[[#This Row],[Subscription Fee]])</f>
        <v>9720</v>
      </c>
      <c r="N1773" t="str">
        <f>IF(GhanaStream[[#This Row],[Churn Flag]]="Yes","Churned","Retained")</f>
        <v>Retained</v>
      </c>
    </row>
    <row r="1774" spans="1:14" x14ac:dyDescent="0.25">
      <c r="A1774" t="s">
        <v>1812</v>
      </c>
      <c r="B1774" s="1">
        <v>45489</v>
      </c>
      <c r="C1774" t="s">
        <v>20</v>
      </c>
      <c r="D1774" t="s">
        <v>27</v>
      </c>
      <c r="E1774">
        <v>5400</v>
      </c>
      <c r="F1774" t="s">
        <v>14</v>
      </c>
      <c r="G1774" t="s">
        <v>15</v>
      </c>
      <c r="H1774" t="s">
        <v>33</v>
      </c>
      <c r="I1774" t="s">
        <v>34</v>
      </c>
      <c r="J1774" t="s">
        <v>37</v>
      </c>
      <c r="K1774">
        <v>0.1</v>
      </c>
      <c r="L177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774">
        <f>GhanaStream[[#This Row],[Subscription Fee]]-(GhanaStream[[#This Row],[Discount]]*GhanaStream[[#This Row],[Subscription Fee]])</f>
        <v>4860</v>
      </c>
      <c r="N1774" t="str">
        <f>IF(GhanaStream[[#This Row],[Churn Flag]]="Yes","Churned","Retained")</f>
        <v>Retained</v>
      </c>
    </row>
    <row r="1775" spans="1:14" x14ac:dyDescent="0.25">
      <c r="A1775" t="s">
        <v>1813</v>
      </c>
      <c r="B1775" s="1">
        <v>45349</v>
      </c>
      <c r="C1775" t="s">
        <v>20</v>
      </c>
      <c r="D1775" t="s">
        <v>13</v>
      </c>
      <c r="E1775">
        <v>500</v>
      </c>
      <c r="F1775" t="s">
        <v>14</v>
      </c>
      <c r="G1775" t="s">
        <v>28</v>
      </c>
      <c r="H1775" t="s">
        <v>16</v>
      </c>
      <c r="I1775" t="s">
        <v>17</v>
      </c>
      <c r="J1775" t="s">
        <v>22</v>
      </c>
      <c r="K1775">
        <v>0</v>
      </c>
      <c r="L177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775">
        <f>GhanaStream[[#This Row],[Subscription Fee]]-(GhanaStream[[#This Row],[Discount]]*GhanaStream[[#This Row],[Subscription Fee]])</f>
        <v>500</v>
      </c>
      <c r="N1775" t="str">
        <f>IF(GhanaStream[[#This Row],[Churn Flag]]="Yes","Churned","Retained")</f>
        <v>Churned</v>
      </c>
    </row>
    <row r="1776" spans="1:14" x14ac:dyDescent="0.25">
      <c r="A1776" t="s">
        <v>1814</v>
      </c>
      <c r="B1776" s="1">
        <v>44930</v>
      </c>
      <c r="C1776" t="s">
        <v>31</v>
      </c>
      <c r="D1776" t="s">
        <v>27</v>
      </c>
      <c r="E1776">
        <v>10800</v>
      </c>
      <c r="F1776" t="s">
        <v>14</v>
      </c>
      <c r="G1776" t="s">
        <v>24</v>
      </c>
      <c r="H1776" t="s">
        <v>16</v>
      </c>
      <c r="I1776" t="s">
        <v>17</v>
      </c>
      <c r="J1776" t="s">
        <v>37</v>
      </c>
      <c r="K1776">
        <v>0.1</v>
      </c>
      <c r="L177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776">
        <f>GhanaStream[[#This Row],[Subscription Fee]]-(GhanaStream[[#This Row],[Discount]]*GhanaStream[[#This Row],[Subscription Fee]])</f>
        <v>9720</v>
      </c>
      <c r="N1776" t="str">
        <f>IF(GhanaStream[[#This Row],[Churn Flag]]="Yes","Churned","Retained")</f>
        <v>Churned</v>
      </c>
    </row>
    <row r="1777" spans="1:14" x14ac:dyDescent="0.25">
      <c r="A1777" t="s">
        <v>1815</v>
      </c>
      <c r="B1777" s="1">
        <v>45183</v>
      </c>
      <c r="C1777" t="s">
        <v>31</v>
      </c>
      <c r="D1777" t="s">
        <v>27</v>
      </c>
      <c r="E1777">
        <v>10800</v>
      </c>
      <c r="F1777" t="s">
        <v>21</v>
      </c>
      <c r="G1777" t="s">
        <v>28</v>
      </c>
      <c r="H1777" t="s">
        <v>16</v>
      </c>
      <c r="I1777" t="s">
        <v>17</v>
      </c>
      <c r="J1777" t="s">
        <v>29</v>
      </c>
      <c r="K1777">
        <v>0.1</v>
      </c>
      <c r="L177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777">
        <f>GhanaStream[[#This Row],[Subscription Fee]]-(GhanaStream[[#This Row],[Discount]]*GhanaStream[[#This Row],[Subscription Fee]])</f>
        <v>9720</v>
      </c>
      <c r="N1777" t="str">
        <f>IF(GhanaStream[[#This Row],[Churn Flag]]="Yes","Churned","Retained")</f>
        <v>Churned</v>
      </c>
    </row>
    <row r="1778" spans="1:14" x14ac:dyDescent="0.25">
      <c r="A1778" t="s">
        <v>1816</v>
      </c>
      <c r="B1778" s="1">
        <v>45219</v>
      </c>
      <c r="C1778" t="s">
        <v>20</v>
      </c>
      <c r="D1778" t="s">
        <v>27</v>
      </c>
      <c r="E1778">
        <v>5400</v>
      </c>
      <c r="F1778" t="s">
        <v>32</v>
      </c>
      <c r="G1778" t="s">
        <v>15</v>
      </c>
      <c r="H1778" t="s">
        <v>33</v>
      </c>
      <c r="I1778" t="s">
        <v>34</v>
      </c>
      <c r="J1778" t="s">
        <v>39</v>
      </c>
      <c r="K1778">
        <v>0.1</v>
      </c>
      <c r="L177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778">
        <f>GhanaStream[[#This Row],[Subscription Fee]]-(GhanaStream[[#This Row],[Discount]]*GhanaStream[[#This Row],[Subscription Fee]])</f>
        <v>4860</v>
      </c>
      <c r="N1778" t="str">
        <f>IF(GhanaStream[[#This Row],[Churn Flag]]="Yes","Churned","Retained")</f>
        <v>Retained</v>
      </c>
    </row>
    <row r="1779" spans="1:14" x14ac:dyDescent="0.25">
      <c r="A1779" t="s">
        <v>1817</v>
      </c>
      <c r="B1779" s="1">
        <v>45301</v>
      </c>
      <c r="C1779" t="s">
        <v>31</v>
      </c>
      <c r="D1779" t="s">
        <v>27</v>
      </c>
      <c r="E1779">
        <v>10800</v>
      </c>
      <c r="F1779" t="s">
        <v>21</v>
      </c>
      <c r="G1779" t="s">
        <v>15</v>
      </c>
      <c r="H1779" t="s">
        <v>16</v>
      </c>
      <c r="I1779" t="s">
        <v>17</v>
      </c>
      <c r="J1779" t="s">
        <v>18</v>
      </c>
      <c r="K1779">
        <v>0.1</v>
      </c>
      <c r="L177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779">
        <f>GhanaStream[[#This Row],[Subscription Fee]]-(GhanaStream[[#This Row],[Discount]]*GhanaStream[[#This Row],[Subscription Fee]])</f>
        <v>9720</v>
      </c>
      <c r="N1779" t="str">
        <f>IF(GhanaStream[[#This Row],[Churn Flag]]="Yes","Churned","Retained")</f>
        <v>Churned</v>
      </c>
    </row>
    <row r="1780" spans="1:14" x14ac:dyDescent="0.25">
      <c r="A1780" t="s">
        <v>1818</v>
      </c>
      <c r="B1780" s="1">
        <v>44980</v>
      </c>
      <c r="C1780" t="s">
        <v>12</v>
      </c>
      <c r="D1780" t="s">
        <v>27</v>
      </c>
      <c r="E1780">
        <v>16200</v>
      </c>
      <c r="F1780" t="s">
        <v>32</v>
      </c>
      <c r="G1780" t="s">
        <v>15</v>
      </c>
      <c r="H1780" t="s">
        <v>33</v>
      </c>
      <c r="I1780" t="s">
        <v>34</v>
      </c>
      <c r="J1780" t="s">
        <v>44</v>
      </c>
      <c r="K1780">
        <v>0.1</v>
      </c>
      <c r="L178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780">
        <f>GhanaStream[[#This Row],[Subscription Fee]]-(GhanaStream[[#This Row],[Discount]]*GhanaStream[[#This Row],[Subscription Fee]])</f>
        <v>14580</v>
      </c>
      <c r="N1780" t="str">
        <f>IF(GhanaStream[[#This Row],[Churn Flag]]="Yes","Churned","Retained")</f>
        <v>Retained</v>
      </c>
    </row>
    <row r="1781" spans="1:14" x14ac:dyDescent="0.25">
      <c r="A1781" t="s">
        <v>1819</v>
      </c>
      <c r="B1781" s="1">
        <v>45116</v>
      </c>
      <c r="C1781" t="s">
        <v>20</v>
      </c>
      <c r="D1781" t="s">
        <v>27</v>
      </c>
      <c r="E1781">
        <v>5400</v>
      </c>
      <c r="F1781" t="s">
        <v>14</v>
      </c>
      <c r="G1781" t="s">
        <v>15</v>
      </c>
      <c r="H1781" t="s">
        <v>16</v>
      </c>
      <c r="I1781" t="s">
        <v>17</v>
      </c>
      <c r="J1781" t="s">
        <v>18</v>
      </c>
      <c r="K1781">
        <v>0.1</v>
      </c>
      <c r="L178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781">
        <f>GhanaStream[[#This Row],[Subscription Fee]]-(GhanaStream[[#This Row],[Discount]]*GhanaStream[[#This Row],[Subscription Fee]])</f>
        <v>4860</v>
      </c>
      <c r="N1781" t="str">
        <f>IF(GhanaStream[[#This Row],[Churn Flag]]="Yes","Churned","Retained")</f>
        <v>Churned</v>
      </c>
    </row>
    <row r="1782" spans="1:14" x14ac:dyDescent="0.25">
      <c r="A1782" t="s">
        <v>1820</v>
      </c>
      <c r="B1782" s="1">
        <v>45178</v>
      </c>
      <c r="C1782" t="s">
        <v>12</v>
      </c>
      <c r="D1782" t="s">
        <v>27</v>
      </c>
      <c r="E1782">
        <v>16200</v>
      </c>
      <c r="F1782" t="s">
        <v>49</v>
      </c>
      <c r="G1782" t="s">
        <v>28</v>
      </c>
      <c r="H1782" t="s">
        <v>16</v>
      </c>
      <c r="I1782" t="s">
        <v>17</v>
      </c>
      <c r="J1782" t="s">
        <v>18</v>
      </c>
      <c r="K1782">
        <v>0.1</v>
      </c>
      <c r="L178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782">
        <f>GhanaStream[[#This Row],[Subscription Fee]]-(GhanaStream[[#This Row],[Discount]]*GhanaStream[[#This Row],[Subscription Fee]])</f>
        <v>14580</v>
      </c>
      <c r="N1782" t="str">
        <f>IF(GhanaStream[[#This Row],[Churn Flag]]="Yes","Churned","Retained")</f>
        <v>Churned</v>
      </c>
    </row>
    <row r="1783" spans="1:14" x14ac:dyDescent="0.25">
      <c r="A1783" t="s">
        <v>1821</v>
      </c>
      <c r="B1783" s="1">
        <v>45145</v>
      </c>
      <c r="C1783" t="s">
        <v>31</v>
      </c>
      <c r="D1783" t="s">
        <v>27</v>
      </c>
      <c r="E1783">
        <v>10800</v>
      </c>
      <c r="F1783" t="s">
        <v>49</v>
      </c>
      <c r="G1783" t="s">
        <v>24</v>
      </c>
      <c r="H1783" t="s">
        <v>33</v>
      </c>
      <c r="I1783" t="s">
        <v>34</v>
      </c>
      <c r="J1783" t="s">
        <v>18</v>
      </c>
      <c r="K1783">
        <v>0.1</v>
      </c>
      <c r="L178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783">
        <f>GhanaStream[[#This Row],[Subscription Fee]]-(GhanaStream[[#This Row],[Discount]]*GhanaStream[[#This Row],[Subscription Fee]])</f>
        <v>9720</v>
      </c>
      <c r="N1783" t="str">
        <f>IF(GhanaStream[[#This Row],[Churn Flag]]="Yes","Churned","Retained")</f>
        <v>Retained</v>
      </c>
    </row>
    <row r="1784" spans="1:14" x14ac:dyDescent="0.25">
      <c r="A1784" t="s">
        <v>1822</v>
      </c>
      <c r="B1784" s="1">
        <v>45293</v>
      </c>
      <c r="C1784" t="s">
        <v>31</v>
      </c>
      <c r="D1784" t="s">
        <v>13</v>
      </c>
      <c r="E1784">
        <v>1000</v>
      </c>
      <c r="F1784" t="s">
        <v>49</v>
      </c>
      <c r="G1784" t="s">
        <v>15</v>
      </c>
      <c r="H1784" t="s">
        <v>16</v>
      </c>
      <c r="I1784" t="s">
        <v>17</v>
      </c>
      <c r="J1784" t="s">
        <v>58</v>
      </c>
      <c r="K1784">
        <v>0</v>
      </c>
      <c r="L178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784">
        <f>GhanaStream[[#This Row],[Subscription Fee]]-(GhanaStream[[#This Row],[Discount]]*GhanaStream[[#This Row],[Subscription Fee]])</f>
        <v>1000</v>
      </c>
      <c r="N1784" t="str">
        <f>IF(GhanaStream[[#This Row],[Churn Flag]]="Yes","Churned","Retained")</f>
        <v>Churned</v>
      </c>
    </row>
    <row r="1785" spans="1:14" x14ac:dyDescent="0.25">
      <c r="A1785" t="s">
        <v>1823</v>
      </c>
      <c r="B1785" s="1">
        <v>45262</v>
      </c>
      <c r="C1785" t="s">
        <v>31</v>
      </c>
      <c r="D1785" t="s">
        <v>13</v>
      </c>
      <c r="E1785">
        <v>1000</v>
      </c>
      <c r="F1785" t="s">
        <v>14</v>
      </c>
      <c r="G1785" t="s">
        <v>15</v>
      </c>
      <c r="H1785" t="s">
        <v>16</v>
      </c>
      <c r="I1785" t="s">
        <v>17</v>
      </c>
      <c r="J1785" t="s">
        <v>37</v>
      </c>
      <c r="K1785">
        <v>0</v>
      </c>
      <c r="L178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785">
        <f>GhanaStream[[#This Row],[Subscription Fee]]-(GhanaStream[[#This Row],[Discount]]*GhanaStream[[#This Row],[Subscription Fee]])</f>
        <v>1000</v>
      </c>
      <c r="N1785" t="str">
        <f>IF(GhanaStream[[#This Row],[Churn Flag]]="Yes","Churned","Retained")</f>
        <v>Churned</v>
      </c>
    </row>
    <row r="1786" spans="1:14" x14ac:dyDescent="0.25">
      <c r="A1786" t="s">
        <v>1824</v>
      </c>
      <c r="B1786" s="1">
        <v>45450</v>
      </c>
      <c r="C1786" t="s">
        <v>31</v>
      </c>
      <c r="D1786" t="s">
        <v>13</v>
      </c>
      <c r="E1786">
        <v>1000</v>
      </c>
      <c r="F1786" t="s">
        <v>14</v>
      </c>
      <c r="G1786" t="s">
        <v>28</v>
      </c>
      <c r="H1786" t="s">
        <v>16</v>
      </c>
      <c r="I1786" t="s">
        <v>17</v>
      </c>
      <c r="J1786" t="s">
        <v>37</v>
      </c>
      <c r="K1786">
        <v>0</v>
      </c>
      <c r="L178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786">
        <f>GhanaStream[[#This Row],[Subscription Fee]]-(GhanaStream[[#This Row],[Discount]]*GhanaStream[[#This Row],[Subscription Fee]])</f>
        <v>1000</v>
      </c>
      <c r="N1786" t="str">
        <f>IF(GhanaStream[[#This Row],[Churn Flag]]="Yes","Churned","Retained")</f>
        <v>Churned</v>
      </c>
    </row>
    <row r="1787" spans="1:14" x14ac:dyDescent="0.25">
      <c r="A1787" t="s">
        <v>1825</v>
      </c>
      <c r="B1787" s="1">
        <v>45292</v>
      </c>
      <c r="C1787" t="s">
        <v>31</v>
      </c>
      <c r="D1787" t="s">
        <v>27</v>
      </c>
      <c r="E1787">
        <v>10800</v>
      </c>
      <c r="F1787" t="s">
        <v>32</v>
      </c>
      <c r="G1787" t="s">
        <v>24</v>
      </c>
      <c r="H1787" t="s">
        <v>16</v>
      </c>
      <c r="I1787" t="s">
        <v>17</v>
      </c>
      <c r="J1787" t="s">
        <v>39</v>
      </c>
      <c r="K1787">
        <v>0.1</v>
      </c>
      <c r="L178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787">
        <f>GhanaStream[[#This Row],[Subscription Fee]]-(GhanaStream[[#This Row],[Discount]]*GhanaStream[[#This Row],[Subscription Fee]])</f>
        <v>9720</v>
      </c>
      <c r="N1787" t="str">
        <f>IF(GhanaStream[[#This Row],[Churn Flag]]="Yes","Churned","Retained")</f>
        <v>Churned</v>
      </c>
    </row>
    <row r="1788" spans="1:14" x14ac:dyDescent="0.25">
      <c r="A1788" t="s">
        <v>1826</v>
      </c>
      <c r="B1788" s="1">
        <v>45366</v>
      </c>
      <c r="C1788" t="s">
        <v>31</v>
      </c>
      <c r="D1788" t="s">
        <v>13</v>
      </c>
      <c r="E1788">
        <v>1000</v>
      </c>
      <c r="F1788" t="s">
        <v>14</v>
      </c>
      <c r="G1788" t="s">
        <v>15</v>
      </c>
      <c r="H1788" t="s">
        <v>16</v>
      </c>
      <c r="I1788" t="s">
        <v>17</v>
      </c>
      <c r="J1788" t="s">
        <v>41</v>
      </c>
      <c r="K1788">
        <v>0</v>
      </c>
      <c r="L178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788">
        <f>GhanaStream[[#This Row],[Subscription Fee]]-(GhanaStream[[#This Row],[Discount]]*GhanaStream[[#This Row],[Subscription Fee]])</f>
        <v>1000</v>
      </c>
      <c r="N1788" t="str">
        <f>IF(GhanaStream[[#This Row],[Churn Flag]]="Yes","Churned","Retained")</f>
        <v>Churned</v>
      </c>
    </row>
    <row r="1789" spans="1:14" x14ac:dyDescent="0.25">
      <c r="A1789" t="s">
        <v>1827</v>
      </c>
      <c r="B1789" s="1">
        <v>45309</v>
      </c>
      <c r="C1789" t="s">
        <v>20</v>
      </c>
      <c r="D1789" t="s">
        <v>13</v>
      </c>
      <c r="E1789">
        <v>500</v>
      </c>
      <c r="F1789" t="s">
        <v>21</v>
      </c>
      <c r="G1789" t="s">
        <v>15</v>
      </c>
      <c r="H1789" t="s">
        <v>33</v>
      </c>
      <c r="I1789" t="s">
        <v>34</v>
      </c>
      <c r="J1789" t="s">
        <v>25</v>
      </c>
      <c r="K1789">
        <v>0</v>
      </c>
      <c r="L178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789">
        <f>GhanaStream[[#This Row],[Subscription Fee]]-(GhanaStream[[#This Row],[Discount]]*GhanaStream[[#This Row],[Subscription Fee]])</f>
        <v>500</v>
      </c>
      <c r="N1789" t="str">
        <f>IF(GhanaStream[[#This Row],[Churn Flag]]="Yes","Churned","Retained")</f>
        <v>Retained</v>
      </c>
    </row>
    <row r="1790" spans="1:14" x14ac:dyDescent="0.25">
      <c r="A1790" t="s">
        <v>1828</v>
      </c>
      <c r="B1790" s="1">
        <v>44948</v>
      </c>
      <c r="C1790" t="s">
        <v>20</v>
      </c>
      <c r="D1790" t="s">
        <v>27</v>
      </c>
      <c r="E1790">
        <v>5400</v>
      </c>
      <c r="F1790" t="s">
        <v>21</v>
      </c>
      <c r="G1790" t="s">
        <v>24</v>
      </c>
      <c r="H1790" t="s">
        <v>33</v>
      </c>
      <c r="I1790" t="s">
        <v>34</v>
      </c>
      <c r="J1790" t="s">
        <v>25</v>
      </c>
      <c r="K1790">
        <v>0.1</v>
      </c>
      <c r="L179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790">
        <f>GhanaStream[[#This Row],[Subscription Fee]]-(GhanaStream[[#This Row],[Discount]]*GhanaStream[[#This Row],[Subscription Fee]])</f>
        <v>4860</v>
      </c>
      <c r="N1790" t="str">
        <f>IF(GhanaStream[[#This Row],[Churn Flag]]="Yes","Churned","Retained")</f>
        <v>Retained</v>
      </c>
    </row>
    <row r="1791" spans="1:14" x14ac:dyDescent="0.25">
      <c r="A1791" t="s">
        <v>1829</v>
      </c>
      <c r="B1791" s="1">
        <v>44959</v>
      </c>
      <c r="C1791" t="s">
        <v>20</v>
      </c>
      <c r="D1791" t="s">
        <v>27</v>
      </c>
      <c r="E1791">
        <v>5400</v>
      </c>
      <c r="F1791" t="s">
        <v>14</v>
      </c>
      <c r="G1791" t="s">
        <v>24</v>
      </c>
      <c r="H1791" t="s">
        <v>33</v>
      </c>
      <c r="I1791" t="s">
        <v>34</v>
      </c>
      <c r="J1791" t="s">
        <v>55</v>
      </c>
      <c r="K1791">
        <v>0.1</v>
      </c>
      <c r="L179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791">
        <f>GhanaStream[[#This Row],[Subscription Fee]]-(GhanaStream[[#This Row],[Discount]]*GhanaStream[[#This Row],[Subscription Fee]])</f>
        <v>4860</v>
      </c>
      <c r="N1791" t="str">
        <f>IF(GhanaStream[[#This Row],[Churn Flag]]="Yes","Churned","Retained")</f>
        <v>Retained</v>
      </c>
    </row>
    <row r="1792" spans="1:14" x14ac:dyDescent="0.25">
      <c r="A1792" t="s">
        <v>1830</v>
      </c>
      <c r="B1792" s="1">
        <v>45489</v>
      </c>
      <c r="C1792" t="s">
        <v>12</v>
      </c>
      <c r="D1792" t="s">
        <v>13</v>
      </c>
      <c r="E1792">
        <v>1500</v>
      </c>
      <c r="F1792" t="s">
        <v>49</v>
      </c>
      <c r="G1792" t="s">
        <v>24</v>
      </c>
      <c r="H1792" t="s">
        <v>33</v>
      </c>
      <c r="I1792" t="s">
        <v>34</v>
      </c>
      <c r="J1792" t="s">
        <v>50</v>
      </c>
      <c r="K1792">
        <v>0</v>
      </c>
      <c r="L179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792">
        <f>GhanaStream[[#This Row],[Subscription Fee]]-(GhanaStream[[#This Row],[Discount]]*GhanaStream[[#This Row],[Subscription Fee]])</f>
        <v>1500</v>
      </c>
      <c r="N1792" t="str">
        <f>IF(GhanaStream[[#This Row],[Churn Flag]]="Yes","Churned","Retained")</f>
        <v>Retained</v>
      </c>
    </row>
    <row r="1793" spans="1:14" x14ac:dyDescent="0.25">
      <c r="A1793" t="s">
        <v>1831</v>
      </c>
      <c r="B1793" s="1">
        <v>45354</v>
      </c>
      <c r="C1793" t="s">
        <v>12</v>
      </c>
      <c r="D1793" t="s">
        <v>13</v>
      </c>
      <c r="E1793">
        <v>1500</v>
      </c>
      <c r="F1793" t="s">
        <v>32</v>
      </c>
      <c r="G1793" t="s">
        <v>24</v>
      </c>
      <c r="H1793" t="s">
        <v>33</v>
      </c>
      <c r="I1793" t="s">
        <v>34</v>
      </c>
      <c r="J1793" t="s">
        <v>25</v>
      </c>
      <c r="K1793">
        <v>0</v>
      </c>
      <c r="L179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793">
        <f>GhanaStream[[#This Row],[Subscription Fee]]-(GhanaStream[[#This Row],[Discount]]*GhanaStream[[#This Row],[Subscription Fee]])</f>
        <v>1500</v>
      </c>
      <c r="N1793" t="str">
        <f>IF(GhanaStream[[#This Row],[Churn Flag]]="Yes","Churned","Retained")</f>
        <v>Retained</v>
      </c>
    </row>
    <row r="1794" spans="1:14" x14ac:dyDescent="0.25">
      <c r="A1794" t="s">
        <v>1832</v>
      </c>
      <c r="B1794" s="1">
        <v>45107</v>
      </c>
      <c r="C1794" t="s">
        <v>12</v>
      </c>
      <c r="D1794" t="s">
        <v>27</v>
      </c>
      <c r="E1794">
        <v>16200</v>
      </c>
      <c r="F1794" t="s">
        <v>21</v>
      </c>
      <c r="G1794" t="s">
        <v>28</v>
      </c>
      <c r="H1794" t="s">
        <v>33</v>
      </c>
      <c r="I1794" t="s">
        <v>34</v>
      </c>
      <c r="J1794" t="s">
        <v>22</v>
      </c>
      <c r="K1794">
        <v>0.1</v>
      </c>
      <c r="L179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794">
        <f>GhanaStream[[#This Row],[Subscription Fee]]-(GhanaStream[[#This Row],[Discount]]*GhanaStream[[#This Row],[Subscription Fee]])</f>
        <v>14580</v>
      </c>
      <c r="N1794" t="str">
        <f>IF(GhanaStream[[#This Row],[Churn Flag]]="Yes","Churned","Retained")</f>
        <v>Retained</v>
      </c>
    </row>
    <row r="1795" spans="1:14" x14ac:dyDescent="0.25">
      <c r="A1795" t="s">
        <v>1833</v>
      </c>
      <c r="B1795" s="1">
        <v>45475</v>
      </c>
      <c r="C1795" t="s">
        <v>31</v>
      </c>
      <c r="D1795" t="s">
        <v>13</v>
      </c>
      <c r="E1795">
        <v>1000</v>
      </c>
      <c r="F1795" t="s">
        <v>14</v>
      </c>
      <c r="G1795" t="s">
        <v>28</v>
      </c>
      <c r="H1795" t="s">
        <v>33</v>
      </c>
      <c r="I1795" t="s">
        <v>34</v>
      </c>
      <c r="J1795" t="s">
        <v>37</v>
      </c>
      <c r="K1795">
        <v>0</v>
      </c>
      <c r="L179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795">
        <f>GhanaStream[[#This Row],[Subscription Fee]]-(GhanaStream[[#This Row],[Discount]]*GhanaStream[[#This Row],[Subscription Fee]])</f>
        <v>1000</v>
      </c>
      <c r="N1795" t="str">
        <f>IF(GhanaStream[[#This Row],[Churn Flag]]="Yes","Churned","Retained")</f>
        <v>Retained</v>
      </c>
    </row>
    <row r="1796" spans="1:14" x14ac:dyDescent="0.25">
      <c r="A1796" t="s">
        <v>1834</v>
      </c>
      <c r="B1796" s="1">
        <v>45229</v>
      </c>
      <c r="C1796" t="s">
        <v>12</v>
      </c>
      <c r="D1796" t="s">
        <v>13</v>
      </c>
      <c r="E1796">
        <v>1500</v>
      </c>
      <c r="F1796" t="s">
        <v>21</v>
      </c>
      <c r="G1796" t="s">
        <v>24</v>
      </c>
      <c r="H1796" t="s">
        <v>16</v>
      </c>
      <c r="I1796" t="s">
        <v>17</v>
      </c>
      <c r="J1796" t="s">
        <v>25</v>
      </c>
      <c r="K1796">
        <v>0</v>
      </c>
      <c r="L179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796">
        <f>GhanaStream[[#This Row],[Subscription Fee]]-(GhanaStream[[#This Row],[Discount]]*GhanaStream[[#This Row],[Subscription Fee]])</f>
        <v>1500</v>
      </c>
      <c r="N1796" t="str">
        <f>IF(GhanaStream[[#This Row],[Churn Flag]]="Yes","Churned","Retained")</f>
        <v>Churned</v>
      </c>
    </row>
    <row r="1797" spans="1:14" x14ac:dyDescent="0.25">
      <c r="A1797" t="s">
        <v>1835</v>
      </c>
      <c r="B1797" s="1">
        <v>45381</v>
      </c>
      <c r="C1797" t="s">
        <v>31</v>
      </c>
      <c r="D1797" t="s">
        <v>27</v>
      </c>
      <c r="E1797">
        <v>10800</v>
      </c>
      <c r="F1797" t="s">
        <v>32</v>
      </c>
      <c r="G1797" t="s">
        <v>24</v>
      </c>
      <c r="H1797" t="s">
        <v>33</v>
      </c>
      <c r="I1797" t="s">
        <v>34</v>
      </c>
      <c r="J1797" t="s">
        <v>25</v>
      </c>
      <c r="K1797">
        <v>0.1</v>
      </c>
      <c r="L179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797">
        <f>GhanaStream[[#This Row],[Subscription Fee]]-(GhanaStream[[#This Row],[Discount]]*GhanaStream[[#This Row],[Subscription Fee]])</f>
        <v>9720</v>
      </c>
      <c r="N1797" t="str">
        <f>IF(GhanaStream[[#This Row],[Churn Flag]]="Yes","Churned","Retained")</f>
        <v>Retained</v>
      </c>
    </row>
    <row r="1798" spans="1:14" x14ac:dyDescent="0.25">
      <c r="A1798" t="s">
        <v>1836</v>
      </c>
      <c r="B1798" s="1">
        <v>45421</v>
      </c>
      <c r="C1798" t="s">
        <v>12</v>
      </c>
      <c r="D1798" t="s">
        <v>13</v>
      </c>
      <c r="E1798">
        <v>1500</v>
      </c>
      <c r="F1798" t="s">
        <v>49</v>
      </c>
      <c r="G1798" t="s">
        <v>15</v>
      </c>
      <c r="H1798" t="s">
        <v>16</v>
      </c>
      <c r="I1798" t="s">
        <v>17</v>
      </c>
      <c r="J1798" t="s">
        <v>35</v>
      </c>
      <c r="K1798">
        <v>0</v>
      </c>
      <c r="L179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798">
        <f>GhanaStream[[#This Row],[Subscription Fee]]-(GhanaStream[[#This Row],[Discount]]*GhanaStream[[#This Row],[Subscription Fee]])</f>
        <v>1500</v>
      </c>
      <c r="N1798" t="str">
        <f>IF(GhanaStream[[#This Row],[Churn Flag]]="Yes","Churned","Retained")</f>
        <v>Churned</v>
      </c>
    </row>
    <row r="1799" spans="1:14" x14ac:dyDescent="0.25">
      <c r="A1799" t="s">
        <v>1837</v>
      </c>
      <c r="B1799" s="1">
        <v>45596</v>
      </c>
      <c r="C1799" t="s">
        <v>20</v>
      </c>
      <c r="D1799" t="s">
        <v>27</v>
      </c>
      <c r="E1799">
        <v>5400</v>
      </c>
      <c r="F1799" t="s">
        <v>32</v>
      </c>
      <c r="G1799" t="s">
        <v>24</v>
      </c>
      <c r="H1799" t="s">
        <v>16</v>
      </c>
      <c r="I1799" t="s">
        <v>17</v>
      </c>
      <c r="J1799" t="s">
        <v>39</v>
      </c>
      <c r="K1799">
        <v>0.1</v>
      </c>
      <c r="L179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799">
        <f>GhanaStream[[#This Row],[Subscription Fee]]-(GhanaStream[[#This Row],[Discount]]*GhanaStream[[#This Row],[Subscription Fee]])</f>
        <v>4860</v>
      </c>
      <c r="N1799" t="str">
        <f>IF(GhanaStream[[#This Row],[Churn Flag]]="Yes","Churned","Retained")</f>
        <v>Churned</v>
      </c>
    </row>
    <row r="1800" spans="1:14" x14ac:dyDescent="0.25">
      <c r="A1800" t="s">
        <v>1838</v>
      </c>
      <c r="B1800" s="1">
        <v>45179</v>
      </c>
      <c r="C1800" t="s">
        <v>31</v>
      </c>
      <c r="D1800" t="s">
        <v>27</v>
      </c>
      <c r="E1800">
        <v>10800</v>
      </c>
      <c r="F1800" t="s">
        <v>21</v>
      </c>
      <c r="G1800" t="s">
        <v>28</v>
      </c>
      <c r="H1800" t="s">
        <v>33</v>
      </c>
      <c r="I1800" t="s">
        <v>34</v>
      </c>
      <c r="J1800" t="s">
        <v>29</v>
      </c>
      <c r="K1800">
        <v>0.1</v>
      </c>
      <c r="L180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800">
        <f>GhanaStream[[#This Row],[Subscription Fee]]-(GhanaStream[[#This Row],[Discount]]*GhanaStream[[#This Row],[Subscription Fee]])</f>
        <v>9720</v>
      </c>
      <c r="N1800" t="str">
        <f>IF(GhanaStream[[#This Row],[Churn Flag]]="Yes","Churned","Retained")</f>
        <v>Retained</v>
      </c>
    </row>
    <row r="1801" spans="1:14" x14ac:dyDescent="0.25">
      <c r="A1801" t="s">
        <v>1839</v>
      </c>
      <c r="B1801" s="1">
        <v>45401</v>
      </c>
      <c r="C1801" t="s">
        <v>20</v>
      </c>
      <c r="D1801" t="s">
        <v>27</v>
      </c>
      <c r="E1801">
        <v>5400</v>
      </c>
      <c r="F1801" t="s">
        <v>14</v>
      </c>
      <c r="G1801" t="s">
        <v>28</v>
      </c>
      <c r="H1801" t="s">
        <v>33</v>
      </c>
      <c r="I1801" t="s">
        <v>34</v>
      </c>
      <c r="J1801" t="s">
        <v>22</v>
      </c>
      <c r="K1801">
        <v>0.1</v>
      </c>
      <c r="L180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801">
        <f>GhanaStream[[#This Row],[Subscription Fee]]-(GhanaStream[[#This Row],[Discount]]*GhanaStream[[#This Row],[Subscription Fee]])</f>
        <v>4860</v>
      </c>
      <c r="N1801" t="str">
        <f>IF(GhanaStream[[#This Row],[Churn Flag]]="Yes","Churned","Retained")</f>
        <v>Retained</v>
      </c>
    </row>
    <row r="1802" spans="1:14" x14ac:dyDescent="0.25">
      <c r="A1802" t="s">
        <v>1840</v>
      </c>
      <c r="B1802" s="1">
        <v>45092</v>
      </c>
      <c r="C1802" t="s">
        <v>12</v>
      </c>
      <c r="D1802" t="s">
        <v>13</v>
      </c>
      <c r="E1802">
        <v>1500</v>
      </c>
      <c r="F1802" t="s">
        <v>14</v>
      </c>
      <c r="G1802" t="s">
        <v>15</v>
      </c>
      <c r="H1802" t="s">
        <v>16</v>
      </c>
      <c r="I1802" t="s">
        <v>17</v>
      </c>
      <c r="J1802" t="s">
        <v>55</v>
      </c>
      <c r="K1802">
        <v>0</v>
      </c>
      <c r="L180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802">
        <f>GhanaStream[[#This Row],[Subscription Fee]]-(GhanaStream[[#This Row],[Discount]]*GhanaStream[[#This Row],[Subscription Fee]])</f>
        <v>1500</v>
      </c>
      <c r="N1802" t="str">
        <f>IF(GhanaStream[[#This Row],[Churn Flag]]="Yes","Churned","Retained")</f>
        <v>Churned</v>
      </c>
    </row>
    <row r="1803" spans="1:14" x14ac:dyDescent="0.25">
      <c r="A1803" t="s">
        <v>1841</v>
      </c>
      <c r="B1803" s="1">
        <v>45653</v>
      </c>
      <c r="C1803" t="s">
        <v>12</v>
      </c>
      <c r="D1803" t="s">
        <v>13</v>
      </c>
      <c r="E1803">
        <v>1500</v>
      </c>
      <c r="F1803" t="s">
        <v>21</v>
      </c>
      <c r="G1803" t="s">
        <v>24</v>
      </c>
      <c r="H1803" t="s">
        <v>33</v>
      </c>
      <c r="I1803" t="s">
        <v>34</v>
      </c>
      <c r="J1803" t="s">
        <v>25</v>
      </c>
      <c r="K1803">
        <v>0</v>
      </c>
      <c r="L180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803">
        <f>GhanaStream[[#This Row],[Subscription Fee]]-(GhanaStream[[#This Row],[Discount]]*GhanaStream[[#This Row],[Subscription Fee]])</f>
        <v>1500</v>
      </c>
      <c r="N1803" t="str">
        <f>IF(GhanaStream[[#This Row],[Churn Flag]]="Yes","Churned","Retained")</f>
        <v>Retained</v>
      </c>
    </row>
    <row r="1804" spans="1:14" x14ac:dyDescent="0.25">
      <c r="A1804" t="s">
        <v>1842</v>
      </c>
      <c r="B1804" s="1">
        <v>45316</v>
      </c>
      <c r="C1804" t="s">
        <v>31</v>
      </c>
      <c r="D1804" t="s">
        <v>13</v>
      </c>
      <c r="E1804">
        <v>1000</v>
      </c>
      <c r="F1804" t="s">
        <v>21</v>
      </c>
      <c r="G1804" t="s">
        <v>28</v>
      </c>
      <c r="H1804" t="s">
        <v>33</v>
      </c>
      <c r="I1804" t="s">
        <v>34</v>
      </c>
      <c r="J1804" t="s">
        <v>29</v>
      </c>
      <c r="K1804">
        <v>0</v>
      </c>
      <c r="L180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804">
        <f>GhanaStream[[#This Row],[Subscription Fee]]-(GhanaStream[[#This Row],[Discount]]*GhanaStream[[#This Row],[Subscription Fee]])</f>
        <v>1000</v>
      </c>
      <c r="N1804" t="str">
        <f>IF(GhanaStream[[#This Row],[Churn Flag]]="Yes","Churned","Retained")</f>
        <v>Retained</v>
      </c>
    </row>
    <row r="1805" spans="1:14" x14ac:dyDescent="0.25">
      <c r="A1805" t="s">
        <v>1843</v>
      </c>
      <c r="B1805" s="1">
        <v>45492</v>
      </c>
      <c r="C1805" t="s">
        <v>20</v>
      </c>
      <c r="D1805" t="s">
        <v>13</v>
      </c>
      <c r="E1805">
        <v>500</v>
      </c>
      <c r="F1805" t="s">
        <v>32</v>
      </c>
      <c r="G1805" t="s">
        <v>15</v>
      </c>
      <c r="H1805" t="s">
        <v>16</v>
      </c>
      <c r="I1805" t="s">
        <v>17</v>
      </c>
      <c r="J1805" t="s">
        <v>25</v>
      </c>
      <c r="K1805">
        <v>0</v>
      </c>
      <c r="L180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805">
        <f>GhanaStream[[#This Row],[Subscription Fee]]-(GhanaStream[[#This Row],[Discount]]*GhanaStream[[#This Row],[Subscription Fee]])</f>
        <v>500</v>
      </c>
      <c r="N1805" t="str">
        <f>IF(GhanaStream[[#This Row],[Churn Flag]]="Yes","Churned","Retained")</f>
        <v>Churned</v>
      </c>
    </row>
    <row r="1806" spans="1:14" x14ac:dyDescent="0.25">
      <c r="A1806" t="s">
        <v>1844</v>
      </c>
      <c r="B1806" s="1">
        <v>45303</v>
      </c>
      <c r="C1806" t="s">
        <v>31</v>
      </c>
      <c r="D1806" t="s">
        <v>13</v>
      </c>
      <c r="E1806">
        <v>1000</v>
      </c>
      <c r="F1806" t="s">
        <v>21</v>
      </c>
      <c r="G1806" t="s">
        <v>28</v>
      </c>
      <c r="H1806" t="s">
        <v>16</v>
      </c>
      <c r="I1806" t="s">
        <v>17</v>
      </c>
      <c r="J1806" t="s">
        <v>18</v>
      </c>
      <c r="K1806">
        <v>0</v>
      </c>
      <c r="L180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806">
        <f>GhanaStream[[#This Row],[Subscription Fee]]-(GhanaStream[[#This Row],[Discount]]*GhanaStream[[#This Row],[Subscription Fee]])</f>
        <v>1000</v>
      </c>
      <c r="N1806" t="str">
        <f>IF(GhanaStream[[#This Row],[Churn Flag]]="Yes","Churned","Retained")</f>
        <v>Churned</v>
      </c>
    </row>
    <row r="1807" spans="1:14" x14ac:dyDescent="0.25">
      <c r="A1807" t="s">
        <v>1845</v>
      </c>
      <c r="B1807" s="1">
        <v>45143</v>
      </c>
      <c r="C1807" t="s">
        <v>31</v>
      </c>
      <c r="D1807" t="s">
        <v>13</v>
      </c>
      <c r="E1807">
        <v>1000</v>
      </c>
      <c r="F1807" t="s">
        <v>49</v>
      </c>
      <c r="G1807" t="s">
        <v>24</v>
      </c>
      <c r="H1807" t="s">
        <v>33</v>
      </c>
      <c r="I1807" t="s">
        <v>34</v>
      </c>
      <c r="J1807" t="s">
        <v>50</v>
      </c>
      <c r="K1807">
        <v>0</v>
      </c>
      <c r="L180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807">
        <f>GhanaStream[[#This Row],[Subscription Fee]]-(GhanaStream[[#This Row],[Discount]]*GhanaStream[[#This Row],[Subscription Fee]])</f>
        <v>1000</v>
      </c>
      <c r="N1807" t="str">
        <f>IF(GhanaStream[[#This Row],[Churn Flag]]="Yes","Churned","Retained")</f>
        <v>Retained</v>
      </c>
    </row>
    <row r="1808" spans="1:14" x14ac:dyDescent="0.25">
      <c r="A1808" t="s">
        <v>1846</v>
      </c>
      <c r="B1808" s="1">
        <v>45142</v>
      </c>
      <c r="C1808" t="s">
        <v>20</v>
      </c>
      <c r="D1808" t="s">
        <v>13</v>
      </c>
      <c r="E1808">
        <v>500</v>
      </c>
      <c r="F1808" t="s">
        <v>21</v>
      </c>
      <c r="G1808" t="s">
        <v>15</v>
      </c>
      <c r="H1808" t="s">
        <v>16</v>
      </c>
      <c r="I1808" t="s">
        <v>17</v>
      </c>
      <c r="J1808" t="s">
        <v>18</v>
      </c>
      <c r="K1808">
        <v>0</v>
      </c>
      <c r="L180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808">
        <f>GhanaStream[[#This Row],[Subscription Fee]]-(GhanaStream[[#This Row],[Discount]]*GhanaStream[[#This Row],[Subscription Fee]])</f>
        <v>500</v>
      </c>
      <c r="N1808" t="str">
        <f>IF(GhanaStream[[#This Row],[Churn Flag]]="Yes","Churned","Retained")</f>
        <v>Churned</v>
      </c>
    </row>
    <row r="1809" spans="1:14" x14ac:dyDescent="0.25">
      <c r="A1809" t="s">
        <v>1847</v>
      </c>
      <c r="B1809" s="1">
        <v>45377</v>
      </c>
      <c r="C1809" t="s">
        <v>12</v>
      </c>
      <c r="D1809" t="s">
        <v>27</v>
      </c>
      <c r="E1809">
        <v>16200</v>
      </c>
      <c r="F1809" t="s">
        <v>32</v>
      </c>
      <c r="G1809" t="s">
        <v>24</v>
      </c>
      <c r="H1809" t="s">
        <v>16</v>
      </c>
      <c r="I1809" t="s">
        <v>17</v>
      </c>
      <c r="J1809" t="s">
        <v>44</v>
      </c>
      <c r="K1809">
        <v>0.1</v>
      </c>
      <c r="L180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809">
        <f>GhanaStream[[#This Row],[Subscription Fee]]-(GhanaStream[[#This Row],[Discount]]*GhanaStream[[#This Row],[Subscription Fee]])</f>
        <v>14580</v>
      </c>
      <c r="N1809" t="str">
        <f>IF(GhanaStream[[#This Row],[Churn Flag]]="Yes","Churned","Retained")</f>
        <v>Churned</v>
      </c>
    </row>
    <row r="1810" spans="1:14" x14ac:dyDescent="0.25">
      <c r="A1810" t="s">
        <v>1848</v>
      </c>
      <c r="B1810" s="1">
        <v>45418</v>
      </c>
      <c r="C1810" t="s">
        <v>12</v>
      </c>
      <c r="D1810" t="s">
        <v>27</v>
      </c>
      <c r="E1810">
        <v>16200</v>
      </c>
      <c r="F1810" t="s">
        <v>21</v>
      </c>
      <c r="G1810" t="s">
        <v>28</v>
      </c>
      <c r="H1810" t="s">
        <v>16</v>
      </c>
      <c r="I1810" t="s">
        <v>17</v>
      </c>
      <c r="J1810" t="s">
        <v>18</v>
      </c>
      <c r="K1810">
        <v>0.1</v>
      </c>
      <c r="L181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810">
        <f>GhanaStream[[#This Row],[Subscription Fee]]-(GhanaStream[[#This Row],[Discount]]*GhanaStream[[#This Row],[Subscription Fee]])</f>
        <v>14580</v>
      </c>
      <c r="N1810" t="str">
        <f>IF(GhanaStream[[#This Row],[Churn Flag]]="Yes","Churned","Retained")</f>
        <v>Churned</v>
      </c>
    </row>
    <row r="1811" spans="1:14" x14ac:dyDescent="0.25">
      <c r="A1811" t="s">
        <v>1849</v>
      </c>
      <c r="B1811" s="1">
        <v>45053</v>
      </c>
      <c r="C1811" t="s">
        <v>12</v>
      </c>
      <c r="D1811" t="s">
        <v>27</v>
      </c>
      <c r="E1811">
        <v>16200</v>
      </c>
      <c r="F1811" t="s">
        <v>21</v>
      </c>
      <c r="G1811" t="s">
        <v>15</v>
      </c>
      <c r="H1811" t="s">
        <v>33</v>
      </c>
      <c r="I1811" t="s">
        <v>34</v>
      </c>
      <c r="J1811" t="s">
        <v>29</v>
      </c>
      <c r="K1811">
        <v>0.1</v>
      </c>
      <c r="L181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811">
        <f>GhanaStream[[#This Row],[Subscription Fee]]-(GhanaStream[[#This Row],[Discount]]*GhanaStream[[#This Row],[Subscription Fee]])</f>
        <v>14580</v>
      </c>
      <c r="N1811" t="str">
        <f>IF(GhanaStream[[#This Row],[Churn Flag]]="Yes","Churned","Retained")</f>
        <v>Retained</v>
      </c>
    </row>
    <row r="1812" spans="1:14" x14ac:dyDescent="0.25">
      <c r="A1812" t="s">
        <v>1850</v>
      </c>
      <c r="B1812" s="1">
        <v>45451</v>
      </c>
      <c r="C1812" t="s">
        <v>12</v>
      </c>
      <c r="D1812" t="s">
        <v>27</v>
      </c>
      <c r="E1812">
        <v>16200</v>
      </c>
      <c r="F1812" t="s">
        <v>49</v>
      </c>
      <c r="G1812" t="s">
        <v>24</v>
      </c>
      <c r="H1812" t="s">
        <v>16</v>
      </c>
      <c r="I1812" t="s">
        <v>17</v>
      </c>
      <c r="J1812" t="s">
        <v>22</v>
      </c>
      <c r="K1812">
        <v>0.1</v>
      </c>
      <c r="L181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812">
        <f>GhanaStream[[#This Row],[Subscription Fee]]-(GhanaStream[[#This Row],[Discount]]*GhanaStream[[#This Row],[Subscription Fee]])</f>
        <v>14580</v>
      </c>
      <c r="N1812" t="str">
        <f>IF(GhanaStream[[#This Row],[Churn Flag]]="Yes","Churned","Retained")</f>
        <v>Churned</v>
      </c>
    </row>
    <row r="1813" spans="1:14" x14ac:dyDescent="0.25">
      <c r="A1813" t="s">
        <v>1851</v>
      </c>
      <c r="B1813" s="1">
        <v>45086</v>
      </c>
      <c r="C1813" t="s">
        <v>12</v>
      </c>
      <c r="D1813" t="s">
        <v>13</v>
      </c>
      <c r="E1813">
        <v>1500</v>
      </c>
      <c r="F1813" t="s">
        <v>32</v>
      </c>
      <c r="G1813" t="s">
        <v>24</v>
      </c>
      <c r="H1813" t="s">
        <v>33</v>
      </c>
      <c r="I1813" t="s">
        <v>34</v>
      </c>
      <c r="J1813" t="s">
        <v>66</v>
      </c>
      <c r="K1813">
        <v>0</v>
      </c>
      <c r="L181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813">
        <f>GhanaStream[[#This Row],[Subscription Fee]]-(GhanaStream[[#This Row],[Discount]]*GhanaStream[[#This Row],[Subscription Fee]])</f>
        <v>1500</v>
      </c>
      <c r="N1813" t="str">
        <f>IF(GhanaStream[[#This Row],[Churn Flag]]="Yes","Churned","Retained")</f>
        <v>Retained</v>
      </c>
    </row>
    <row r="1814" spans="1:14" x14ac:dyDescent="0.25">
      <c r="A1814" t="s">
        <v>1852</v>
      </c>
      <c r="B1814" s="1">
        <v>45278</v>
      </c>
      <c r="C1814" t="s">
        <v>12</v>
      </c>
      <c r="D1814" t="s">
        <v>27</v>
      </c>
      <c r="E1814">
        <v>16200</v>
      </c>
      <c r="F1814" t="s">
        <v>21</v>
      </c>
      <c r="G1814" t="s">
        <v>28</v>
      </c>
      <c r="H1814" t="s">
        <v>33</v>
      </c>
      <c r="I1814" t="s">
        <v>34</v>
      </c>
      <c r="J1814" t="s">
        <v>29</v>
      </c>
      <c r="K1814">
        <v>0.1</v>
      </c>
      <c r="L181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814">
        <f>GhanaStream[[#This Row],[Subscription Fee]]-(GhanaStream[[#This Row],[Discount]]*GhanaStream[[#This Row],[Subscription Fee]])</f>
        <v>14580</v>
      </c>
      <c r="N1814" t="str">
        <f>IF(GhanaStream[[#This Row],[Churn Flag]]="Yes","Churned","Retained")</f>
        <v>Retained</v>
      </c>
    </row>
    <row r="1815" spans="1:14" x14ac:dyDescent="0.25">
      <c r="A1815" t="s">
        <v>1853</v>
      </c>
      <c r="B1815" s="1">
        <v>45638</v>
      </c>
      <c r="C1815" t="s">
        <v>31</v>
      </c>
      <c r="D1815" t="s">
        <v>13</v>
      </c>
      <c r="E1815">
        <v>1000</v>
      </c>
      <c r="F1815" t="s">
        <v>14</v>
      </c>
      <c r="G1815" t="s">
        <v>24</v>
      </c>
      <c r="H1815" t="s">
        <v>33</v>
      </c>
      <c r="I1815" t="s">
        <v>34</v>
      </c>
      <c r="J1815" t="s">
        <v>22</v>
      </c>
      <c r="K1815">
        <v>0</v>
      </c>
      <c r="L181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815">
        <f>GhanaStream[[#This Row],[Subscription Fee]]-(GhanaStream[[#This Row],[Discount]]*GhanaStream[[#This Row],[Subscription Fee]])</f>
        <v>1000</v>
      </c>
      <c r="N1815" t="str">
        <f>IF(GhanaStream[[#This Row],[Churn Flag]]="Yes","Churned","Retained")</f>
        <v>Retained</v>
      </c>
    </row>
    <row r="1816" spans="1:14" x14ac:dyDescent="0.25">
      <c r="A1816" t="s">
        <v>1854</v>
      </c>
      <c r="B1816" s="1">
        <v>45384</v>
      </c>
      <c r="C1816" t="s">
        <v>20</v>
      </c>
      <c r="D1816" t="s">
        <v>13</v>
      </c>
      <c r="E1816">
        <v>500</v>
      </c>
      <c r="F1816" t="s">
        <v>21</v>
      </c>
      <c r="G1816" t="s">
        <v>28</v>
      </c>
      <c r="H1816" t="s">
        <v>16</v>
      </c>
      <c r="I1816" t="s">
        <v>17</v>
      </c>
      <c r="J1816" t="s">
        <v>18</v>
      </c>
      <c r="K1816">
        <v>0</v>
      </c>
      <c r="L181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816">
        <f>GhanaStream[[#This Row],[Subscription Fee]]-(GhanaStream[[#This Row],[Discount]]*GhanaStream[[#This Row],[Subscription Fee]])</f>
        <v>500</v>
      </c>
      <c r="N1816" t="str">
        <f>IF(GhanaStream[[#This Row],[Churn Flag]]="Yes","Churned","Retained")</f>
        <v>Churned</v>
      </c>
    </row>
    <row r="1817" spans="1:14" x14ac:dyDescent="0.25">
      <c r="A1817" t="s">
        <v>1855</v>
      </c>
      <c r="B1817" s="1">
        <v>45232</v>
      </c>
      <c r="C1817" t="s">
        <v>20</v>
      </c>
      <c r="D1817" t="s">
        <v>27</v>
      </c>
      <c r="E1817">
        <v>5400</v>
      </c>
      <c r="F1817" t="s">
        <v>32</v>
      </c>
      <c r="G1817" t="s">
        <v>24</v>
      </c>
      <c r="H1817" t="s">
        <v>33</v>
      </c>
      <c r="I1817" t="s">
        <v>34</v>
      </c>
      <c r="J1817" t="s">
        <v>39</v>
      </c>
      <c r="K1817">
        <v>0.1</v>
      </c>
      <c r="L181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817">
        <f>GhanaStream[[#This Row],[Subscription Fee]]-(GhanaStream[[#This Row],[Discount]]*GhanaStream[[#This Row],[Subscription Fee]])</f>
        <v>4860</v>
      </c>
      <c r="N1817" t="str">
        <f>IF(GhanaStream[[#This Row],[Churn Flag]]="Yes","Churned","Retained")</f>
        <v>Retained</v>
      </c>
    </row>
    <row r="1818" spans="1:14" x14ac:dyDescent="0.25">
      <c r="A1818" t="s">
        <v>1856</v>
      </c>
      <c r="B1818" s="1">
        <v>45416</v>
      </c>
      <c r="C1818" t="s">
        <v>20</v>
      </c>
      <c r="D1818" t="s">
        <v>27</v>
      </c>
      <c r="E1818">
        <v>5400</v>
      </c>
      <c r="F1818" t="s">
        <v>49</v>
      </c>
      <c r="G1818" t="s">
        <v>24</v>
      </c>
      <c r="H1818" t="s">
        <v>33</v>
      </c>
      <c r="I1818" t="s">
        <v>34</v>
      </c>
      <c r="J1818" t="s">
        <v>35</v>
      </c>
      <c r="K1818">
        <v>0.1</v>
      </c>
      <c r="L181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818">
        <f>GhanaStream[[#This Row],[Subscription Fee]]-(GhanaStream[[#This Row],[Discount]]*GhanaStream[[#This Row],[Subscription Fee]])</f>
        <v>4860</v>
      </c>
      <c r="N1818" t="str">
        <f>IF(GhanaStream[[#This Row],[Churn Flag]]="Yes","Churned","Retained")</f>
        <v>Retained</v>
      </c>
    </row>
    <row r="1819" spans="1:14" x14ac:dyDescent="0.25">
      <c r="A1819" t="s">
        <v>1857</v>
      </c>
      <c r="B1819" s="1">
        <v>45590</v>
      </c>
      <c r="C1819" t="s">
        <v>12</v>
      </c>
      <c r="D1819" t="s">
        <v>13</v>
      </c>
      <c r="E1819">
        <v>1500</v>
      </c>
      <c r="F1819" t="s">
        <v>32</v>
      </c>
      <c r="G1819" t="s">
        <v>15</v>
      </c>
      <c r="H1819" t="s">
        <v>33</v>
      </c>
      <c r="I1819" t="s">
        <v>34</v>
      </c>
      <c r="J1819" t="s">
        <v>35</v>
      </c>
      <c r="K1819">
        <v>0</v>
      </c>
      <c r="L181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819">
        <f>GhanaStream[[#This Row],[Subscription Fee]]-(GhanaStream[[#This Row],[Discount]]*GhanaStream[[#This Row],[Subscription Fee]])</f>
        <v>1500</v>
      </c>
      <c r="N1819" t="str">
        <f>IF(GhanaStream[[#This Row],[Churn Flag]]="Yes","Churned","Retained")</f>
        <v>Retained</v>
      </c>
    </row>
    <row r="1820" spans="1:14" x14ac:dyDescent="0.25">
      <c r="A1820" t="s">
        <v>1858</v>
      </c>
      <c r="B1820" s="1">
        <v>45192</v>
      </c>
      <c r="C1820" t="s">
        <v>31</v>
      </c>
      <c r="D1820" t="s">
        <v>13</v>
      </c>
      <c r="E1820">
        <v>1000</v>
      </c>
      <c r="F1820" t="s">
        <v>21</v>
      </c>
      <c r="G1820" t="s">
        <v>24</v>
      </c>
      <c r="H1820" t="s">
        <v>33</v>
      </c>
      <c r="I1820" t="s">
        <v>34</v>
      </c>
      <c r="J1820" t="s">
        <v>18</v>
      </c>
      <c r="K1820">
        <v>0</v>
      </c>
      <c r="L182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820">
        <f>GhanaStream[[#This Row],[Subscription Fee]]-(GhanaStream[[#This Row],[Discount]]*GhanaStream[[#This Row],[Subscription Fee]])</f>
        <v>1000</v>
      </c>
      <c r="N1820" t="str">
        <f>IF(GhanaStream[[#This Row],[Churn Flag]]="Yes","Churned","Retained")</f>
        <v>Retained</v>
      </c>
    </row>
    <row r="1821" spans="1:14" x14ac:dyDescent="0.25">
      <c r="A1821" t="s">
        <v>1859</v>
      </c>
      <c r="B1821" s="1">
        <v>45471</v>
      </c>
      <c r="C1821" t="s">
        <v>31</v>
      </c>
      <c r="D1821" t="s">
        <v>27</v>
      </c>
      <c r="E1821">
        <v>10800</v>
      </c>
      <c r="F1821" t="s">
        <v>21</v>
      </c>
      <c r="G1821" t="s">
        <v>24</v>
      </c>
      <c r="H1821" t="s">
        <v>33</v>
      </c>
      <c r="I1821" t="s">
        <v>34</v>
      </c>
      <c r="J1821" t="s">
        <v>29</v>
      </c>
      <c r="K1821">
        <v>0.1</v>
      </c>
      <c r="L182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821">
        <f>GhanaStream[[#This Row],[Subscription Fee]]-(GhanaStream[[#This Row],[Discount]]*GhanaStream[[#This Row],[Subscription Fee]])</f>
        <v>9720</v>
      </c>
      <c r="N1821" t="str">
        <f>IF(GhanaStream[[#This Row],[Churn Flag]]="Yes","Churned","Retained")</f>
        <v>Retained</v>
      </c>
    </row>
    <row r="1822" spans="1:14" x14ac:dyDescent="0.25">
      <c r="A1822" t="s">
        <v>1860</v>
      </c>
      <c r="B1822" s="1">
        <v>45499</v>
      </c>
      <c r="C1822" t="s">
        <v>12</v>
      </c>
      <c r="D1822" t="s">
        <v>27</v>
      </c>
      <c r="E1822">
        <v>16200</v>
      </c>
      <c r="F1822" t="s">
        <v>21</v>
      </c>
      <c r="G1822" t="s">
        <v>24</v>
      </c>
      <c r="H1822" t="s">
        <v>16</v>
      </c>
      <c r="I1822" t="s">
        <v>17</v>
      </c>
      <c r="J1822" t="s">
        <v>18</v>
      </c>
      <c r="K1822">
        <v>0.1</v>
      </c>
      <c r="L182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822">
        <f>GhanaStream[[#This Row],[Subscription Fee]]-(GhanaStream[[#This Row],[Discount]]*GhanaStream[[#This Row],[Subscription Fee]])</f>
        <v>14580</v>
      </c>
      <c r="N1822" t="str">
        <f>IF(GhanaStream[[#This Row],[Churn Flag]]="Yes","Churned","Retained")</f>
        <v>Churned</v>
      </c>
    </row>
    <row r="1823" spans="1:14" x14ac:dyDescent="0.25">
      <c r="A1823" t="s">
        <v>1861</v>
      </c>
      <c r="B1823" s="1">
        <v>45066</v>
      </c>
      <c r="C1823" t="s">
        <v>12</v>
      </c>
      <c r="D1823" t="s">
        <v>13</v>
      </c>
      <c r="E1823">
        <v>1500</v>
      </c>
      <c r="F1823" t="s">
        <v>32</v>
      </c>
      <c r="G1823" t="s">
        <v>24</v>
      </c>
      <c r="H1823" t="s">
        <v>33</v>
      </c>
      <c r="I1823" t="s">
        <v>34</v>
      </c>
      <c r="J1823" t="s">
        <v>25</v>
      </c>
      <c r="K1823">
        <v>0</v>
      </c>
      <c r="L182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823">
        <f>GhanaStream[[#This Row],[Subscription Fee]]-(GhanaStream[[#This Row],[Discount]]*GhanaStream[[#This Row],[Subscription Fee]])</f>
        <v>1500</v>
      </c>
      <c r="N1823" t="str">
        <f>IF(GhanaStream[[#This Row],[Churn Flag]]="Yes","Churned","Retained")</f>
        <v>Retained</v>
      </c>
    </row>
    <row r="1824" spans="1:14" x14ac:dyDescent="0.25">
      <c r="A1824" t="s">
        <v>1862</v>
      </c>
      <c r="B1824" s="1">
        <v>45083</v>
      </c>
      <c r="C1824" t="s">
        <v>12</v>
      </c>
      <c r="D1824" t="s">
        <v>13</v>
      </c>
      <c r="E1824">
        <v>1500</v>
      </c>
      <c r="F1824" t="s">
        <v>49</v>
      </c>
      <c r="G1824" t="s">
        <v>15</v>
      </c>
      <c r="H1824" t="s">
        <v>16</v>
      </c>
      <c r="I1824" t="s">
        <v>17</v>
      </c>
      <c r="J1824" t="s">
        <v>50</v>
      </c>
      <c r="K1824">
        <v>0</v>
      </c>
      <c r="L182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824">
        <f>GhanaStream[[#This Row],[Subscription Fee]]-(GhanaStream[[#This Row],[Discount]]*GhanaStream[[#This Row],[Subscription Fee]])</f>
        <v>1500</v>
      </c>
      <c r="N1824" t="str">
        <f>IF(GhanaStream[[#This Row],[Churn Flag]]="Yes","Churned","Retained")</f>
        <v>Churned</v>
      </c>
    </row>
    <row r="1825" spans="1:14" x14ac:dyDescent="0.25">
      <c r="A1825" t="s">
        <v>1863</v>
      </c>
      <c r="B1825" s="1">
        <v>45217</v>
      </c>
      <c r="C1825" t="s">
        <v>20</v>
      </c>
      <c r="D1825" t="s">
        <v>13</v>
      </c>
      <c r="E1825">
        <v>500</v>
      </c>
      <c r="F1825" t="s">
        <v>32</v>
      </c>
      <c r="G1825" t="s">
        <v>28</v>
      </c>
      <c r="H1825" t="s">
        <v>33</v>
      </c>
      <c r="I1825" t="s">
        <v>34</v>
      </c>
      <c r="J1825" t="s">
        <v>39</v>
      </c>
      <c r="K1825">
        <v>0</v>
      </c>
      <c r="L182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825">
        <f>GhanaStream[[#This Row],[Subscription Fee]]-(GhanaStream[[#This Row],[Discount]]*GhanaStream[[#This Row],[Subscription Fee]])</f>
        <v>500</v>
      </c>
      <c r="N1825" t="str">
        <f>IF(GhanaStream[[#This Row],[Churn Flag]]="Yes","Churned","Retained")</f>
        <v>Retained</v>
      </c>
    </row>
    <row r="1826" spans="1:14" x14ac:dyDescent="0.25">
      <c r="A1826" t="s">
        <v>1864</v>
      </c>
      <c r="B1826" s="1">
        <v>45271</v>
      </c>
      <c r="C1826" t="s">
        <v>20</v>
      </c>
      <c r="D1826" t="s">
        <v>27</v>
      </c>
      <c r="E1826">
        <v>5400</v>
      </c>
      <c r="F1826" t="s">
        <v>14</v>
      </c>
      <c r="G1826" t="s">
        <v>24</v>
      </c>
      <c r="H1826" t="s">
        <v>33</v>
      </c>
      <c r="I1826" t="s">
        <v>34</v>
      </c>
      <c r="J1826" t="s">
        <v>41</v>
      </c>
      <c r="K1826">
        <v>0.1</v>
      </c>
      <c r="L182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826">
        <f>GhanaStream[[#This Row],[Subscription Fee]]-(GhanaStream[[#This Row],[Discount]]*GhanaStream[[#This Row],[Subscription Fee]])</f>
        <v>4860</v>
      </c>
      <c r="N1826" t="str">
        <f>IF(GhanaStream[[#This Row],[Churn Flag]]="Yes","Churned","Retained")</f>
        <v>Retained</v>
      </c>
    </row>
    <row r="1827" spans="1:14" x14ac:dyDescent="0.25">
      <c r="A1827" t="s">
        <v>1865</v>
      </c>
      <c r="B1827" s="1">
        <v>45271</v>
      </c>
      <c r="C1827" t="s">
        <v>31</v>
      </c>
      <c r="D1827" t="s">
        <v>27</v>
      </c>
      <c r="E1827">
        <v>10800</v>
      </c>
      <c r="F1827" t="s">
        <v>21</v>
      </c>
      <c r="G1827" t="s">
        <v>28</v>
      </c>
      <c r="H1827" t="s">
        <v>33</v>
      </c>
      <c r="I1827" t="s">
        <v>34</v>
      </c>
      <c r="J1827" t="s">
        <v>18</v>
      </c>
      <c r="K1827">
        <v>0.1</v>
      </c>
      <c r="L182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827">
        <f>GhanaStream[[#This Row],[Subscription Fee]]-(GhanaStream[[#This Row],[Discount]]*GhanaStream[[#This Row],[Subscription Fee]])</f>
        <v>9720</v>
      </c>
      <c r="N1827" t="str">
        <f>IF(GhanaStream[[#This Row],[Churn Flag]]="Yes","Churned","Retained")</f>
        <v>Retained</v>
      </c>
    </row>
    <row r="1828" spans="1:14" x14ac:dyDescent="0.25">
      <c r="A1828" t="s">
        <v>1866</v>
      </c>
      <c r="B1828" s="1">
        <v>44961</v>
      </c>
      <c r="C1828" t="s">
        <v>12</v>
      </c>
      <c r="D1828" t="s">
        <v>27</v>
      </c>
      <c r="E1828">
        <v>16200</v>
      </c>
      <c r="F1828" t="s">
        <v>21</v>
      </c>
      <c r="G1828" t="s">
        <v>28</v>
      </c>
      <c r="H1828" t="s">
        <v>16</v>
      </c>
      <c r="I1828" t="s">
        <v>17</v>
      </c>
      <c r="J1828" t="s">
        <v>25</v>
      </c>
      <c r="K1828">
        <v>0.1</v>
      </c>
      <c r="L182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828">
        <f>GhanaStream[[#This Row],[Subscription Fee]]-(GhanaStream[[#This Row],[Discount]]*GhanaStream[[#This Row],[Subscription Fee]])</f>
        <v>14580</v>
      </c>
      <c r="N1828" t="str">
        <f>IF(GhanaStream[[#This Row],[Churn Flag]]="Yes","Churned","Retained")</f>
        <v>Churned</v>
      </c>
    </row>
    <row r="1829" spans="1:14" x14ac:dyDescent="0.25">
      <c r="A1829" t="s">
        <v>1867</v>
      </c>
      <c r="B1829" s="1">
        <v>45194</v>
      </c>
      <c r="C1829" t="s">
        <v>31</v>
      </c>
      <c r="D1829" t="s">
        <v>13</v>
      </c>
      <c r="E1829">
        <v>1000</v>
      </c>
      <c r="F1829" t="s">
        <v>14</v>
      </c>
      <c r="G1829" t="s">
        <v>28</v>
      </c>
      <c r="H1829" t="s">
        <v>33</v>
      </c>
      <c r="I1829" t="s">
        <v>34</v>
      </c>
      <c r="J1829" t="s">
        <v>41</v>
      </c>
      <c r="K1829">
        <v>0</v>
      </c>
      <c r="L182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829">
        <f>GhanaStream[[#This Row],[Subscription Fee]]-(GhanaStream[[#This Row],[Discount]]*GhanaStream[[#This Row],[Subscription Fee]])</f>
        <v>1000</v>
      </c>
      <c r="N1829" t="str">
        <f>IF(GhanaStream[[#This Row],[Churn Flag]]="Yes","Churned","Retained")</f>
        <v>Retained</v>
      </c>
    </row>
    <row r="1830" spans="1:14" x14ac:dyDescent="0.25">
      <c r="A1830" t="s">
        <v>1868</v>
      </c>
      <c r="B1830" s="1">
        <v>45213</v>
      </c>
      <c r="C1830" t="s">
        <v>31</v>
      </c>
      <c r="D1830" t="s">
        <v>13</v>
      </c>
      <c r="E1830">
        <v>1000</v>
      </c>
      <c r="F1830" t="s">
        <v>32</v>
      </c>
      <c r="G1830" t="s">
        <v>24</v>
      </c>
      <c r="H1830" t="s">
        <v>16</v>
      </c>
      <c r="I1830" t="s">
        <v>17</v>
      </c>
      <c r="J1830" t="s">
        <v>66</v>
      </c>
      <c r="K1830">
        <v>0</v>
      </c>
      <c r="L183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830">
        <f>GhanaStream[[#This Row],[Subscription Fee]]-(GhanaStream[[#This Row],[Discount]]*GhanaStream[[#This Row],[Subscription Fee]])</f>
        <v>1000</v>
      </c>
      <c r="N1830" t="str">
        <f>IF(GhanaStream[[#This Row],[Churn Flag]]="Yes","Churned","Retained")</f>
        <v>Churned</v>
      </c>
    </row>
    <row r="1831" spans="1:14" x14ac:dyDescent="0.25">
      <c r="A1831" t="s">
        <v>1869</v>
      </c>
      <c r="B1831" s="1">
        <v>45306</v>
      </c>
      <c r="C1831" t="s">
        <v>31</v>
      </c>
      <c r="D1831" t="s">
        <v>13</v>
      </c>
      <c r="E1831">
        <v>1000</v>
      </c>
      <c r="F1831" t="s">
        <v>14</v>
      </c>
      <c r="G1831" t="s">
        <v>15</v>
      </c>
      <c r="H1831" t="s">
        <v>33</v>
      </c>
      <c r="I1831" t="s">
        <v>34</v>
      </c>
      <c r="J1831" t="s">
        <v>37</v>
      </c>
      <c r="K1831">
        <v>0</v>
      </c>
      <c r="L183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831">
        <f>GhanaStream[[#This Row],[Subscription Fee]]-(GhanaStream[[#This Row],[Discount]]*GhanaStream[[#This Row],[Subscription Fee]])</f>
        <v>1000</v>
      </c>
      <c r="N1831" t="str">
        <f>IF(GhanaStream[[#This Row],[Churn Flag]]="Yes","Churned","Retained")</f>
        <v>Retained</v>
      </c>
    </row>
    <row r="1832" spans="1:14" x14ac:dyDescent="0.25">
      <c r="A1832" t="s">
        <v>1870</v>
      </c>
      <c r="B1832" s="1">
        <v>45103</v>
      </c>
      <c r="C1832" t="s">
        <v>12</v>
      </c>
      <c r="D1832" t="s">
        <v>27</v>
      </c>
      <c r="E1832">
        <v>16200</v>
      </c>
      <c r="F1832" t="s">
        <v>49</v>
      </c>
      <c r="G1832" t="s">
        <v>28</v>
      </c>
      <c r="H1832" t="s">
        <v>16</v>
      </c>
      <c r="I1832" t="s">
        <v>17</v>
      </c>
      <c r="J1832" t="s">
        <v>35</v>
      </c>
      <c r="K1832">
        <v>0.1</v>
      </c>
      <c r="L183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832">
        <f>GhanaStream[[#This Row],[Subscription Fee]]-(GhanaStream[[#This Row],[Discount]]*GhanaStream[[#This Row],[Subscription Fee]])</f>
        <v>14580</v>
      </c>
      <c r="N1832" t="str">
        <f>IF(GhanaStream[[#This Row],[Churn Flag]]="Yes","Churned","Retained")</f>
        <v>Churned</v>
      </c>
    </row>
    <row r="1833" spans="1:14" x14ac:dyDescent="0.25">
      <c r="A1833" t="s">
        <v>1871</v>
      </c>
      <c r="B1833" s="1">
        <v>45513</v>
      </c>
      <c r="C1833" t="s">
        <v>20</v>
      </c>
      <c r="D1833" t="s">
        <v>13</v>
      </c>
      <c r="E1833">
        <v>500</v>
      </c>
      <c r="F1833" t="s">
        <v>32</v>
      </c>
      <c r="G1833" t="s">
        <v>24</v>
      </c>
      <c r="H1833" t="s">
        <v>16</v>
      </c>
      <c r="I1833" t="s">
        <v>17</v>
      </c>
      <c r="J1833" t="s">
        <v>44</v>
      </c>
      <c r="K1833">
        <v>0</v>
      </c>
      <c r="L183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833">
        <f>GhanaStream[[#This Row],[Subscription Fee]]-(GhanaStream[[#This Row],[Discount]]*GhanaStream[[#This Row],[Subscription Fee]])</f>
        <v>500</v>
      </c>
      <c r="N1833" t="str">
        <f>IF(GhanaStream[[#This Row],[Churn Flag]]="Yes","Churned","Retained")</f>
        <v>Churned</v>
      </c>
    </row>
    <row r="1834" spans="1:14" x14ac:dyDescent="0.25">
      <c r="A1834" t="s">
        <v>1872</v>
      </c>
      <c r="B1834" s="1">
        <v>45597</v>
      </c>
      <c r="C1834" t="s">
        <v>20</v>
      </c>
      <c r="D1834" t="s">
        <v>27</v>
      </c>
      <c r="E1834">
        <v>5400</v>
      </c>
      <c r="F1834" t="s">
        <v>21</v>
      </c>
      <c r="G1834" t="s">
        <v>28</v>
      </c>
      <c r="H1834" t="s">
        <v>33</v>
      </c>
      <c r="I1834" t="s">
        <v>34</v>
      </c>
      <c r="J1834" t="s">
        <v>22</v>
      </c>
      <c r="K1834">
        <v>0.1</v>
      </c>
      <c r="L183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834">
        <f>GhanaStream[[#This Row],[Subscription Fee]]-(GhanaStream[[#This Row],[Discount]]*GhanaStream[[#This Row],[Subscription Fee]])</f>
        <v>4860</v>
      </c>
      <c r="N1834" t="str">
        <f>IF(GhanaStream[[#This Row],[Churn Flag]]="Yes","Churned","Retained")</f>
        <v>Retained</v>
      </c>
    </row>
    <row r="1835" spans="1:14" x14ac:dyDescent="0.25">
      <c r="A1835" t="s">
        <v>1873</v>
      </c>
      <c r="B1835" s="1">
        <v>45172</v>
      </c>
      <c r="C1835" t="s">
        <v>20</v>
      </c>
      <c r="D1835" t="s">
        <v>13</v>
      </c>
      <c r="E1835">
        <v>500</v>
      </c>
      <c r="F1835" t="s">
        <v>14</v>
      </c>
      <c r="G1835" t="s">
        <v>15</v>
      </c>
      <c r="H1835" t="s">
        <v>33</v>
      </c>
      <c r="I1835" t="s">
        <v>34</v>
      </c>
      <c r="J1835" t="s">
        <v>37</v>
      </c>
      <c r="K1835">
        <v>0</v>
      </c>
      <c r="L183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835">
        <f>GhanaStream[[#This Row],[Subscription Fee]]-(GhanaStream[[#This Row],[Discount]]*GhanaStream[[#This Row],[Subscription Fee]])</f>
        <v>500</v>
      </c>
      <c r="N1835" t="str">
        <f>IF(GhanaStream[[#This Row],[Churn Flag]]="Yes","Churned","Retained")</f>
        <v>Retained</v>
      </c>
    </row>
    <row r="1836" spans="1:14" x14ac:dyDescent="0.25">
      <c r="A1836" t="s">
        <v>1874</v>
      </c>
      <c r="B1836" s="1">
        <v>45511</v>
      </c>
      <c r="C1836" t="s">
        <v>12</v>
      </c>
      <c r="D1836" t="s">
        <v>27</v>
      </c>
      <c r="E1836">
        <v>16200</v>
      </c>
      <c r="F1836" t="s">
        <v>32</v>
      </c>
      <c r="G1836" t="s">
        <v>15</v>
      </c>
      <c r="H1836" t="s">
        <v>16</v>
      </c>
      <c r="I1836" t="s">
        <v>17</v>
      </c>
      <c r="J1836" t="s">
        <v>25</v>
      </c>
      <c r="K1836">
        <v>0.1</v>
      </c>
      <c r="L183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836">
        <f>GhanaStream[[#This Row],[Subscription Fee]]-(GhanaStream[[#This Row],[Discount]]*GhanaStream[[#This Row],[Subscription Fee]])</f>
        <v>14580</v>
      </c>
      <c r="N1836" t="str">
        <f>IF(GhanaStream[[#This Row],[Churn Flag]]="Yes","Churned","Retained")</f>
        <v>Churned</v>
      </c>
    </row>
    <row r="1837" spans="1:14" x14ac:dyDescent="0.25">
      <c r="A1837" t="s">
        <v>1875</v>
      </c>
      <c r="B1837" s="1">
        <v>45385</v>
      </c>
      <c r="C1837" t="s">
        <v>31</v>
      </c>
      <c r="D1837" t="s">
        <v>13</v>
      </c>
      <c r="E1837">
        <v>1000</v>
      </c>
      <c r="F1837" t="s">
        <v>32</v>
      </c>
      <c r="G1837" t="s">
        <v>28</v>
      </c>
      <c r="H1837" t="s">
        <v>16</v>
      </c>
      <c r="I1837" t="s">
        <v>17</v>
      </c>
      <c r="J1837" t="s">
        <v>44</v>
      </c>
      <c r="K1837">
        <v>0</v>
      </c>
      <c r="L183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837">
        <f>GhanaStream[[#This Row],[Subscription Fee]]-(GhanaStream[[#This Row],[Discount]]*GhanaStream[[#This Row],[Subscription Fee]])</f>
        <v>1000</v>
      </c>
      <c r="N1837" t="str">
        <f>IF(GhanaStream[[#This Row],[Churn Flag]]="Yes","Churned","Retained")</f>
        <v>Churned</v>
      </c>
    </row>
    <row r="1838" spans="1:14" x14ac:dyDescent="0.25">
      <c r="A1838" t="s">
        <v>1876</v>
      </c>
      <c r="B1838" s="1">
        <v>45541</v>
      </c>
      <c r="C1838" t="s">
        <v>20</v>
      </c>
      <c r="D1838" t="s">
        <v>13</v>
      </c>
      <c r="E1838">
        <v>500</v>
      </c>
      <c r="F1838" t="s">
        <v>14</v>
      </c>
      <c r="G1838" t="s">
        <v>24</v>
      </c>
      <c r="H1838" t="s">
        <v>16</v>
      </c>
      <c r="I1838" t="s">
        <v>17</v>
      </c>
      <c r="J1838" t="s">
        <v>55</v>
      </c>
      <c r="K1838">
        <v>0</v>
      </c>
      <c r="L183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838">
        <f>GhanaStream[[#This Row],[Subscription Fee]]-(GhanaStream[[#This Row],[Discount]]*GhanaStream[[#This Row],[Subscription Fee]])</f>
        <v>500</v>
      </c>
      <c r="N1838" t="str">
        <f>IF(GhanaStream[[#This Row],[Churn Flag]]="Yes","Churned","Retained")</f>
        <v>Churned</v>
      </c>
    </row>
    <row r="1839" spans="1:14" x14ac:dyDescent="0.25">
      <c r="A1839" t="s">
        <v>1877</v>
      </c>
      <c r="B1839" s="1">
        <v>44981</v>
      </c>
      <c r="C1839" t="s">
        <v>20</v>
      </c>
      <c r="D1839" t="s">
        <v>27</v>
      </c>
      <c r="E1839">
        <v>5400</v>
      </c>
      <c r="F1839" t="s">
        <v>32</v>
      </c>
      <c r="G1839" t="s">
        <v>24</v>
      </c>
      <c r="H1839" t="s">
        <v>16</v>
      </c>
      <c r="I1839" t="s">
        <v>17</v>
      </c>
      <c r="J1839" t="s">
        <v>39</v>
      </c>
      <c r="K1839">
        <v>0.1</v>
      </c>
      <c r="L183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839">
        <f>GhanaStream[[#This Row],[Subscription Fee]]-(GhanaStream[[#This Row],[Discount]]*GhanaStream[[#This Row],[Subscription Fee]])</f>
        <v>4860</v>
      </c>
      <c r="N1839" t="str">
        <f>IF(GhanaStream[[#This Row],[Churn Flag]]="Yes","Churned","Retained")</f>
        <v>Churned</v>
      </c>
    </row>
    <row r="1840" spans="1:14" x14ac:dyDescent="0.25">
      <c r="A1840" t="s">
        <v>1878</v>
      </c>
      <c r="B1840" s="1">
        <v>45606</v>
      </c>
      <c r="C1840" t="s">
        <v>31</v>
      </c>
      <c r="D1840" t="s">
        <v>13</v>
      </c>
      <c r="E1840">
        <v>1000</v>
      </c>
      <c r="F1840" t="s">
        <v>49</v>
      </c>
      <c r="G1840" t="s">
        <v>28</v>
      </c>
      <c r="H1840" t="s">
        <v>16</v>
      </c>
      <c r="I1840" t="s">
        <v>17</v>
      </c>
      <c r="J1840" t="s">
        <v>18</v>
      </c>
      <c r="K1840">
        <v>0</v>
      </c>
      <c r="L184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840">
        <f>GhanaStream[[#This Row],[Subscription Fee]]-(GhanaStream[[#This Row],[Discount]]*GhanaStream[[#This Row],[Subscription Fee]])</f>
        <v>1000</v>
      </c>
      <c r="N1840" t="str">
        <f>IF(GhanaStream[[#This Row],[Churn Flag]]="Yes","Churned","Retained")</f>
        <v>Churned</v>
      </c>
    </row>
    <row r="1841" spans="1:14" x14ac:dyDescent="0.25">
      <c r="A1841" t="s">
        <v>1879</v>
      </c>
      <c r="B1841" s="1">
        <v>45295</v>
      </c>
      <c r="C1841" t="s">
        <v>12</v>
      </c>
      <c r="D1841" t="s">
        <v>27</v>
      </c>
      <c r="E1841">
        <v>16200</v>
      </c>
      <c r="F1841" t="s">
        <v>14</v>
      </c>
      <c r="G1841" t="s">
        <v>15</v>
      </c>
      <c r="H1841" t="s">
        <v>33</v>
      </c>
      <c r="I1841" t="s">
        <v>34</v>
      </c>
      <c r="J1841" t="s">
        <v>55</v>
      </c>
      <c r="K1841">
        <v>0.1</v>
      </c>
      <c r="L184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841">
        <f>GhanaStream[[#This Row],[Subscription Fee]]-(GhanaStream[[#This Row],[Discount]]*GhanaStream[[#This Row],[Subscription Fee]])</f>
        <v>14580</v>
      </c>
      <c r="N1841" t="str">
        <f>IF(GhanaStream[[#This Row],[Churn Flag]]="Yes","Churned","Retained")</f>
        <v>Retained</v>
      </c>
    </row>
    <row r="1842" spans="1:14" x14ac:dyDescent="0.25">
      <c r="A1842" t="s">
        <v>1880</v>
      </c>
      <c r="B1842" s="1">
        <v>45302</v>
      </c>
      <c r="C1842" t="s">
        <v>12</v>
      </c>
      <c r="D1842" t="s">
        <v>13</v>
      </c>
      <c r="E1842">
        <v>1500</v>
      </c>
      <c r="F1842" t="s">
        <v>32</v>
      </c>
      <c r="G1842" t="s">
        <v>24</v>
      </c>
      <c r="H1842" t="s">
        <v>33</v>
      </c>
      <c r="I1842" t="s">
        <v>34</v>
      </c>
      <c r="J1842" t="s">
        <v>44</v>
      </c>
      <c r="K1842">
        <v>0</v>
      </c>
      <c r="L184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842">
        <f>GhanaStream[[#This Row],[Subscription Fee]]-(GhanaStream[[#This Row],[Discount]]*GhanaStream[[#This Row],[Subscription Fee]])</f>
        <v>1500</v>
      </c>
      <c r="N1842" t="str">
        <f>IF(GhanaStream[[#This Row],[Churn Flag]]="Yes","Churned","Retained")</f>
        <v>Retained</v>
      </c>
    </row>
    <row r="1843" spans="1:14" x14ac:dyDescent="0.25">
      <c r="A1843" t="s">
        <v>1881</v>
      </c>
      <c r="B1843" s="1">
        <v>45269</v>
      </c>
      <c r="C1843" t="s">
        <v>20</v>
      </c>
      <c r="D1843" t="s">
        <v>27</v>
      </c>
      <c r="E1843">
        <v>5400</v>
      </c>
      <c r="F1843" t="s">
        <v>49</v>
      </c>
      <c r="G1843" t="s">
        <v>15</v>
      </c>
      <c r="H1843" t="s">
        <v>33</v>
      </c>
      <c r="I1843" t="s">
        <v>34</v>
      </c>
      <c r="J1843" t="s">
        <v>50</v>
      </c>
      <c r="K1843">
        <v>0.1</v>
      </c>
      <c r="L184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843">
        <f>GhanaStream[[#This Row],[Subscription Fee]]-(GhanaStream[[#This Row],[Discount]]*GhanaStream[[#This Row],[Subscription Fee]])</f>
        <v>4860</v>
      </c>
      <c r="N1843" t="str">
        <f>IF(GhanaStream[[#This Row],[Churn Flag]]="Yes","Churned","Retained")</f>
        <v>Retained</v>
      </c>
    </row>
    <row r="1844" spans="1:14" x14ac:dyDescent="0.25">
      <c r="A1844" t="s">
        <v>1882</v>
      </c>
      <c r="B1844" s="1">
        <v>44944</v>
      </c>
      <c r="C1844" t="s">
        <v>31</v>
      </c>
      <c r="D1844" t="s">
        <v>13</v>
      </c>
      <c r="E1844">
        <v>1000</v>
      </c>
      <c r="F1844" t="s">
        <v>21</v>
      </c>
      <c r="G1844" t="s">
        <v>28</v>
      </c>
      <c r="H1844" t="s">
        <v>16</v>
      </c>
      <c r="I1844" t="s">
        <v>17</v>
      </c>
      <c r="J1844" t="s">
        <v>25</v>
      </c>
      <c r="K1844">
        <v>0</v>
      </c>
      <c r="L184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844">
        <f>GhanaStream[[#This Row],[Subscription Fee]]-(GhanaStream[[#This Row],[Discount]]*GhanaStream[[#This Row],[Subscription Fee]])</f>
        <v>1000</v>
      </c>
      <c r="N1844" t="str">
        <f>IF(GhanaStream[[#This Row],[Churn Flag]]="Yes","Churned","Retained")</f>
        <v>Churned</v>
      </c>
    </row>
    <row r="1845" spans="1:14" x14ac:dyDescent="0.25">
      <c r="A1845" t="s">
        <v>1883</v>
      </c>
      <c r="B1845" s="1">
        <v>45259</v>
      </c>
      <c r="C1845" t="s">
        <v>31</v>
      </c>
      <c r="D1845" t="s">
        <v>27</v>
      </c>
      <c r="E1845">
        <v>10800</v>
      </c>
      <c r="F1845" t="s">
        <v>14</v>
      </c>
      <c r="G1845" t="s">
        <v>24</v>
      </c>
      <c r="H1845" t="s">
        <v>16</v>
      </c>
      <c r="I1845" t="s">
        <v>17</v>
      </c>
      <c r="J1845" t="s">
        <v>41</v>
      </c>
      <c r="K1845">
        <v>0.1</v>
      </c>
      <c r="L184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845">
        <f>GhanaStream[[#This Row],[Subscription Fee]]-(GhanaStream[[#This Row],[Discount]]*GhanaStream[[#This Row],[Subscription Fee]])</f>
        <v>9720</v>
      </c>
      <c r="N1845" t="str">
        <f>IF(GhanaStream[[#This Row],[Churn Flag]]="Yes","Churned","Retained")</f>
        <v>Churned</v>
      </c>
    </row>
    <row r="1846" spans="1:14" x14ac:dyDescent="0.25">
      <c r="A1846" t="s">
        <v>1884</v>
      </c>
      <c r="B1846" s="1">
        <v>45072</v>
      </c>
      <c r="C1846" t="s">
        <v>31</v>
      </c>
      <c r="D1846" t="s">
        <v>13</v>
      </c>
      <c r="E1846">
        <v>1000</v>
      </c>
      <c r="F1846" t="s">
        <v>21</v>
      </c>
      <c r="G1846" t="s">
        <v>24</v>
      </c>
      <c r="H1846" t="s">
        <v>33</v>
      </c>
      <c r="I1846" t="s">
        <v>34</v>
      </c>
      <c r="J1846" t="s">
        <v>25</v>
      </c>
      <c r="K1846">
        <v>0</v>
      </c>
      <c r="L184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846">
        <f>GhanaStream[[#This Row],[Subscription Fee]]-(GhanaStream[[#This Row],[Discount]]*GhanaStream[[#This Row],[Subscription Fee]])</f>
        <v>1000</v>
      </c>
      <c r="N1846" t="str">
        <f>IF(GhanaStream[[#This Row],[Churn Flag]]="Yes","Churned","Retained")</f>
        <v>Retained</v>
      </c>
    </row>
    <row r="1847" spans="1:14" x14ac:dyDescent="0.25">
      <c r="A1847" t="s">
        <v>1885</v>
      </c>
      <c r="B1847" s="1">
        <v>45043</v>
      </c>
      <c r="C1847" t="s">
        <v>31</v>
      </c>
      <c r="D1847" t="s">
        <v>27</v>
      </c>
      <c r="E1847">
        <v>10800</v>
      </c>
      <c r="F1847" t="s">
        <v>14</v>
      </c>
      <c r="G1847" t="s">
        <v>28</v>
      </c>
      <c r="H1847" t="s">
        <v>16</v>
      </c>
      <c r="I1847" t="s">
        <v>17</v>
      </c>
      <c r="J1847" t="s">
        <v>55</v>
      </c>
      <c r="K1847">
        <v>0.1</v>
      </c>
      <c r="L184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847">
        <f>GhanaStream[[#This Row],[Subscription Fee]]-(GhanaStream[[#This Row],[Discount]]*GhanaStream[[#This Row],[Subscription Fee]])</f>
        <v>9720</v>
      </c>
      <c r="N1847" t="str">
        <f>IF(GhanaStream[[#This Row],[Churn Flag]]="Yes","Churned","Retained")</f>
        <v>Churned</v>
      </c>
    </row>
    <row r="1848" spans="1:14" x14ac:dyDescent="0.25">
      <c r="A1848" t="s">
        <v>1886</v>
      </c>
      <c r="B1848" s="1">
        <v>45654</v>
      </c>
      <c r="C1848" t="s">
        <v>31</v>
      </c>
      <c r="D1848" t="s">
        <v>27</v>
      </c>
      <c r="E1848">
        <v>10800</v>
      </c>
      <c r="F1848" t="s">
        <v>49</v>
      </c>
      <c r="G1848" t="s">
        <v>15</v>
      </c>
      <c r="H1848" t="s">
        <v>16</v>
      </c>
      <c r="I1848" t="s">
        <v>17</v>
      </c>
      <c r="J1848" t="s">
        <v>58</v>
      </c>
      <c r="K1848">
        <v>0.1</v>
      </c>
      <c r="L184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848">
        <f>GhanaStream[[#This Row],[Subscription Fee]]-(GhanaStream[[#This Row],[Discount]]*GhanaStream[[#This Row],[Subscription Fee]])</f>
        <v>9720</v>
      </c>
      <c r="N1848" t="str">
        <f>IF(GhanaStream[[#This Row],[Churn Flag]]="Yes","Churned","Retained")</f>
        <v>Churned</v>
      </c>
    </row>
    <row r="1849" spans="1:14" x14ac:dyDescent="0.25">
      <c r="A1849" t="s">
        <v>1887</v>
      </c>
      <c r="B1849" s="1">
        <v>45244</v>
      </c>
      <c r="C1849" t="s">
        <v>12</v>
      </c>
      <c r="D1849" t="s">
        <v>27</v>
      </c>
      <c r="E1849">
        <v>16200</v>
      </c>
      <c r="F1849" t="s">
        <v>49</v>
      </c>
      <c r="G1849" t="s">
        <v>28</v>
      </c>
      <c r="H1849" t="s">
        <v>33</v>
      </c>
      <c r="I1849" t="s">
        <v>34</v>
      </c>
      <c r="J1849" t="s">
        <v>50</v>
      </c>
      <c r="K1849">
        <v>0.1</v>
      </c>
      <c r="L184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849">
        <f>GhanaStream[[#This Row],[Subscription Fee]]-(GhanaStream[[#This Row],[Discount]]*GhanaStream[[#This Row],[Subscription Fee]])</f>
        <v>14580</v>
      </c>
      <c r="N1849" t="str">
        <f>IF(GhanaStream[[#This Row],[Churn Flag]]="Yes","Churned","Retained")</f>
        <v>Retained</v>
      </c>
    </row>
    <row r="1850" spans="1:14" x14ac:dyDescent="0.25">
      <c r="A1850" t="s">
        <v>1888</v>
      </c>
      <c r="B1850" s="1">
        <v>45649</v>
      </c>
      <c r="C1850" t="s">
        <v>20</v>
      </c>
      <c r="D1850" t="s">
        <v>27</v>
      </c>
      <c r="E1850">
        <v>5400</v>
      </c>
      <c r="F1850" t="s">
        <v>21</v>
      </c>
      <c r="G1850" t="s">
        <v>28</v>
      </c>
      <c r="H1850" t="s">
        <v>16</v>
      </c>
      <c r="I1850" t="s">
        <v>17</v>
      </c>
      <c r="J1850" t="s">
        <v>22</v>
      </c>
      <c r="K1850">
        <v>0.1</v>
      </c>
      <c r="L185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850">
        <f>GhanaStream[[#This Row],[Subscription Fee]]-(GhanaStream[[#This Row],[Discount]]*GhanaStream[[#This Row],[Subscription Fee]])</f>
        <v>4860</v>
      </c>
      <c r="N1850" t="str">
        <f>IF(GhanaStream[[#This Row],[Churn Flag]]="Yes","Churned","Retained")</f>
        <v>Churned</v>
      </c>
    </row>
    <row r="1851" spans="1:14" x14ac:dyDescent="0.25">
      <c r="A1851" t="s">
        <v>1889</v>
      </c>
      <c r="B1851" s="1">
        <v>45236</v>
      </c>
      <c r="C1851" t="s">
        <v>31</v>
      </c>
      <c r="D1851" t="s">
        <v>13</v>
      </c>
      <c r="E1851">
        <v>1000</v>
      </c>
      <c r="F1851" t="s">
        <v>21</v>
      </c>
      <c r="G1851" t="s">
        <v>24</v>
      </c>
      <c r="H1851" t="s">
        <v>16</v>
      </c>
      <c r="I1851" t="s">
        <v>17</v>
      </c>
      <c r="J1851" t="s">
        <v>22</v>
      </c>
      <c r="K1851">
        <v>0</v>
      </c>
      <c r="L185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851">
        <f>GhanaStream[[#This Row],[Subscription Fee]]-(GhanaStream[[#This Row],[Discount]]*GhanaStream[[#This Row],[Subscription Fee]])</f>
        <v>1000</v>
      </c>
      <c r="N1851" t="str">
        <f>IF(GhanaStream[[#This Row],[Churn Flag]]="Yes","Churned","Retained")</f>
        <v>Churned</v>
      </c>
    </row>
    <row r="1852" spans="1:14" x14ac:dyDescent="0.25">
      <c r="A1852" t="s">
        <v>1890</v>
      </c>
      <c r="B1852" s="1">
        <v>45377</v>
      </c>
      <c r="C1852" t="s">
        <v>12</v>
      </c>
      <c r="D1852" t="s">
        <v>13</v>
      </c>
      <c r="E1852">
        <v>1500</v>
      </c>
      <c r="F1852" t="s">
        <v>14</v>
      </c>
      <c r="G1852" t="s">
        <v>28</v>
      </c>
      <c r="H1852" t="s">
        <v>16</v>
      </c>
      <c r="I1852" t="s">
        <v>17</v>
      </c>
      <c r="J1852" t="s">
        <v>55</v>
      </c>
      <c r="K1852">
        <v>0</v>
      </c>
      <c r="L185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852">
        <f>GhanaStream[[#This Row],[Subscription Fee]]-(GhanaStream[[#This Row],[Discount]]*GhanaStream[[#This Row],[Subscription Fee]])</f>
        <v>1500</v>
      </c>
      <c r="N1852" t="str">
        <f>IF(GhanaStream[[#This Row],[Churn Flag]]="Yes","Churned","Retained")</f>
        <v>Churned</v>
      </c>
    </row>
    <row r="1853" spans="1:14" x14ac:dyDescent="0.25">
      <c r="A1853" t="s">
        <v>1891</v>
      </c>
      <c r="B1853" s="1">
        <v>45125</v>
      </c>
      <c r="C1853" t="s">
        <v>31</v>
      </c>
      <c r="D1853" t="s">
        <v>13</v>
      </c>
      <c r="E1853">
        <v>1000</v>
      </c>
      <c r="F1853" t="s">
        <v>21</v>
      </c>
      <c r="G1853" t="s">
        <v>28</v>
      </c>
      <c r="H1853" t="s">
        <v>16</v>
      </c>
      <c r="I1853" t="s">
        <v>17</v>
      </c>
      <c r="J1853" t="s">
        <v>18</v>
      </c>
      <c r="K1853">
        <v>0</v>
      </c>
      <c r="L185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853">
        <f>GhanaStream[[#This Row],[Subscription Fee]]-(GhanaStream[[#This Row],[Discount]]*GhanaStream[[#This Row],[Subscription Fee]])</f>
        <v>1000</v>
      </c>
      <c r="N1853" t="str">
        <f>IF(GhanaStream[[#This Row],[Churn Flag]]="Yes","Churned","Retained")</f>
        <v>Churned</v>
      </c>
    </row>
    <row r="1854" spans="1:14" x14ac:dyDescent="0.25">
      <c r="A1854" t="s">
        <v>1892</v>
      </c>
      <c r="B1854" s="1">
        <v>45123</v>
      </c>
      <c r="C1854" t="s">
        <v>12</v>
      </c>
      <c r="D1854" t="s">
        <v>13</v>
      </c>
      <c r="E1854">
        <v>1500</v>
      </c>
      <c r="F1854" t="s">
        <v>49</v>
      </c>
      <c r="G1854" t="s">
        <v>24</v>
      </c>
      <c r="H1854" t="s">
        <v>33</v>
      </c>
      <c r="I1854" t="s">
        <v>34</v>
      </c>
      <c r="J1854" t="s">
        <v>50</v>
      </c>
      <c r="K1854">
        <v>0</v>
      </c>
      <c r="L185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854">
        <f>GhanaStream[[#This Row],[Subscription Fee]]-(GhanaStream[[#This Row],[Discount]]*GhanaStream[[#This Row],[Subscription Fee]])</f>
        <v>1500</v>
      </c>
      <c r="N1854" t="str">
        <f>IF(GhanaStream[[#This Row],[Churn Flag]]="Yes","Churned","Retained")</f>
        <v>Retained</v>
      </c>
    </row>
    <row r="1855" spans="1:14" x14ac:dyDescent="0.25">
      <c r="A1855" t="s">
        <v>1893</v>
      </c>
      <c r="B1855" s="1">
        <v>45148</v>
      </c>
      <c r="C1855" t="s">
        <v>20</v>
      </c>
      <c r="D1855" t="s">
        <v>27</v>
      </c>
      <c r="E1855">
        <v>5400</v>
      </c>
      <c r="F1855" t="s">
        <v>14</v>
      </c>
      <c r="G1855" t="s">
        <v>24</v>
      </c>
      <c r="H1855" t="s">
        <v>33</v>
      </c>
      <c r="I1855" t="s">
        <v>34</v>
      </c>
      <c r="J1855" t="s">
        <v>55</v>
      </c>
      <c r="K1855">
        <v>0.1</v>
      </c>
      <c r="L185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855">
        <f>GhanaStream[[#This Row],[Subscription Fee]]-(GhanaStream[[#This Row],[Discount]]*GhanaStream[[#This Row],[Subscription Fee]])</f>
        <v>4860</v>
      </c>
      <c r="N1855" t="str">
        <f>IF(GhanaStream[[#This Row],[Churn Flag]]="Yes","Churned","Retained")</f>
        <v>Retained</v>
      </c>
    </row>
    <row r="1856" spans="1:14" x14ac:dyDescent="0.25">
      <c r="A1856" t="s">
        <v>1894</v>
      </c>
      <c r="B1856" s="1">
        <v>45108</v>
      </c>
      <c r="C1856" t="s">
        <v>12</v>
      </c>
      <c r="D1856" t="s">
        <v>27</v>
      </c>
      <c r="E1856">
        <v>16200</v>
      </c>
      <c r="F1856" t="s">
        <v>49</v>
      </c>
      <c r="G1856" t="s">
        <v>15</v>
      </c>
      <c r="H1856" t="s">
        <v>33</v>
      </c>
      <c r="I1856" t="s">
        <v>34</v>
      </c>
      <c r="J1856" t="s">
        <v>58</v>
      </c>
      <c r="K1856">
        <v>0.1</v>
      </c>
      <c r="L185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856">
        <f>GhanaStream[[#This Row],[Subscription Fee]]-(GhanaStream[[#This Row],[Discount]]*GhanaStream[[#This Row],[Subscription Fee]])</f>
        <v>14580</v>
      </c>
      <c r="N1856" t="str">
        <f>IF(GhanaStream[[#This Row],[Churn Flag]]="Yes","Churned","Retained")</f>
        <v>Retained</v>
      </c>
    </row>
    <row r="1857" spans="1:14" x14ac:dyDescent="0.25">
      <c r="A1857" t="s">
        <v>1895</v>
      </c>
      <c r="B1857" s="1">
        <v>45020</v>
      </c>
      <c r="C1857" t="s">
        <v>12</v>
      </c>
      <c r="D1857" t="s">
        <v>27</v>
      </c>
      <c r="E1857">
        <v>16200</v>
      </c>
      <c r="F1857" t="s">
        <v>32</v>
      </c>
      <c r="G1857" t="s">
        <v>15</v>
      </c>
      <c r="H1857" t="s">
        <v>33</v>
      </c>
      <c r="I1857" t="s">
        <v>34</v>
      </c>
      <c r="J1857" t="s">
        <v>39</v>
      </c>
      <c r="K1857">
        <v>0.1</v>
      </c>
      <c r="L185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857">
        <f>GhanaStream[[#This Row],[Subscription Fee]]-(GhanaStream[[#This Row],[Discount]]*GhanaStream[[#This Row],[Subscription Fee]])</f>
        <v>14580</v>
      </c>
      <c r="N1857" t="str">
        <f>IF(GhanaStream[[#This Row],[Churn Flag]]="Yes","Churned","Retained")</f>
        <v>Retained</v>
      </c>
    </row>
    <row r="1858" spans="1:14" x14ac:dyDescent="0.25">
      <c r="A1858" t="s">
        <v>1896</v>
      </c>
      <c r="B1858" s="1">
        <v>44960</v>
      </c>
      <c r="C1858" t="s">
        <v>20</v>
      </c>
      <c r="D1858" t="s">
        <v>13</v>
      </c>
      <c r="E1858">
        <v>500</v>
      </c>
      <c r="F1858" t="s">
        <v>21</v>
      </c>
      <c r="G1858" t="s">
        <v>24</v>
      </c>
      <c r="H1858" t="s">
        <v>33</v>
      </c>
      <c r="I1858" t="s">
        <v>34</v>
      </c>
      <c r="J1858" t="s">
        <v>18</v>
      </c>
      <c r="K1858">
        <v>0</v>
      </c>
      <c r="L185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858">
        <f>GhanaStream[[#This Row],[Subscription Fee]]-(GhanaStream[[#This Row],[Discount]]*GhanaStream[[#This Row],[Subscription Fee]])</f>
        <v>500</v>
      </c>
      <c r="N1858" t="str">
        <f>IF(GhanaStream[[#This Row],[Churn Flag]]="Yes","Churned","Retained")</f>
        <v>Retained</v>
      </c>
    </row>
    <row r="1859" spans="1:14" x14ac:dyDescent="0.25">
      <c r="A1859" t="s">
        <v>1897</v>
      </c>
      <c r="B1859" s="1">
        <v>45348</v>
      </c>
      <c r="C1859" t="s">
        <v>12</v>
      </c>
      <c r="D1859" t="s">
        <v>13</v>
      </c>
      <c r="E1859">
        <v>1500</v>
      </c>
      <c r="F1859" t="s">
        <v>14</v>
      </c>
      <c r="G1859" t="s">
        <v>24</v>
      </c>
      <c r="H1859" t="s">
        <v>16</v>
      </c>
      <c r="I1859" t="s">
        <v>17</v>
      </c>
      <c r="J1859" t="s">
        <v>55</v>
      </c>
      <c r="K1859">
        <v>0</v>
      </c>
      <c r="L185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859">
        <f>GhanaStream[[#This Row],[Subscription Fee]]-(GhanaStream[[#This Row],[Discount]]*GhanaStream[[#This Row],[Subscription Fee]])</f>
        <v>1500</v>
      </c>
      <c r="N1859" t="str">
        <f>IF(GhanaStream[[#This Row],[Churn Flag]]="Yes","Churned","Retained")</f>
        <v>Churned</v>
      </c>
    </row>
    <row r="1860" spans="1:14" x14ac:dyDescent="0.25">
      <c r="A1860" t="s">
        <v>1898</v>
      </c>
      <c r="B1860" s="1">
        <v>45056</v>
      </c>
      <c r="C1860" t="s">
        <v>20</v>
      </c>
      <c r="D1860" t="s">
        <v>13</v>
      </c>
      <c r="E1860">
        <v>500</v>
      </c>
      <c r="F1860" t="s">
        <v>32</v>
      </c>
      <c r="G1860" t="s">
        <v>15</v>
      </c>
      <c r="H1860" t="s">
        <v>16</v>
      </c>
      <c r="I1860" t="s">
        <v>17</v>
      </c>
      <c r="J1860" t="s">
        <v>25</v>
      </c>
      <c r="K1860">
        <v>0</v>
      </c>
      <c r="L186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860">
        <f>GhanaStream[[#This Row],[Subscription Fee]]-(GhanaStream[[#This Row],[Discount]]*GhanaStream[[#This Row],[Subscription Fee]])</f>
        <v>500</v>
      </c>
      <c r="N1860" t="str">
        <f>IF(GhanaStream[[#This Row],[Churn Flag]]="Yes","Churned","Retained")</f>
        <v>Churned</v>
      </c>
    </row>
    <row r="1861" spans="1:14" x14ac:dyDescent="0.25">
      <c r="A1861" t="s">
        <v>1899</v>
      </c>
      <c r="B1861" s="1">
        <v>45595</v>
      </c>
      <c r="C1861" t="s">
        <v>20</v>
      </c>
      <c r="D1861" t="s">
        <v>13</v>
      </c>
      <c r="E1861">
        <v>500</v>
      </c>
      <c r="F1861" t="s">
        <v>32</v>
      </c>
      <c r="G1861" t="s">
        <v>28</v>
      </c>
      <c r="H1861" t="s">
        <v>33</v>
      </c>
      <c r="I1861" t="s">
        <v>34</v>
      </c>
      <c r="J1861" t="s">
        <v>25</v>
      </c>
      <c r="K1861">
        <v>0</v>
      </c>
      <c r="L186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861">
        <f>GhanaStream[[#This Row],[Subscription Fee]]-(GhanaStream[[#This Row],[Discount]]*GhanaStream[[#This Row],[Subscription Fee]])</f>
        <v>500</v>
      </c>
      <c r="N1861" t="str">
        <f>IF(GhanaStream[[#This Row],[Churn Flag]]="Yes","Churned","Retained")</f>
        <v>Retained</v>
      </c>
    </row>
    <row r="1862" spans="1:14" x14ac:dyDescent="0.25">
      <c r="A1862" t="s">
        <v>1900</v>
      </c>
      <c r="B1862" s="1">
        <v>44937</v>
      </c>
      <c r="C1862" t="s">
        <v>20</v>
      </c>
      <c r="D1862" t="s">
        <v>27</v>
      </c>
      <c r="E1862">
        <v>5400</v>
      </c>
      <c r="F1862" t="s">
        <v>49</v>
      </c>
      <c r="G1862" t="s">
        <v>24</v>
      </c>
      <c r="H1862" t="s">
        <v>16</v>
      </c>
      <c r="I1862" t="s">
        <v>17</v>
      </c>
      <c r="J1862" t="s">
        <v>50</v>
      </c>
      <c r="K1862">
        <v>0.1</v>
      </c>
      <c r="L186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862">
        <f>GhanaStream[[#This Row],[Subscription Fee]]-(GhanaStream[[#This Row],[Discount]]*GhanaStream[[#This Row],[Subscription Fee]])</f>
        <v>4860</v>
      </c>
      <c r="N1862" t="str">
        <f>IF(GhanaStream[[#This Row],[Churn Flag]]="Yes","Churned","Retained")</f>
        <v>Churned</v>
      </c>
    </row>
    <row r="1863" spans="1:14" x14ac:dyDescent="0.25">
      <c r="A1863" t="s">
        <v>1901</v>
      </c>
      <c r="B1863" s="1">
        <v>45033</v>
      </c>
      <c r="C1863" t="s">
        <v>20</v>
      </c>
      <c r="D1863" t="s">
        <v>27</v>
      </c>
      <c r="E1863">
        <v>5400</v>
      </c>
      <c r="F1863" t="s">
        <v>32</v>
      </c>
      <c r="G1863" t="s">
        <v>28</v>
      </c>
      <c r="H1863" t="s">
        <v>16</v>
      </c>
      <c r="I1863" t="s">
        <v>17</v>
      </c>
      <c r="J1863" t="s">
        <v>25</v>
      </c>
      <c r="K1863">
        <v>0.1</v>
      </c>
      <c r="L186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863">
        <f>GhanaStream[[#This Row],[Subscription Fee]]-(GhanaStream[[#This Row],[Discount]]*GhanaStream[[#This Row],[Subscription Fee]])</f>
        <v>4860</v>
      </c>
      <c r="N1863" t="str">
        <f>IF(GhanaStream[[#This Row],[Churn Flag]]="Yes","Churned","Retained")</f>
        <v>Churned</v>
      </c>
    </row>
    <row r="1864" spans="1:14" x14ac:dyDescent="0.25">
      <c r="A1864" t="s">
        <v>1902</v>
      </c>
      <c r="B1864" s="1">
        <v>45270</v>
      </c>
      <c r="C1864" t="s">
        <v>12</v>
      </c>
      <c r="D1864" t="s">
        <v>13</v>
      </c>
      <c r="E1864">
        <v>1500</v>
      </c>
      <c r="F1864" t="s">
        <v>21</v>
      </c>
      <c r="G1864" t="s">
        <v>24</v>
      </c>
      <c r="H1864" t="s">
        <v>16</v>
      </c>
      <c r="I1864" t="s">
        <v>17</v>
      </c>
      <c r="J1864" t="s">
        <v>25</v>
      </c>
      <c r="K1864">
        <v>0</v>
      </c>
      <c r="L186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864">
        <f>GhanaStream[[#This Row],[Subscription Fee]]-(GhanaStream[[#This Row],[Discount]]*GhanaStream[[#This Row],[Subscription Fee]])</f>
        <v>1500</v>
      </c>
      <c r="N1864" t="str">
        <f>IF(GhanaStream[[#This Row],[Churn Flag]]="Yes","Churned","Retained")</f>
        <v>Churned</v>
      </c>
    </row>
    <row r="1865" spans="1:14" x14ac:dyDescent="0.25">
      <c r="A1865" t="s">
        <v>1903</v>
      </c>
      <c r="B1865" s="1">
        <v>45646</v>
      </c>
      <c r="C1865" t="s">
        <v>12</v>
      </c>
      <c r="D1865" t="s">
        <v>13</v>
      </c>
      <c r="E1865">
        <v>1500</v>
      </c>
      <c r="F1865" t="s">
        <v>14</v>
      </c>
      <c r="G1865" t="s">
        <v>28</v>
      </c>
      <c r="H1865" t="s">
        <v>33</v>
      </c>
      <c r="I1865" t="s">
        <v>34</v>
      </c>
      <c r="J1865" t="s">
        <v>37</v>
      </c>
      <c r="K1865">
        <v>0</v>
      </c>
      <c r="L186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865">
        <f>GhanaStream[[#This Row],[Subscription Fee]]-(GhanaStream[[#This Row],[Discount]]*GhanaStream[[#This Row],[Subscription Fee]])</f>
        <v>1500</v>
      </c>
      <c r="N1865" t="str">
        <f>IF(GhanaStream[[#This Row],[Churn Flag]]="Yes","Churned","Retained")</f>
        <v>Retained</v>
      </c>
    </row>
    <row r="1866" spans="1:14" x14ac:dyDescent="0.25">
      <c r="A1866" t="s">
        <v>1904</v>
      </c>
      <c r="B1866" s="1">
        <v>45333</v>
      </c>
      <c r="C1866" t="s">
        <v>31</v>
      </c>
      <c r="D1866" t="s">
        <v>13</v>
      </c>
      <c r="E1866">
        <v>1000</v>
      </c>
      <c r="F1866" t="s">
        <v>32</v>
      </c>
      <c r="G1866" t="s">
        <v>28</v>
      </c>
      <c r="H1866" t="s">
        <v>16</v>
      </c>
      <c r="I1866" t="s">
        <v>17</v>
      </c>
      <c r="J1866" t="s">
        <v>66</v>
      </c>
      <c r="K1866">
        <v>0</v>
      </c>
      <c r="L186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866">
        <f>GhanaStream[[#This Row],[Subscription Fee]]-(GhanaStream[[#This Row],[Discount]]*GhanaStream[[#This Row],[Subscription Fee]])</f>
        <v>1000</v>
      </c>
      <c r="N1866" t="str">
        <f>IF(GhanaStream[[#This Row],[Churn Flag]]="Yes","Churned","Retained")</f>
        <v>Churned</v>
      </c>
    </row>
    <row r="1867" spans="1:14" x14ac:dyDescent="0.25">
      <c r="A1867" t="s">
        <v>1905</v>
      </c>
      <c r="B1867" s="1">
        <v>45358</v>
      </c>
      <c r="C1867" t="s">
        <v>20</v>
      </c>
      <c r="D1867" t="s">
        <v>13</v>
      </c>
      <c r="E1867">
        <v>500</v>
      </c>
      <c r="F1867" t="s">
        <v>49</v>
      </c>
      <c r="G1867" t="s">
        <v>15</v>
      </c>
      <c r="H1867" t="s">
        <v>33</v>
      </c>
      <c r="I1867" t="s">
        <v>34</v>
      </c>
      <c r="J1867" t="s">
        <v>25</v>
      </c>
      <c r="K1867">
        <v>0</v>
      </c>
      <c r="L186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867">
        <f>GhanaStream[[#This Row],[Subscription Fee]]-(GhanaStream[[#This Row],[Discount]]*GhanaStream[[#This Row],[Subscription Fee]])</f>
        <v>500</v>
      </c>
      <c r="N1867" t="str">
        <f>IF(GhanaStream[[#This Row],[Churn Flag]]="Yes","Churned","Retained")</f>
        <v>Retained</v>
      </c>
    </row>
    <row r="1868" spans="1:14" x14ac:dyDescent="0.25">
      <c r="A1868" t="s">
        <v>1906</v>
      </c>
      <c r="B1868" s="1">
        <v>45325</v>
      </c>
      <c r="C1868" t="s">
        <v>20</v>
      </c>
      <c r="D1868" t="s">
        <v>27</v>
      </c>
      <c r="E1868">
        <v>5400</v>
      </c>
      <c r="F1868" t="s">
        <v>14</v>
      </c>
      <c r="G1868" t="s">
        <v>28</v>
      </c>
      <c r="H1868" t="s">
        <v>16</v>
      </c>
      <c r="I1868" t="s">
        <v>17</v>
      </c>
      <c r="J1868" t="s">
        <v>41</v>
      </c>
      <c r="K1868">
        <v>0.1</v>
      </c>
      <c r="L186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868">
        <f>GhanaStream[[#This Row],[Subscription Fee]]-(GhanaStream[[#This Row],[Discount]]*GhanaStream[[#This Row],[Subscription Fee]])</f>
        <v>4860</v>
      </c>
      <c r="N1868" t="str">
        <f>IF(GhanaStream[[#This Row],[Churn Flag]]="Yes","Churned","Retained")</f>
        <v>Churned</v>
      </c>
    </row>
    <row r="1869" spans="1:14" x14ac:dyDescent="0.25">
      <c r="A1869" t="s">
        <v>1907</v>
      </c>
      <c r="B1869" s="1">
        <v>45172</v>
      </c>
      <c r="C1869" t="s">
        <v>20</v>
      </c>
      <c r="D1869" t="s">
        <v>27</v>
      </c>
      <c r="E1869">
        <v>5400</v>
      </c>
      <c r="F1869" t="s">
        <v>14</v>
      </c>
      <c r="G1869" t="s">
        <v>28</v>
      </c>
      <c r="H1869" t="s">
        <v>33</v>
      </c>
      <c r="I1869" t="s">
        <v>34</v>
      </c>
      <c r="J1869" t="s">
        <v>22</v>
      </c>
      <c r="K1869">
        <v>0.1</v>
      </c>
      <c r="L186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869">
        <f>GhanaStream[[#This Row],[Subscription Fee]]-(GhanaStream[[#This Row],[Discount]]*GhanaStream[[#This Row],[Subscription Fee]])</f>
        <v>4860</v>
      </c>
      <c r="N1869" t="str">
        <f>IF(GhanaStream[[#This Row],[Churn Flag]]="Yes","Churned","Retained")</f>
        <v>Retained</v>
      </c>
    </row>
    <row r="1870" spans="1:14" x14ac:dyDescent="0.25">
      <c r="A1870" t="s">
        <v>1908</v>
      </c>
      <c r="B1870" s="1">
        <v>45009</v>
      </c>
      <c r="C1870" t="s">
        <v>20</v>
      </c>
      <c r="D1870" t="s">
        <v>13</v>
      </c>
      <c r="E1870">
        <v>500</v>
      </c>
      <c r="F1870" t="s">
        <v>32</v>
      </c>
      <c r="G1870" t="s">
        <v>28</v>
      </c>
      <c r="H1870" t="s">
        <v>33</v>
      </c>
      <c r="I1870" t="s">
        <v>34</v>
      </c>
      <c r="J1870" t="s">
        <v>66</v>
      </c>
      <c r="K1870">
        <v>0</v>
      </c>
      <c r="L187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870">
        <f>GhanaStream[[#This Row],[Subscription Fee]]-(GhanaStream[[#This Row],[Discount]]*GhanaStream[[#This Row],[Subscription Fee]])</f>
        <v>500</v>
      </c>
      <c r="N1870" t="str">
        <f>IF(GhanaStream[[#This Row],[Churn Flag]]="Yes","Churned","Retained")</f>
        <v>Retained</v>
      </c>
    </row>
    <row r="1871" spans="1:14" x14ac:dyDescent="0.25">
      <c r="A1871" t="s">
        <v>1909</v>
      </c>
      <c r="B1871" s="1">
        <v>45461</v>
      </c>
      <c r="C1871" t="s">
        <v>20</v>
      </c>
      <c r="D1871" t="s">
        <v>27</v>
      </c>
      <c r="E1871">
        <v>5400</v>
      </c>
      <c r="F1871" t="s">
        <v>49</v>
      </c>
      <c r="G1871" t="s">
        <v>28</v>
      </c>
      <c r="H1871" t="s">
        <v>16</v>
      </c>
      <c r="I1871" t="s">
        <v>17</v>
      </c>
      <c r="J1871" t="s">
        <v>22</v>
      </c>
      <c r="K1871">
        <v>0.1</v>
      </c>
      <c r="L187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871">
        <f>GhanaStream[[#This Row],[Subscription Fee]]-(GhanaStream[[#This Row],[Discount]]*GhanaStream[[#This Row],[Subscription Fee]])</f>
        <v>4860</v>
      </c>
      <c r="N1871" t="str">
        <f>IF(GhanaStream[[#This Row],[Churn Flag]]="Yes","Churned","Retained")</f>
        <v>Churned</v>
      </c>
    </row>
    <row r="1872" spans="1:14" x14ac:dyDescent="0.25">
      <c r="A1872" t="s">
        <v>1910</v>
      </c>
      <c r="B1872" s="1">
        <v>45503</v>
      </c>
      <c r="C1872" t="s">
        <v>12</v>
      </c>
      <c r="D1872" t="s">
        <v>27</v>
      </c>
      <c r="E1872">
        <v>16200</v>
      </c>
      <c r="F1872" t="s">
        <v>49</v>
      </c>
      <c r="G1872" t="s">
        <v>28</v>
      </c>
      <c r="H1872" t="s">
        <v>16</v>
      </c>
      <c r="I1872" t="s">
        <v>17</v>
      </c>
      <c r="J1872" t="s">
        <v>18</v>
      </c>
      <c r="K1872">
        <v>0.1</v>
      </c>
      <c r="L187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872">
        <f>GhanaStream[[#This Row],[Subscription Fee]]-(GhanaStream[[#This Row],[Discount]]*GhanaStream[[#This Row],[Subscription Fee]])</f>
        <v>14580</v>
      </c>
      <c r="N1872" t="str">
        <f>IF(GhanaStream[[#This Row],[Churn Flag]]="Yes","Churned","Retained")</f>
        <v>Churned</v>
      </c>
    </row>
    <row r="1873" spans="1:14" x14ac:dyDescent="0.25">
      <c r="A1873" t="s">
        <v>1911</v>
      </c>
      <c r="B1873" s="1">
        <v>45247</v>
      </c>
      <c r="C1873" t="s">
        <v>12</v>
      </c>
      <c r="D1873" t="s">
        <v>13</v>
      </c>
      <c r="E1873">
        <v>1500</v>
      </c>
      <c r="F1873" t="s">
        <v>32</v>
      </c>
      <c r="G1873" t="s">
        <v>24</v>
      </c>
      <c r="H1873" t="s">
        <v>33</v>
      </c>
      <c r="I1873" t="s">
        <v>34</v>
      </c>
      <c r="J1873" t="s">
        <v>66</v>
      </c>
      <c r="K1873">
        <v>0</v>
      </c>
      <c r="L187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873">
        <f>GhanaStream[[#This Row],[Subscription Fee]]-(GhanaStream[[#This Row],[Discount]]*GhanaStream[[#This Row],[Subscription Fee]])</f>
        <v>1500</v>
      </c>
      <c r="N1873" t="str">
        <f>IF(GhanaStream[[#This Row],[Churn Flag]]="Yes","Churned","Retained")</f>
        <v>Retained</v>
      </c>
    </row>
    <row r="1874" spans="1:14" x14ac:dyDescent="0.25">
      <c r="A1874" t="s">
        <v>1912</v>
      </c>
      <c r="B1874" s="1">
        <v>45567</v>
      </c>
      <c r="C1874" t="s">
        <v>31</v>
      </c>
      <c r="D1874" t="s">
        <v>13</v>
      </c>
      <c r="E1874">
        <v>1000</v>
      </c>
      <c r="F1874" t="s">
        <v>32</v>
      </c>
      <c r="G1874" t="s">
        <v>28</v>
      </c>
      <c r="H1874" t="s">
        <v>33</v>
      </c>
      <c r="I1874" t="s">
        <v>34</v>
      </c>
      <c r="J1874" t="s">
        <v>25</v>
      </c>
      <c r="K1874">
        <v>0</v>
      </c>
      <c r="L187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874">
        <f>GhanaStream[[#This Row],[Subscription Fee]]-(GhanaStream[[#This Row],[Discount]]*GhanaStream[[#This Row],[Subscription Fee]])</f>
        <v>1000</v>
      </c>
      <c r="N1874" t="str">
        <f>IF(GhanaStream[[#This Row],[Churn Flag]]="Yes","Churned","Retained")</f>
        <v>Retained</v>
      </c>
    </row>
    <row r="1875" spans="1:14" x14ac:dyDescent="0.25">
      <c r="A1875" t="s">
        <v>1913</v>
      </c>
      <c r="B1875" s="1">
        <v>45346</v>
      </c>
      <c r="C1875" t="s">
        <v>12</v>
      </c>
      <c r="D1875" t="s">
        <v>27</v>
      </c>
      <c r="E1875">
        <v>16200</v>
      </c>
      <c r="F1875" t="s">
        <v>32</v>
      </c>
      <c r="G1875" t="s">
        <v>28</v>
      </c>
      <c r="H1875" t="s">
        <v>16</v>
      </c>
      <c r="I1875" t="s">
        <v>17</v>
      </c>
      <c r="J1875" t="s">
        <v>25</v>
      </c>
      <c r="K1875">
        <v>0.1</v>
      </c>
      <c r="L187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875">
        <f>GhanaStream[[#This Row],[Subscription Fee]]-(GhanaStream[[#This Row],[Discount]]*GhanaStream[[#This Row],[Subscription Fee]])</f>
        <v>14580</v>
      </c>
      <c r="N1875" t="str">
        <f>IF(GhanaStream[[#This Row],[Churn Flag]]="Yes","Churned","Retained")</f>
        <v>Churned</v>
      </c>
    </row>
    <row r="1876" spans="1:14" x14ac:dyDescent="0.25">
      <c r="A1876" t="s">
        <v>1914</v>
      </c>
      <c r="B1876" s="1">
        <v>45243</v>
      </c>
      <c r="C1876" t="s">
        <v>20</v>
      </c>
      <c r="D1876" t="s">
        <v>27</v>
      </c>
      <c r="E1876">
        <v>5400</v>
      </c>
      <c r="F1876" t="s">
        <v>32</v>
      </c>
      <c r="G1876" t="s">
        <v>28</v>
      </c>
      <c r="H1876" t="s">
        <v>33</v>
      </c>
      <c r="I1876" t="s">
        <v>34</v>
      </c>
      <c r="J1876" t="s">
        <v>66</v>
      </c>
      <c r="K1876">
        <v>0.1</v>
      </c>
      <c r="L187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876">
        <f>GhanaStream[[#This Row],[Subscription Fee]]-(GhanaStream[[#This Row],[Discount]]*GhanaStream[[#This Row],[Subscription Fee]])</f>
        <v>4860</v>
      </c>
      <c r="N1876" t="str">
        <f>IF(GhanaStream[[#This Row],[Churn Flag]]="Yes","Churned","Retained")</f>
        <v>Retained</v>
      </c>
    </row>
    <row r="1877" spans="1:14" x14ac:dyDescent="0.25">
      <c r="A1877" t="s">
        <v>1915</v>
      </c>
      <c r="B1877" s="1">
        <v>45405</v>
      </c>
      <c r="C1877" t="s">
        <v>12</v>
      </c>
      <c r="D1877" t="s">
        <v>13</v>
      </c>
      <c r="E1877">
        <v>1500</v>
      </c>
      <c r="F1877" t="s">
        <v>14</v>
      </c>
      <c r="G1877" t="s">
        <v>15</v>
      </c>
      <c r="H1877" t="s">
        <v>16</v>
      </c>
      <c r="I1877" t="s">
        <v>17</v>
      </c>
      <c r="J1877" t="s">
        <v>37</v>
      </c>
      <c r="K1877">
        <v>0</v>
      </c>
      <c r="L187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877">
        <f>GhanaStream[[#This Row],[Subscription Fee]]-(GhanaStream[[#This Row],[Discount]]*GhanaStream[[#This Row],[Subscription Fee]])</f>
        <v>1500</v>
      </c>
      <c r="N1877" t="str">
        <f>IF(GhanaStream[[#This Row],[Churn Flag]]="Yes","Churned","Retained")</f>
        <v>Churned</v>
      </c>
    </row>
    <row r="1878" spans="1:14" x14ac:dyDescent="0.25">
      <c r="A1878" t="s">
        <v>1916</v>
      </c>
      <c r="B1878" s="1">
        <v>45559</v>
      </c>
      <c r="C1878" t="s">
        <v>31</v>
      </c>
      <c r="D1878" t="s">
        <v>27</v>
      </c>
      <c r="E1878">
        <v>10800</v>
      </c>
      <c r="F1878" t="s">
        <v>21</v>
      </c>
      <c r="G1878" t="s">
        <v>15</v>
      </c>
      <c r="H1878" t="s">
        <v>33</v>
      </c>
      <c r="I1878" t="s">
        <v>34</v>
      </c>
      <c r="J1878" t="s">
        <v>29</v>
      </c>
      <c r="K1878">
        <v>0.1</v>
      </c>
      <c r="L187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878">
        <f>GhanaStream[[#This Row],[Subscription Fee]]-(GhanaStream[[#This Row],[Discount]]*GhanaStream[[#This Row],[Subscription Fee]])</f>
        <v>9720</v>
      </c>
      <c r="N1878" t="str">
        <f>IF(GhanaStream[[#This Row],[Churn Flag]]="Yes","Churned","Retained")</f>
        <v>Retained</v>
      </c>
    </row>
    <row r="1879" spans="1:14" x14ac:dyDescent="0.25">
      <c r="A1879" t="s">
        <v>1917</v>
      </c>
      <c r="B1879" s="1">
        <v>44991</v>
      </c>
      <c r="C1879" t="s">
        <v>12</v>
      </c>
      <c r="D1879" t="s">
        <v>13</v>
      </c>
      <c r="E1879">
        <v>1500</v>
      </c>
      <c r="F1879" t="s">
        <v>14</v>
      </c>
      <c r="G1879" t="s">
        <v>15</v>
      </c>
      <c r="H1879" t="s">
        <v>16</v>
      </c>
      <c r="I1879" t="s">
        <v>17</v>
      </c>
      <c r="J1879" t="s">
        <v>37</v>
      </c>
      <c r="K1879">
        <v>0</v>
      </c>
      <c r="L187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879">
        <f>GhanaStream[[#This Row],[Subscription Fee]]-(GhanaStream[[#This Row],[Discount]]*GhanaStream[[#This Row],[Subscription Fee]])</f>
        <v>1500</v>
      </c>
      <c r="N1879" t="str">
        <f>IF(GhanaStream[[#This Row],[Churn Flag]]="Yes","Churned","Retained")</f>
        <v>Churned</v>
      </c>
    </row>
    <row r="1880" spans="1:14" x14ac:dyDescent="0.25">
      <c r="A1880" t="s">
        <v>1918</v>
      </c>
      <c r="B1880" s="1">
        <v>45143</v>
      </c>
      <c r="C1880" t="s">
        <v>12</v>
      </c>
      <c r="D1880" t="s">
        <v>27</v>
      </c>
      <c r="E1880">
        <v>16200</v>
      </c>
      <c r="F1880" t="s">
        <v>14</v>
      </c>
      <c r="G1880" t="s">
        <v>15</v>
      </c>
      <c r="H1880" t="s">
        <v>16</v>
      </c>
      <c r="I1880" t="s">
        <v>17</v>
      </c>
      <c r="J1880" t="s">
        <v>55</v>
      </c>
      <c r="K1880">
        <v>0.1</v>
      </c>
      <c r="L188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880">
        <f>GhanaStream[[#This Row],[Subscription Fee]]-(GhanaStream[[#This Row],[Discount]]*GhanaStream[[#This Row],[Subscription Fee]])</f>
        <v>14580</v>
      </c>
      <c r="N1880" t="str">
        <f>IF(GhanaStream[[#This Row],[Churn Flag]]="Yes","Churned","Retained")</f>
        <v>Churned</v>
      </c>
    </row>
    <row r="1881" spans="1:14" x14ac:dyDescent="0.25">
      <c r="A1881" t="s">
        <v>1919</v>
      </c>
      <c r="B1881" s="1">
        <v>45010</v>
      </c>
      <c r="C1881" t="s">
        <v>20</v>
      </c>
      <c r="D1881" t="s">
        <v>13</v>
      </c>
      <c r="E1881">
        <v>500</v>
      </c>
      <c r="F1881" t="s">
        <v>21</v>
      </c>
      <c r="G1881" t="s">
        <v>24</v>
      </c>
      <c r="H1881" t="s">
        <v>33</v>
      </c>
      <c r="I1881" t="s">
        <v>34</v>
      </c>
      <c r="J1881" t="s">
        <v>25</v>
      </c>
      <c r="K1881">
        <v>0</v>
      </c>
      <c r="L188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881">
        <f>GhanaStream[[#This Row],[Subscription Fee]]-(GhanaStream[[#This Row],[Discount]]*GhanaStream[[#This Row],[Subscription Fee]])</f>
        <v>500</v>
      </c>
      <c r="N1881" t="str">
        <f>IF(GhanaStream[[#This Row],[Churn Flag]]="Yes","Churned","Retained")</f>
        <v>Retained</v>
      </c>
    </row>
    <row r="1882" spans="1:14" x14ac:dyDescent="0.25">
      <c r="A1882" t="s">
        <v>1920</v>
      </c>
      <c r="B1882" s="1">
        <v>45165</v>
      </c>
      <c r="C1882" t="s">
        <v>20</v>
      </c>
      <c r="D1882" t="s">
        <v>27</v>
      </c>
      <c r="E1882">
        <v>5400</v>
      </c>
      <c r="F1882" t="s">
        <v>14</v>
      </c>
      <c r="G1882" t="s">
        <v>15</v>
      </c>
      <c r="H1882" t="s">
        <v>33</v>
      </c>
      <c r="I1882" t="s">
        <v>34</v>
      </c>
      <c r="J1882" t="s">
        <v>22</v>
      </c>
      <c r="K1882">
        <v>0.1</v>
      </c>
      <c r="L188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882">
        <f>GhanaStream[[#This Row],[Subscription Fee]]-(GhanaStream[[#This Row],[Discount]]*GhanaStream[[#This Row],[Subscription Fee]])</f>
        <v>4860</v>
      </c>
      <c r="N1882" t="str">
        <f>IF(GhanaStream[[#This Row],[Churn Flag]]="Yes","Churned","Retained")</f>
        <v>Retained</v>
      </c>
    </row>
    <row r="1883" spans="1:14" x14ac:dyDescent="0.25">
      <c r="A1883" t="s">
        <v>1921</v>
      </c>
      <c r="B1883" s="1">
        <v>45228</v>
      </c>
      <c r="C1883" t="s">
        <v>31</v>
      </c>
      <c r="D1883" t="s">
        <v>27</v>
      </c>
      <c r="E1883">
        <v>10800</v>
      </c>
      <c r="F1883" t="s">
        <v>14</v>
      </c>
      <c r="G1883" t="s">
        <v>28</v>
      </c>
      <c r="H1883" t="s">
        <v>33</v>
      </c>
      <c r="I1883" t="s">
        <v>34</v>
      </c>
      <c r="J1883" t="s">
        <v>22</v>
      </c>
      <c r="K1883">
        <v>0.1</v>
      </c>
      <c r="L188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883">
        <f>GhanaStream[[#This Row],[Subscription Fee]]-(GhanaStream[[#This Row],[Discount]]*GhanaStream[[#This Row],[Subscription Fee]])</f>
        <v>9720</v>
      </c>
      <c r="N1883" t="str">
        <f>IF(GhanaStream[[#This Row],[Churn Flag]]="Yes","Churned","Retained")</f>
        <v>Retained</v>
      </c>
    </row>
    <row r="1884" spans="1:14" x14ac:dyDescent="0.25">
      <c r="A1884" t="s">
        <v>1922</v>
      </c>
      <c r="B1884" s="1">
        <v>45039</v>
      </c>
      <c r="C1884" t="s">
        <v>12</v>
      </c>
      <c r="D1884" t="s">
        <v>27</v>
      </c>
      <c r="E1884">
        <v>16200</v>
      </c>
      <c r="F1884" t="s">
        <v>32</v>
      </c>
      <c r="G1884" t="s">
        <v>24</v>
      </c>
      <c r="H1884" t="s">
        <v>33</v>
      </c>
      <c r="I1884" t="s">
        <v>34</v>
      </c>
      <c r="J1884" t="s">
        <v>44</v>
      </c>
      <c r="K1884">
        <v>0.1</v>
      </c>
      <c r="L188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884">
        <f>GhanaStream[[#This Row],[Subscription Fee]]-(GhanaStream[[#This Row],[Discount]]*GhanaStream[[#This Row],[Subscription Fee]])</f>
        <v>14580</v>
      </c>
      <c r="N1884" t="str">
        <f>IF(GhanaStream[[#This Row],[Churn Flag]]="Yes","Churned","Retained")</f>
        <v>Retained</v>
      </c>
    </row>
    <row r="1885" spans="1:14" x14ac:dyDescent="0.25">
      <c r="A1885" t="s">
        <v>1923</v>
      </c>
      <c r="B1885" s="1">
        <v>45387</v>
      </c>
      <c r="C1885" t="s">
        <v>31</v>
      </c>
      <c r="D1885" t="s">
        <v>27</v>
      </c>
      <c r="E1885">
        <v>10800</v>
      </c>
      <c r="F1885" t="s">
        <v>32</v>
      </c>
      <c r="G1885" t="s">
        <v>15</v>
      </c>
      <c r="H1885" t="s">
        <v>16</v>
      </c>
      <c r="I1885" t="s">
        <v>17</v>
      </c>
      <c r="J1885" t="s">
        <v>25</v>
      </c>
      <c r="K1885">
        <v>0.1</v>
      </c>
      <c r="L188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885">
        <f>GhanaStream[[#This Row],[Subscription Fee]]-(GhanaStream[[#This Row],[Discount]]*GhanaStream[[#This Row],[Subscription Fee]])</f>
        <v>9720</v>
      </c>
      <c r="N1885" t="str">
        <f>IF(GhanaStream[[#This Row],[Churn Flag]]="Yes","Churned","Retained")</f>
        <v>Churned</v>
      </c>
    </row>
    <row r="1886" spans="1:14" x14ac:dyDescent="0.25">
      <c r="A1886" t="s">
        <v>1924</v>
      </c>
      <c r="B1886" s="1">
        <v>45299</v>
      </c>
      <c r="C1886" t="s">
        <v>12</v>
      </c>
      <c r="D1886" t="s">
        <v>13</v>
      </c>
      <c r="E1886">
        <v>1500</v>
      </c>
      <c r="F1886" t="s">
        <v>21</v>
      </c>
      <c r="G1886" t="s">
        <v>28</v>
      </c>
      <c r="H1886" t="s">
        <v>16</v>
      </c>
      <c r="I1886" t="s">
        <v>17</v>
      </c>
      <c r="J1886" t="s">
        <v>29</v>
      </c>
      <c r="K1886">
        <v>0</v>
      </c>
      <c r="L188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886">
        <f>GhanaStream[[#This Row],[Subscription Fee]]-(GhanaStream[[#This Row],[Discount]]*GhanaStream[[#This Row],[Subscription Fee]])</f>
        <v>1500</v>
      </c>
      <c r="N1886" t="str">
        <f>IF(GhanaStream[[#This Row],[Churn Flag]]="Yes","Churned","Retained")</f>
        <v>Churned</v>
      </c>
    </row>
    <row r="1887" spans="1:14" x14ac:dyDescent="0.25">
      <c r="A1887" t="s">
        <v>1925</v>
      </c>
      <c r="B1887" s="1">
        <v>45434</v>
      </c>
      <c r="C1887" t="s">
        <v>20</v>
      </c>
      <c r="D1887" t="s">
        <v>13</v>
      </c>
      <c r="E1887">
        <v>500</v>
      </c>
      <c r="F1887" t="s">
        <v>32</v>
      </c>
      <c r="G1887" t="s">
        <v>28</v>
      </c>
      <c r="H1887" t="s">
        <v>33</v>
      </c>
      <c r="I1887" t="s">
        <v>34</v>
      </c>
      <c r="J1887" t="s">
        <v>66</v>
      </c>
      <c r="K1887">
        <v>0</v>
      </c>
      <c r="L188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887">
        <f>GhanaStream[[#This Row],[Subscription Fee]]-(GhanaStream[[#This Row],[Discount]]*GhanaStream[[#This Row],[Subscription Fee]])</f>
        <v>500</v>
      </c>
      <c r="N1887" t="str">
        <f>IF(GhanaStream[[#This Row],[Churn Flag]]="Yes","Churned","Retained")</f>
        <v>Retained</v>
      </c>
    </row>
    <row r="1888" spans="1:14" x14ac:dyDescent="0.25">
      <c r="A1888" t="s">
        <v>1926</v>
      </c>
      <c r="B1888" s="1">
        <v>45231</v>
      </c>
      <c r="C1888" t="s">
        <v>12</v>
      </c>
      <c r="D1888" t="s">
        <v>13</v>
      </c>
      <c r="E1888">
        <v>1500</v>
      </c>
      <c r="F1888" t="s">
        <v>21</v>
      </c>
      <c r="G1888" t="s">
        <v>15</v>
      </c>
      <c r="H1888" t="s">
        <v>33</v>
      </c>
      <c r="I1888" t="s">
        <v>34</v>
      </c>
      <c r="J1888" t="s">
        <v>18</v>
      </c>
      <c r="K1888">
        <v>0</v>
      </c>
      <c r="L188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888">
        <f>GhanaStream[[#This Row],[Subscription Fee]]-(GhanaStream[[#This Row],[Discount]]*GhanaStream[[#This Row],[Subscription Fee]])</f>
        <v>1500</v>
      </c>
      <c r="N1888" t="str">
        <f>IF(GhanaStream[[#This Row],[Churn Flag]]="Yes","Churned","Retained")</f>
        <v>Retained</v>
      </c>
    </row>
    <row r="1889" spans="1:14" x14ac:dyDescent="0.25">
      <c r="A1889" t="s">
        <v>1927</v>
      </c>
      <c r="B1889" s="1">
        <v>45560</v>
      </c>
      <c r="C1889" t="s">
        <v>20</v>
      </c>
      <c r="D1889" t="s">
        <v>27</v>
      </c>
      <c r="E1889">
        <v>5400</v>
      </c>
      <c r="F1889" t="s">
        <v>21</v>
      </c>
      <c r="G1889" t="s">
        <v>24</v>
      </c>
      <c r="H1889" t="s">
        <v>33</v>
      </c>
      <c r="I1889" t="s">
        <v>34</v>
      </c>
      <c r="J1889" t="s">
        <v>29</v>
      </c>
      <c r="K1889">
        <v>0.1</v>
      </c>
      <c r="L188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889">
        <f>GhanaStream[[#This Row],[Subscription Fee]]-(GhanaStream[[#This Row],[Discount]]*GhanaStream[[#This Row],[Subscription Fee]])</f>
        <v>4860</v>
      </c>
      <c r="N1889" t="str">
        <f>IF(GhanaStream[[#This Row],[Churn Flag]]="Yes","Churned","Retained")</f>
        <v>Retained</v>
      </c>
    </row>
    <row r="1890" spans="1:14" x14ac:dyDescent="0.25">
      <c r="A1890" t="s">
        <v>1928</v>
      </c>
      <c r="B1890" s="1">
        <v>45004</v>
      </c>
      <c r="C1890" t="s">
        <v>12</v>
      </c>
      <c r="D1890" t="s">
        <v>27</v>
      </c>
      <c r="E1890">
        <v>16200</v>
      </c>
      <c r="F1890" t="s">
        <v>14</v>
      </c>
      <c r="G1890" t="s">
        <v>15</v>
      </c>
      <c r="H1890" t="s">
        <v>33</v>
      </c>
      <c r="I1890" t="s">
        <v>34</v>
      </c>
      <c r="J1890" t="s">
        <v>55</v>
      </c>
      <c r="K1890">
        <v>0.1</v>
      </c>
      <c r="L189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890">
        <f>GhanaStream[[#This Row],[Subscription Fee]]-(GhanaStream[[#This Row],[Discount]]*GhanaStream[[#This Row],[Subscription Fee]])</f>
        <v>14580</v>
      </c>
      <c r="N1890" t="str">
        <f>IF(GhanaStream[[#This Row],[Churn Flag]]="Yes","Churned","Retained")</f>
        <v>Retained</v>
      </c>
    </row>
    <row r="1891" spans="1:14" x14ac:dyDescent="0.25">
      <c r="A1891" t="s">
        <v>1929</v>
      </c>
      <c r="B1891" s="1">
        <v>45168</v>
      </c>
      <c r="C1891" t="s">
        <v>20</v>
      </c>
      <c r="D1891" t="s">
        <v>13</v>
      </c>
      <c r="E1891">
        <v>500</v>
      </c>
      <c r="F1891" t="s">
        <v>14</v>
      </c>
      <c r="G1891" t="s">
        <v>28</v>
      </c>
      <c r="H1891" t="s">
        <v>33</v>
      </c>
      <c r="I1891" t="s">
        <v>34</v>
      </c>
      <c r="J1891" t="s">
        <v>55</v>
      </c>
      <c r="K1891">
        <v>0</v>
      </c>
      <c r="L189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891">
        <f>GhanaStream[[#This Row],[Subscription Fee]]-(GhanaStream[[#This Row],[Discount]]*GhanaStream[[#This Row],[Subscription Fee]])</f>
        <v>500</v>
      </c>
      <c r="N1891" t="str">
        <f>IF(GhanaStream[[#This Row],[Churn Flag]]="Yes","Churned","Retained")</f>
        <v>Retained</v>
      </c>
    </row>
    <row r="1892" spans="1:14" x14ac:dyDescent="0.25">
      <c r="A1892" t="s">
        <v>1930</v>
      </c>
      <c r="B1892" s="1">
        <v>45069</v>
      </c>
      <c r="C1892" t="s">
        <v>20</v>
      </c>
      <c r="D1892" t="s">
        <v>27</v>
      </c>
      <c r="E1892">
        <v>5400</v>
      </c>
      <c r="F1892" t="s">
        <v>49</v>
      </c>
      <c r="G1892" t="s">
        <v>24</v>
      </c>
      <c r="H1892" t="s">
        <v>33</v>
      </c>
      <c r="I1892" t="s">
        <v>34</v>
      </c>
      <c r="J1892" t="s">
        <v>58</v>
      </c>
      <c r="K1892">
        <v>0.1</v>
      </c>
      <c r="L189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892">
        <f>GhanaStream[[#This Row],[Subscription Fee]]-(GhanaStream[[#This Row],[Discount]]*GhanaStream[[#This Row],[Subscription Fee]])</f>
        <v>4860</v>
      </c>
      <c r="N1892" t="str">
        <f>IF(GhanaStream[[#This Row],[Churn Flag]]="Yes","Churned","Retained")</f>
        <v>Retained</v>
      </c>
    </row>
    <row r="1893" spans="1:14" x14ac:dyDescent="0.25">
      <c r="A1893" t="s">
        <v>1931</v>
      </c>
      <c r="B1893" s="1">
        <v>45344</v>
      </c>
      <c r="C1893" t="s">
        <v>20</v>
      </c>
      <c r="D1893" t="s">
        <v>27</v>
      </c>
      <c r="E1893">
        <v>5400</v>
      </c>
      <c r="F1893" t="s">
        <v>14</v>
      </c>
      <c r="G1893" t="s">
        <v>28</v>
      </c>
      <c r="H1893" t="s">
        <v>33</v>
      </c>
      <c r="I1893" t="s">
        <v>34</v>
      </c>
      <c r="J1893" t="s">
        <v>55</v>
      </c>
      <c r="K1893">
        <v>0.1</v>
      </c>
      <c r="L189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893">
        <f>GhanaStream[[#This Row],[Subscription Fee]]-(GhanaStream[[#This Row],[Discount]]*GhanaStream[[#This Row],[Subscription Fee]])</f>
        <v>4860</v>
      </c>
      <c r="N1893" t="str">
        <f>IF(GhanaStream[[#This Row],[Churn Flag]]="Yes","Churned","Retained")</f>
        <v>Retained</v>
      </c>
    </row>
    <row r="1894" spans="1:14" x14ac:dyDescent="0.25">
      <c r="A1894" t="s">
        <v>1932</v>
      </c>
      <c r="B1894" s="1">
        <v>45630</v>
      </c>
      <c r="C1894" t="s">
        <v>12</v>
      </c>
      <c r="D1894" t="s">
        <v>27</v>
      </c>
      <c r="E1894">
        <v>16200</v>
      </c>
      <c r="F1894" t="s">
        <v>32</v>
      </c>
      <c r="G1894" t="s">
        <v>24</v>
      </c>
      <c r="H1894" t="s">
        <v>16</v>
      </c>
      <c r="I1894" t="s">
        <v>17</v>
      </c>
      <c r="J1894" t="s">
        <v>66</v>
      </c>
      <c r="K1894">
        <v>0.1</v>
      </c>
      <c r="L189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894">
        <f>GhanaStream[[#This Row],[Subscription Fee]]-(GhanaStream[[#This Row],[Discount]]*GhanaStream[[#This Row],[Subscription Fee]])</f>
        <v>14580</v>
      </c>
      <c r="N1894" t="str">
        <f>IF(GhanaStream[[#This Row],[Churn Flag]]="Yes","Churned","Retained")</f>
        <v>Churned</v>
      </c>
    </row>
    <row r="1895" spans="1:14" x14ac:dyDescent="0.25">
      <c r="A1895" t="s">
        <v>1933</v>
      </c>
      <c r="B1895" s="1">
        <v>45121</v>
      </c>
      <c r="C1895" t="s">
        <v>31</v>
      </c>
      <c r="D1895" t="s">
        <v>13</v>
      </c>
      <c r="E1895">
        <v>1000</v>
      </c>
      <c r="F1895" t="s">
        <v>49</v>
      </c>
      <c r="G1895" t="s">
        <v>15</v>
      </c>
      <c r="H1895" t="s">
        <v>33</v>
      </c>
      <c r="I1895" t="s">
        <v>34</v>
      </c>
      <c r="J1895" t="s">
        <v>18</v>
      </c>
      <c r="K1895">
        <v>0</v>
      </c>
      <c r="L189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895">
        <f>GhanaStream[[#This Row],[Subscription Fee]]-(GhanaStream[[#This Row],[Discount]]*GhanaStream[[#This Row],[Subscription Fee]])</f>
        <v>1000</v>
      </c>
      <c r="N1895" t="str">
        <f>IF(GhanaStream[[#This Row],[Churn Flag]]="Yes","Churned","Retained")</f>
        <v>Retained</v>
      </c>
    </row>
    <row r="1896" spans="1:14" x14ac:dyDescent="0.25">
      <c r="A1896" t="s">
        <v>1934</v>
      </c>
      <c r="B1896" s="1">
        <v>45073</v>
      </c>
      <c r="C1896" t="s">
        <v>12</v>
      </c>
      <c r="D1896" t="s">
        <v>13</v>
      </c>
      <c r="E1896">
        <v>1500</v>
      </c>
      <c r="F1896" t="s">
        <v>32</v>
      </c>
      <c r="G1896" t="s">
        <v>15</v>
      </c>
      <c r="H1896" t="s">
        <v>16</v>
      </c>
      <c r="I1896" t="s">
        <v>17</v>
      </c>
      <c r="J1896" t="s">
        <v>35</v>
      </c>
      <c r="K1896">
        <v>0</v>
      </c>
      <c r="L189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896">
        <f>GhanaStream[[#This Row],[Subscription Fee]]-(GhanaStream[[#This Row],[Discount]]*GhanaStream[[#This Row],[Subscription Fee]])</f>
        <v>1500</v>
      </c>
      <c r="N1896" t="str">
        <f>IF(GhanaStream[[#This Row],[Churn Flag]]="Yes","Churned","Retained")</f>
        <v>Churned</v>
      </c>
    </row>
    <row r="1897" spans="1:14" x14ac:dyDescent="0.25">
      <c r="A1897" t="s">
        <v>1935</v>
      </c>
      <c r="B1897" s="1">
        <v>45439</v>
      </c>
      <c r="C1897" t="s">
        <v>20</v>
      </c>
      <c r="D1897" t="s">
        <v>13</v>
      </c>
      <c r="E1897">
        <v>500</v>
      </c>
      <c r="F1897" t="s">
        <v>32</v>
      </c>
      <c r="G1897" t="s">
        <v>28</v>
      </c>
      <c r="H1897" t="s">
        <v>33</v>
      </c>
      <c r="I1897" t="s">
        <v>34</v>
      </c>
      <c r="J1897" t="s">
        <v>39</v>
      </c>
      <c r="K1897">
        <v>0</v>
      </c>
      <c r="L189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897">
        <f>GhanaStream[[#This Row],[Subscription Fee]]-(GhanaStream[[#This Row],[Discount]]*GhanaStream[[#This Row],[Subscription Fee]])</f>
        <v>500</v>
      </c>
      <c r="N1897" t="str">
        <f>IF(GhanaStream[[#This Row],[Churn Flag]]="Yes","Churned","Retained")</f>
        <v>Retained</v>
      </c>
    </row>
    <row r="1898" spans="1:14" x14ac:dyDescent="0.25">
      <c r="A1898" t="s">
        <v>1936</v>
      </c>
      <c r="B1898" s="1">
        <v>45104</v>
      </c>
      <c r="C1898" t="s">
        <v>12</v>
      </c>
      <c r="D1898" t="s">
        <v>13</v>
      </c>
      <c r="E1898">
        <v>1500</v>
      </c>
      <c r="F1898" t="s">
        <v>49</v>
      </c>
      <c r="G1898" t="s">
        <v>15</v>
      </c>
      <c r="H1898" t="s">
        <v>16</v>
      </c>
      <c r="I1898" t="s">
        <v>17</v>
      </c>
      <c r="J1898" t="s">
        <v>50</v>
      </c>
      <c r="K1898">
        <v>0</v>
      </c>
      <c r="L189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898">
        <f>GhanaStream[[#This Row],[Subscription Fee]]-(GhanaStream[[#This Row],[Discount]]*GhanaStream[[#This Row],[Subscription Fee]])</f>
        <v>1500</v>
      </c>
      <c r="N1898" t="str">
        <f>IF(GhanaStream[[#This Row],[Churn Flag]]="Yes","Churned","Retained")</f>
        <v>Churned</v>
      </c>
    </row>
    <row r="1899" spans="1:14" x14ac:dyDescent="0.25">
      <c r="A1899" t="s">
        <v>1937</v>
      </c>
      <c r="B1899" s="1">
        <v>45547</v>
      </c>
      <c r="C1899" t="s">
        <v>20</v>
      </c>
      <c r="D1899" t="s">
        <v>27</v>
      </c>
      <c r="E1899">
        <v>5400</v>
      </c>
      <c r="F1899" t="s">
        <v>32</v>
      </c>
      <c r="G1899" t="s">
        <v>28</v>
      </c>
      <c r="H1899" t="s">
        <v>16</v>
      </c>
      <c r="I1899" t="s">
        <v>17</v>
      </c>
      <c r="J1899" t="s">
        <v>44</v>
      </c>
      <c r="K1899">
        <v>0.1</v>
      </c>
      <c r="L189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899">
        <f>GhanaStream[[#This Row],[Subscription Fee]]-(GhanaStream[[#This Row],[Discount]]*GhanaStream[[#This Row],[Subscription Fee]])</f>
        <v>4860</v>
      </c>
      <c r="N1899" t="str">
        <f>IF(GhanaStream[[#This Row],[Churn Flag]]="Yes","Churned","Retained")</f>
        <v>Churned</v>
      </c>
    </row>
    <row r="1900" spans="1:14" x14ac:dyDescent="0.25">
      <c r="A1900" t="s">
        <v>1938</v>
      </c>
      <c r="B1900" s="1">
        <v>45603</v>
      </c>
      <c r="C1900" t="s">
        <v>12</v>
      </c>
      <c r="D1900" t="s">
        <v>27</v>
      </c>
      <c r="E1900">
        <v>16200</v>
      </c>
      <c r="F1900" t="s">
        <v>49</v>
      </c>
      <c r="G1900" t="s">
        <v>15</v>
      </c>
      <c r="H1900" t="s">
        <v>33</v>
      </c>
      <c r="I1900" t="s">
        <v>34</v>
      </c>
      <c r="J1900" t="s">
        <v>25</v>
      </c>
      <c r="K1900">
        <v>0.1</v>
      </c>
      <c r="L190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900">
        <f>GhanaStream[[#This Row],[Subscription Fee]]-(GhanaStream[[#This Row],[Discount]]*GhanaStream[[#This Row],[Subscription Fee]])</f>
        <v>14580</v>
      </c>
      <c r="N1900" t="str">
        <f>IF(GhanaStream[[#This Row],[Churn Flag]]="Yes","Churned","Retained")</f>
        <v>Retained</v>
      </c>
    </row>
    <row r="1901" spans="1:14" x14ac:dyDescent="0.25">
      <c r="A1901" t="s">
        <v>1939</v>
      </c>
      <c r="B1901" s="1">
        <v>45143</v>
      </c>
      <c r="C1901" t="s">
        <v>20</v>
      </c>
      <c r="D1901" t="s">
        <v>27</v>
      </c>
      <c r="E1901">
        <v>5400</v>
      </c>
      <c r="F1901" t="s">
        <v>32</v>
      </c>
      <c r="G1901" t="s">
        <v>15</v>
      </c>
      <c r="H1901" t="s">
        <v>16</v>
      </c>
      <c r="I1901" t="s">
        <v>17</v>
      </c>
      <c r="J1901" t="s">
        <v>44</v>
      </c>
      <c r="K1901">
        <v>0.1</v>
      </c>
      <c r="L190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901">
        <f>GhanaStream[[#This Row],[Subscription Fee]]-(GhanaStream[[#This Row],[Discount]]*GhanaStream[[#This Row],[Subscription Fee]])</f>
        <v>4860</v>
      </c>
      <c r="N1901" t="str">
        <f>IF(GhanaStream[[#This Row],[Churn Flag]]="Yes","Churned","Retained")</f>
        <v>Churned</v>
      </c>
    </row>
    <row r="1902" spans="1:14" x14ac:dyDescent="0.25">
      <c r="A1902" t="s">
        <v>1940</v>
      </c>
      <c r="B1902" s="1">
        <v>45249</v>
      </c>
      <c r="C1902" t="s">
        <v>20</v>
      </c>
      <c r="D1902" t="s">
        <v>27</v>
      </c>
      <c r="E1902">
        <v>5400</v>
      </c>
      <c r="F1902" t="s">
        <v>32</v>
      </c>
      <c r="G1902" t="s">
        <v>28</v>
      </c>
      <c r="H1902" t="s">
        <v>33</v>
      </c>
      <c r="I1902" t="s">
        <v>34</v>
      </c>
      <c r="J1902" t="s">
        <v>66</v>
      </c>
      <c r="K1902">
        <v>0.1</v>
      </c>
      <c r="L190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902">
        <f>GhanaStream[[#This Row],[Subscription Fee]]-(GhanaStream[[#This Row],[Discount]]*GhanaStream[[#This Row],[Subscription Fee]])</f>
        <v>4860</v>
      </c>
      <c r="N1902" t="str">
        <f>IF(GhanaStream[[#This Row],[Churn Flag]]="Yes","Churned","Retained")</f>
        <v>Retained</v>
      </c>
    </row>
    <row r="1903" spans="1:14" x14ac:dyDescent="0.25">
      <c r="A1903" t="s">
        <v>1941</v>
      </c>
      <c r="B1903" s="1">
        <v>45521</v>
      </c>
      <c r="C1903" t="s">
        <v>12</v>
      </c>
      <c r="D1903" t="s">
        <v>27</v>
      </c>
      <c r="E1903">
        <v>16200</v>
      </c>
      <c r="F1903" t="s">
        <v>32</v>
      </c>
      <c r="G1903" t="s">
        <v>15</v>
      </c>
      <c r="H1903" t="s">
        <v>16</v>
      </c>
      <c r="I1903" t="s">
        <v>17</v>
      </c>
      <c r="J1903" t="s">
        <v>35</v>
      </c>
      <c r="K1903">
        <v>0.1</v>
      </c>
      <c r="L190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903">
        <f>GhanaStream[[#This Row],[Subscription Fee]]-(GhanaStream[[#This Row],[Discount]]*GhanaStream[[#This Row],[Subscription Fee]])</f>
        <v>14580</v>
      </c>
      <c r="N1903" t="str">
        <f>IF(GhanaStream[[#This Row],[Churn Flag]]="Yes","Churned","Retained")</f>
        <v>Churned</v>
      </c>
    </row>
    <row r="1904" spans="1:14" x14ac:dyDescent="0.25">
      <c r="A1904" t="s">
        <v>1942</v>
      </c>
      <c r="B1904" s="1">
        <v>45092</v>
      </c>
      <c r="C1904" t="s">
        <v>31</v>
      </c>
      <c r="D1904" t="s">
        <v>27</v>
      </c>
      <c r="E1904">
        <v>10800</v>
      </c>
      <c r="F1904" t="s">
        <v>32</v>
      </c>
      <c r="G1904" t="s">
        <v>24</v>
      </c>
      <c r="H1904" t="s">
        <v>33</v>
      </c>
      <c r="I1904" t="s">
        <v>34</v>
      </c>
      <c r="J1904" t="s">
        <v>39</v>
      </c>
      <c r="K1904">
        <v>0.1</v>
      </c>
      <c r="L190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904">
        <f>GhanaStream[[#This Row],[Subscription Fee]]-(GhanaStream[[#This Row],[Discount]]*GhanaStream[[#This Row],[Subscription Fee]])</f>
        <v>9720</v>
      </c>
      <c r="N1904" t="str">
        <f>IF(GhanaStream[[#This Row],[Churn Flag]]="Yes","Churned","Retained")</f>
        <v>Retained</v>
      </c>
    </row>
    <row r="1905" spans="1:14" x14ac:dyDescent="0.25">
      <c r="A1905" t="s">
        <v>1943</v>
      </c>
      <c r="B1905" s="1">
        <v>45600</v>
      </c>
      <c r="C1905" t="s">
        <v>12</v>
      </c>
      <c r="D1905" t="s">
        <v>27</v>
      </c>
      <c r="E1905">
        <v>16200</v>
      </c>
      <c r="F1905" t="s">
        <v>49</v>
      </c>
      <c r="G1905" t="s">
        <v>15</v>
      </c>
      <c r="H1905" t="s">
        <v>16</v>
      </c>
      <c r="I1905" t="s">
        <v>17</v>
      </c>
      <c r="J1905" t="s">
        <v>50</v>
      </c>
      <c r="K1905">
        <v>0.1</v>
      </c>
      <c r="L190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905">
        <f>GhanaStream[[#This Row],[Subscription Fee]]-(GhanaStream[[#This Row],[Discount]]*GhanaStream[[#This Row],[Subscription Fee]])</f>
        <v>14580</v>
      </c>
      <c r="N1905" t="str">
        <f>IF(GhanaStream[[#This Row],[Churn Flag]]="Yes","Churned","Retained")</f>
        <v>Churned</v>
      </c>
    </row>
    <row r="1906" spans="1:14" x14ac:dyDescent="0.25">
      <c r="A1906" t="s">
        <v>1944</v>
      </c>
      <c r="B1906" s="1">
        <v>45359</v>
      </c>
      <c r="C1906" t="s">
        <v>31</v>
      </c>
      <c r="D1906" t="s">
        <v>27</v>
      </c>
      <c r="E1906">
        <v>10800</v>
      </c>
      <c r="F1906" t="s">
        <v>14</v>
      </c>
      <c r="G1906" t="s">
        <v>15</v>
      </c>
      <c r="H1906" t="s">
        <v>16</v>
      </c>
      <c r="I1906" t="s">
        <v>17</v>
      </c>
      <c r="J1906" t="s">
        <v>22</v>
      </c>
      <c r="K1906">
        <v>0.1</v>
      </c>
      <c r="L190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906">
        <f>GhanaStream[[#This Row],[Subscription Fee]]-(GhanaStream[[#This Row],[Discount]]*GhanaStream[[#This Row],[Subscription Fee]])</f>
        <v>9720</v>
      </c>
      <c r="N1906" t="str">
        <f>IF(GhanaStream[[#This Row],[Churn Flag]]="Yes","Churned","Retained")</f>
        <v>Churned</v>
      </c>
    </row>
    <row r="1907" spans="1:14" x14ac:dyDescent="0.25">
      <c r="A1907" t="s">
        <v>1945</v>
      </c>
      <c r="B1907" s="1">
        <v>45504</v>
      </c>
      <c r="C1907" t="s">
        <v>20</v>
      </c>
      <c r="D1907" t="s">
        <v>13</v>
      </c>
      <c r="E1907">
        <v>500</v>
      </c>
      <c r="F1907" t="s">
        <v>49</v>
      </c>
      <c r="G1907" t="s">
        <v>28</v>
      </c>
      <c r="H1907" t="s">
        <v>33</v>
      </c>
      <c r="I1907" t="s">
        <v>34</v>
      </c>
      <c r="J1907" t="s">
        <v>25</v>
      </c>
      <c r="K1907">
        <v>0</v>
      </c>
      <c r="L190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907">
        <f>GhanaStream[[#This Row],[Subscription Fee]]-(GhanaStream[[#This Row],[Discount]]*GhanaStream[[#This Row],[Subscription Fee]])</f>
        <v>500</v>
      </c>
      <c r="N1907" t="str">
        <f>IF(GhanaStream[[#This Row],[Churn Flag]]="Yes","Churned","Retained")</f>
        <v>Retained</v>
      </c>
    </row>
    <row r="1908" spans="1:14" x14ac:dyDescent="0.25">
      <c r="A1908" t="s">
        <v>1946</v>
      </c>
      <c r="B1908" s="1">
        <v>44948</v>
      </c>
      <c r="C1908" t="s">
        <v>12</v>
      </c>
      <c r="D1908" t="s">
        <v>27</v>
      </c>
      <c r="E1908">
        <v>16200</v>
      </c>
      <c r="F1908" t="s">
        <v>14</v>
      </c>
      <c r="G1908" t="s">
        <v>15</v>
      </c>
      <c r="H1908" t="s">
        <v>16</v>
      </c>
      <c r="I1908" t="s">
        <v>17</v>
      </c>
      <c r="J1908" t="s">
        <v>22</v>
      </c>
      <c r="K1908">
        <v>0.1</v>
      </c>
      <c r="L190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908">
        <f>GhanaStream[[#This Row],[Subscription Fee]]-(GhanaStream[[#This Row],[Discount]]*GhanaStream[[#This Row],[Subscription Fee]])</f>
        <v>14580</v>
      </c>
      <c r="N1908" t="str">
        <f>IF(GhanaStream[[#This Row],[Churn Flag]]="Yes","Churned","Retained")</f>
        <v>Churned</v>
      </c>
    </row>
    <row r="1909" spans="1:14" x14ac:dyDescent="0.25">
      <c r="A1909" t="s">
        <v>1947</v>
      </c>
      <c r="B1909" s="1">
        <v>45526</v>
      </c>
      <c r="C1909" t="s">
        <v>31</v>
      </c>
      <c r="D1909" t="s">
        <v>27</v>
      </c>
      <c r="E1909">
        <v>10800</v>
      </c>
      <c r="F1909" t="s">
        <v>49</v>
      </c>
      <c r="G1909" t="s">
        <v>24</v>
      </c>
      <c r="H1909" t="s">
        <v>16</v>
      </c>
      <c r="I1909" t="s">
        <v>17</v>
      </c>
      <c r="J1909" t="s">
        <v>58</v>
      </c>
      <c r="K1909">
        <v>0.1</v>
      </c>
      <c r="L190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909">
        <f>GhanaStream[[#This Row],[Subscription Fee]]-(GhanaStream[[#This Row],[Discount]]*GhanaStream[[#This Row],[Subscription Fee]])</f>
        <v>9720</v>
      </c>
      <c r="N1909" t="str">
        <f>IF(GhanaStream[[#This Row],[Churn Flag]]="Yes","Churned","Retained")</f>
        <v>Churned</v>
      </c>
    </row>
    <row r="1910" spans="1:14" x14ac:dyDescent="0.25">
      <c r="A1910" t="s">
        <v>1948</v>
      </c>
      <c r="B1910" s="1">
        <v>45140</v>
      </c>
      <c r="C1910" t="s">
        <v>12</v>
      </c>
      <c r="D1910" t="s">
        <v>13</v>
      </c>
      <c r="E1910">
        <v>1500</v>
      </c>
      <c r="F1910" t="s">
        <v>32</v>
      </c>
      <c r="G1910" t="s">
        <v>15</v>
      </c>
      <c r="H1910" t="s">
        <v>16</v>
      </c>
      <c r="I1910" t="s">
        <v>17</v>
      </c>
      <c r="J1910" t="s">
        <v>44</v>
      </c>
      <c r="K1910">
        <v>0</v>
      </c>
      <c r="L191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910">
        <f>GhanaStream[[#This Row],[Subscription Fee]]-(GhanaStream[[#This Row],[Discount]]*GhanaStream[[#This Row],[Subscription Fee]])</f>
        <v>1500</v>
      </c>
      <c r="N1910" t="str">
        <f>IF(GhanaStream[[#This Row],[Churn Flag]]="Yes","Churned","Retained")</f>
        <v>Churned</v>
      </c>
    </row>
    <row r="1911" spans="1:14" x14ac:dyDescent="0.25">
      <c r="A1911" t="s">
        <v>1949</v>
      </c>
      <c r="B1911" s="1">
        <v>45640</v>
      </c>
      <c r="C1911" t="s">
        <v>31</v>
      </c>
      <c r="D1911" t="s">
        <v>13</v>
      </c>
      <c r="E1911">
        <v>1000</v>
      </c>
      <c r="F1911" t="s">
        <v>49</v>
      </c>
      <c r="G1911" t="s">
        <v>28</v>
      </c>
      <c r="H1911" t="s">
        <v>16</v>
      </c>
      <c r="I1911" t="s">
        <v>17</v>
      </c>
      <c r="J1911" t="s">
        <v>18</v>
      </c>
      <c r="K1911">
        <v>0</v>
      </c>
      <c r="L191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911">
        <f>GhanaStream[[#This Row],[Subscription Fee]]-(GhanaStream[[#This Row],[Discount]]*GhanaStream[[#This Row],[Subscription Fee]])</f>
        <v>1000</v>
      </c>
      <c r="N1911" t="str">
        <f>IF(GhanaStream[[#This Row],[Churn Flag]]="Yes","Churned","Retained")</f>
        <v>Churned</v>
      </c>
    </row>
    <row r="1912" spans="1:14" x14ac:dyDescent="0.25">
      <c r="A1912" t="s">
        <v>1950</v>
      </c>
      <c r="B1912" s="1">
        <v>45335</v>
      </c>
      <c r="C1912" t="s">
        <v>12</v>
      </c>
      <c r="D1912" t="s">
        <v>27</v>
      </c>
      <c r="E1912">
        <v>16200</v>
      </c>
      <c r="F1912" t="s">
        <v>21</v>
      </c>
      <c r="G1912" t="s">
        <v>24</v>
      </c>
      <c r="H1912" t="s">
        <v>33</v>
      </c>
      <c r="I1912" t="s">
        <v>34</v>
      </c>
      <c r="J1912" t="s">
        <v>25</v>
      </c>
      <c r="K1912">
        <v>0.1</v>
      </c>
      <c r="L191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912">
        <f>GhanaStream[[#This Row],[Subscription Fee]]-(GhanaStream[[#This Row],[Discount]]*GhanaStream[[#This Row],[Subscription Fee]])</f>
        <v>14580</v>
      </c>
      <c r="N1912" t="str">
        <f>IF(GhanaStream[[#This Row],[Churn Flag]]="Yes","Churned","Retained")</f>
        <v>Retained</v>
      </c>
    </row>
    <row r="1913" spans="1:14" x14ac:dyDescent="0.25">
      <c r="A1913" t="s">
        <v>1951</v>
      </c>
      <c r="B1913" s="1">
        <v>45356</v>
      </c>
      <c r="C1913" t="s">
        <v>31</v>
      </c>
      <c r="D1913" t="s">
        <v>13</v>
      </c>
      <c r="E1913">
        <v>1000</v>
      </c>
      <c r="F1913" t="s">
        <v>49</v>
      </c>
      <c r="G1913" t="s">
        <v>15</v>
      </c>
      <c r="H1913" t="s">
        <v>16</v>
      </c>
      <c r="I1913" t="s">
        <v>17</v>
      </c>
      <c r="J1913" t="s">
        <v>35</v>
      </c>
      <c r="K1913">
        <v>0</v>
      </c>
      <c r="L191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913">
        <f>GhanaStream[[#This Row],[Subscription Fee]]-(GhanaStream[[#This Row],[Discount]]*GhanaStream[[#This Row],[Subscription Fee]])</f>
        <v>1000</v>
      </c>
      <c r="N1913" t="str">
        <f>IF(GhanaStream[[#This Row],[Churn Flag]]="Yes","Churned","Retained")</f>
        <v>Churned</v>
      </c>
    </row>
    <row r="1914" spans="1:14" x14ac:dyDescent="0.25">
      <c r="A1914" t="s">
        <v>1952</v>
      </c>
      <c r="B1914" s="1">
        <v>45396</v>
      </c>
      <c r="C1914" t="s">
        <v>12</v>
      </c>
      <c r="D1914" t="s">
        <v>27</v>
      </c>
      <c r="E1914">
        <v>16200</v>
      </c>
      <c r="F1914" t="s">
        <v>32</v>
      </c>
      <c r="G1914" t="s">
        <v>24</v>
      </c>
      <c r="H1914" t="s">
        <v>16</v>
      </c>
      <c r="I1914" t="s">
        <v>17</v>
      </c>
      <c r="J1914" t="s">
        <v>35</v>
      </c>
      <c r="K1914">
        <v>0.1</v>
      </c>
      <c r="L191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914">
        <f>GhanaStream[[#This Row],[Subscription Fee]]-(GhanaStream[[#This Row],[Discount]]*GhanaStream[[#This Row],[Subscription Fee]])</f>
        <v>14580</v>
      </c>
      <c r="N1914" t="str">
        <f>IF(GhanaStream[[#This Row],[Churn Flag]]="Yes","Churned","Retained")</f>
        <v>Churned</v>
      </c>
    </row>
    <row r="1915" spans="1:14" x14ac:dyDescent="0.25">
      <c r="A1915" t="s">
        <v>1953</v>
      </c>
      <c r="B1915" s="1">
        <v>45022</v>
      </c>
      <c r="C1915" t="s">
        <v>12</v>
      </c>
      <c r="D1915" t="s">
        <v>13</v>
      </c>
      <c r="E1915">
        <v>1500</v>
      </c>
      <c r="F1915" t="s">
        <v>21</v>
      </c>
      <c r="G1915" t="s">
        <v>28</v>
      </c>
      <c r="H1915" t="s">
        <v>16</v>
      </c>
      <c r="I1915" t="s">
        <v>17</v>
      </c>
      <c r="J1915" t="s">
        <v>29</v>
      </c>
      <c r="K1915">
        <v>0</v>
      </c>
      <c r="L191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915">
        <f>GhanaStream[[#This Row],[Subscription Fee]]-(GhanaStream[[#This Row],[Discount]]*GhanaStream[[#This Row],[Subscription Fee]])</f>
        <v>1500</v>
      </c>
      <c r="N1915" t="str">
        <f>IF(GhanaStream[[#This Row],[Churn Flag]]="Yes","Churned","Retained")</f>
        <v>Churned</v>
      </c>
    </row>
    <row r="1916" spans="1:14" x14ac:dyDescent="0.25">
      <c r="A1916" t="s">
        <v>1954</v>
      </c>
      <c r="B1916" s="1">
        <v>45261</v>
      </c>
      <c r="C1916" t="s">
        <v>20</v>
      </c>
      <c r="D1916" t="s">
        <v>27</v>
      </c>
      <c r="E1916">
        <v>5400</v>
      </c>
      <c r="F1916" t="s">
        <v>14</v>
      </c>
      <c r="G1916" t="s">
        <v>28</v>
      </c>
      <c r="H1916" t="s">
        <v>33</v>
      </c>
      <c r="I1916" t="s">
        <v>34</v>
      </c>
      <c r="J1916" t="s">
        <v>55</v>
      </c>
      <c r="K1916">
        <v>0.1</v>
      </c>
      <c r="L191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916">
        <f>GhanaStream[[#This Row],[Subscription Fee]]-(GhanaStream[[#This Row],[Discount]]*GhanaStream[[#This Row],[Subscription Fee]])</f>
        <v>4860</v>
      </c>
      <c r="N1916" t="str">
        <f>IF(GhanaStream[[#This Row],[Churn Flag]]="Yes","Churned","Retained")</f>
        <v>Retained</v>
      </c>
    </row>
    <row r="1917" spans="1:14" x14ac:dyDescent="0.25">
      <c r="A1917" t="s">
        <v>1955</v>
      </c>
      <c r="B1917" s="1">
        <v>45426</v>
      </c>
      <c r="C1917" t="s">
        <v>12</v>
      </c>
      <c r="D1917" t="s">
        <v>13</v>
      </c>
      <c r="E1917">
        <v>1500</v>
      </c>
      <c r="F1917" t="s">
        <v>21</v>
      </c>
      <c r="G1917" t="s">
        <v>24</v>
      </c>
      <c r="H1917" t="s">
        <v>16</v>
      </c>
      <c r="I1917" t="s">
        <v>17</v>
      </c>
      <c r="J1917" t="s">
        <v>18</v>
      </c>
      <c r="K1917">
        <v>0</v>
      </c>
      <c r="L191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917">
        <f>GhanaStream[[#This Row],[Subscription Fee]]-(GhanaStream[[#This Row],[Discount]]*GhanaStream[[#This Row],[Subscription Fee]])</f>
        <v>1500</v>
      </c>
      <c r="N1917" t="str">
        <f>IF(GhanaStream[[#This Row],[Churn Flag]]="Yes","Churned","Retained")</f>
        <v>Churned</v>
      </c>
    </row>
    <row r="1918" spans="1:14" x14ac:dyDescent="0.25">
      <c r="A1918" t="s">
        <v>1956</v>
      </c>
      <c r="B1918" s="1">
        <v>45466</v>
      </c>
      <c r="C1918" t="s">
        <v>20</v>
      </c>
      <c r="D1918" t="s">
        <v>27</v>
      </c>
      <c r="E1918">
        <v>5400</v>
      </c>
      <c r="F1918" t="s">
        <v>49</v>
      </c>
      <c r="G1918" t="s">
        <v>28</v>
      </c>
      <c r="H1918" t="s">
        <v>16</v>
      </c>
      <c r="I1918" t="s">
        <v>17</v>
      </c>
      <c r="J1918" t="s">
        <v>25</v>
      </c>
      <c r="K1918">
        <v>0.1</v>
      </c>
      <c r="L191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918">
        <f>GhanaStream[[#This Row],[Subscription Fee]]-(GhanaStream[[#This Row],[Discount]]*GhanaStream[[#This Row],[Subscription Fee]])</f>
        <v>4860</v>
      </c>
      <c r="N1918" t="str">
        <f>IF(GhanaStream[[#This Row],[Churn Flag]]="Yes","Churned","Retained")</f>
        <v>Churned</v>
      </c>
    </row>
    <row r="1919" spans="1:14" x14ac:dyDescent="0.25">
      <c r="A1919" t="s">
        <v>1957</v>
      </c>
      <c r="B1919" s="1">
        <v>45302</v>
      </c>
      <c r="C1919" t="s">
        <v>31</v>
      </c>
      <c r="D1919" t="s">
        <v>27</v>
      </c>
      <c r="E1919">
        <v>10800</v>
      </c>
      <c r="F1919" t="s">
        <v>14</v>
      </c>
      <c r="G1919" t="s">
        <v>24</v>
      </c>
      <c r="H1919" t="s">
        <v>16</v>
      </c>
      <c r="I1919" t="s">
        <v>17</v>
      </c>
      <c r="J1919" t="s">
        <v>37</v>
      </c>
      <c r="K1919">
        <v>0.1</v>
      </c>
      <c r="L191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919">
        <f>GhanaStream[[#This Row],[Subscription Fee]]-(GhanaStream[[#This Row],[Discount]]*GhanaStream[[#This Row],[Subscription Fee]])</f>
        <v>9720</v>
      </c>
      <c r="N1919" t="str">
        <f>IF(GhanaStream[[#This Row],[Churn Flag]]="Yes","Churned","Retained")</f>
        <v>Churned</v>
      </c>
    </row>
    <row r="1920" spans="1:14" x14ac:dyDescent="0.25">
      <c r="A1920" t="s">
        <v>1958</v>
      </c>
      <c r="B1920" s="1">
        <v>45423</v>
      </c>
      <c r="C1920" t="s">
        <v>31</v>
      </c>
      <c r="D1920" t="s">
        <v>27</v>
      </c>
      <c r="E1920">
        <v>10800</v>
      </c>
      <c r="F1920" t="s">
        <v>21</v>
      </c>
      <c r="G1920" t="s">
        <v>15</v>
      </c>
      <c r="H1920" t="s">
        <v>16</v>
      </c>
      <c r="I1920" t="s">
        <v>17</v>
      </c>
      <c r="J1920" t="s">
        <v>18</v>
      </c>
      <c r="K1920">
        <v>0.1</v>
      </c>
      <c r="L192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920">
        <f>GhanaStream[[#This Row],[Subscription Fee]]-(GhanaStream[[#This Row],[Discount]]*GhanaStream[[#This Row],[Subscription Fee]])</f>
        <v>9720</v>
      </c>
      <c r="N1920" t="str">
        <f>IF(GhanaStream[[#This Row],[Churn Flag]]="Yes","Churned","Retained")</f>
        <v>Churned</v>
      </c>
    </row>
    <row r="1921" spans="1:14" x14ac:dyDescent="0.25">
      <c r="A1921" t="s">
        <v>1959</v>
      </c>
      <c r="B1921" s="1">
        <v>45273</v>
      </c>
      <c r="C1921" t="s">
        <v>12</v>
      </c>
      <c r="D1921" t="s">
        <v>27</v>
      </c>
      <c r="E1921">
        <v>16200</v>
      </c>
      <c r="F1921" t="s">
        <v>21</v>
      </c>
      <c r="G1921" t="s">
        <v>28</v>
      </c>
      <c r="H1921" t="s">
        <v>16</v>
      </c>
      <c r="I1921" t="s">
        <v>17</v>
      </c>
      <c r="J1921" t="s">
        <v>25</v>
      </c>
      <c r="K1921">
        <v>0.1</v>
      </c>
      <c r="L192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921">
        <f>GhanaStream[[#This Row],[Subscription Fee]]-(GhanaStream[[#This Row],[Discount]]*GhanaStream[[#This Row],[Subscription Fee]])</f>
        <v>14580</v>
      </c>
      <c r="N1921" t="str">
        <f>IF(GhanaStream[[#This Row],[Churn Flag]]="Yes","Churned","Retained")</f>
        <v>Churned</v>
      </c>
    </row>
    <row r="1922" spans="1:14" x14ac:dyDescent="0.25">
      <c r="A1922" t="s">
        <v>1960</v>
      </c>
      <c r="B1922" s="1">
        <v>45245</v>
      </c>
      <c r="C1922" t="s">
        <v>12</v>
      </c>
      <c r="D1922" t="s">
        <v>13</v>
      </c>
      <c r="E1922">
        <v>1500</v>
      </c>
      <c r="F1922" t="s">
        <v>21</v>
      </c>
      <c r="G1922" t="s">
        <v>28</v>
      </c>
      <c r="H1922" t="s">
        <v>16</v>
      </c>
      <c r="I1922" t="s">
        <v>17</v>
      </c>
      <c r="J1922" t="s">
        <v>18</v>
      </c>
      <c r="K1922">
        <v>0</v>
      </c>
      <c r="L192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922">
        <f>GhanaStream[[#This Row],[Subscription Fee]]-(GhanaStream[[#This Row],[Discount]]*GhanaStream[[#This Row],[Subscription Fee]])</f>
        <v>1500</v>
      </c>
      <c r="N1922" t="str">
        <f>IF(GhanaStream[[#This Row],[Churn Flag]]="Yes","Churned","Retained")</f>
        <v>Churned</v>
      </c>
    </row>
    <row r="1923" spans="1:14" x14ac:dyDescent="0.25">
      <c r="A1923" t="s">
        <v>1961</v>
      </c>
      <c r="B1923" s="1">
        <v>45493</v>
      </c>
      <c r="C1923" t="s">
        <v>12</v>
      </c>
      <c r="D1923" t="s">
        <v>27</v>
      </c>
      <c r="E1923">
        <v>16200</v>
      </c>
      <c r="F1923" t="s">
        <v>49</v>
      </c>
      <c r="G1923" t="s">
        <v>28</v>
      </c>
      <c r="H1923" t="s">
        <v>16</v>
      </c>
      <c r="I1923" t="s">
        <v>17</v>
      </c>
      <c r="J1923" t="s">
        <v>18</v>
      </c>
      <c r="K1923">
        <v>0.1</v>
      </c>
      <c r="L192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923">
        <f>GhanaStream[[#This Row],[Subscription Fee]]-(GhanaStream[[#This Row],[Discount]]*GhanaStream[[#This Row],[Subscription Fee]])</f>
        <v>14580</v>
      </c>
      <c r="N1923" t="str">
        <f>IF(GhanaStream[[#This Row],[Churn Flag]]="Yes","Churned","Retained")</f>
        <v>Churned</v>
      </c>
    </row>
    <row r="1924" spans="1:14" x14ac:dyDescent="0.25">
      <c r="A1924" t="s">
        <v>1962</v>
      </c>
      <c r="B1924" s="1">
        <v>45384</v>
      </c>
      <c r="C1924" t="s">
        <v>31</v>
      </c>
      <c r="D1924" t="s">
        <v>27</v>
      </c>
      <c r="E1924">
        <v>10800</v>
      </c>
      <c r="F1924" t="s">
        <v>32</v>
      </c>
      <c r="G1924" t="s">
        <v>28</v>
      </c>
      <c r="H1924" t="s">
        <v>33</v>
      </c>
      <c r="I1924" t="s">
        <v>34</v>
      </c>
      <c r="J1924" t="s">
        <v>44</v>
      </c>
      <c r="K1924">
        <v>0.1</v>
      </c>
      <c r="L192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924">
        <f>GhanaStream[[#This Row],[Subscription Fee]]-(GhanaStream[[#This Row],[Discount]]*GhanaStream[[#This Row],[Subscription Fee]])</f>
        <v>9720</v>
      </c>
      <c r="N1924" t="str">
        <f>IF(GhanaStream[[#This Row],[Churn Flag]]="Yes","Churned","Retained")</f>
        <v>Retained</v>
      </c>
    </row>
    <row r="1925" spans="1:14" x14ac:dyDescent="0.25">
      <c r="A1925" t="s">
        <v>1963</v>
      </c>
      <c r="B1925" s="1">
        <v>44967</v>
      </c>
      <c r="C1925" t="s">
        <v>31</v>
      </c>
      <c r="D1925" t="s">
        <v>13</v>
      </c>
      <c r="E1925">
        <v>1000</v>
      </c>
      <c r="F1925" t="s">
        <v>49</v>
      </c>
      <c r="G1925" t="s">
        <v>28</v>
      </c>
      <c r="H1925" t="s">
        <v>33</v>
      </c>
      <c r="I1925" t="s">
        <v>34</v>
      </c>
      <c r="J1925" t="s">
        <v>50</v>
      </c>
      <c r="K1925">
        <v>0</v>
      </c>
      <c r="L192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925">
        <f>GhanaStream[[#This Row],[Subscription Fee]]-(GhanaStream[[#This Row],[Discount]]*GhanaStream[[#This Row],[Subscription Fee]])</f>
        <v>1000</v>
      </c>
      <c r="N1925" t="str">
        <f>IF(GhanaStream[[#This Row],[Churn Flag]]="Yes","Churned","Retained")</f>
        <v>Retained</v>
      </c>
    </row>
    <row r="1926" spans="1:14" x14ac:dyDescent="0.25">
      <c r="A1926" t="s">
        <v>1964</v>
      </c>
      <c r="B1926" s="1">
        <v>45316</v>
      </c>
      <c r="C1926" t="s">
        <v>31</v>
      </c>
      <c r="D1926" t="s">
        <v>13</v>
      </c>
      <c r="E1926">
        <v>1000</v>
      </c>
      <c r="F1926" t="s">
        <v>21</v>
      </c>
      <c r="G1926" t="s">
        <v>24</v>
      </c>
      <c r="H1926" t="s">
        <v>33</v>
      </c>
      <c r="I1926" t="s">
        <v>34</v>
      </c>
      <c r="J1926" t="s">
        <v>29</v>
      </c>
      <c r="K1926">
        <v>0</v>
      </c>
      <c r="L192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926">
        <f>GhanaStream[[#This Row],[Subscription Fee]]-(GhanaStream[[#This Row],[Discount]]*GhanaStream[[#This Row],[Subscription Fee]])</f>
        <v>1000</v>
      </c>
      <c r="N1926" t="str">
        <f>IF(GhanaStream[[#This Row],[Churn Flag]]="Yes","Churned","Retained")</f>
        <v>Retained</v>
      </c>
    </row>
    <row r="1927" spans="1:14" x14ac:dyDescent="0.25">
      <c r="A1927" t="s">
        <v>1965</v>
      </c>
      <c r="B1927" s="1">
        <v>44945</v>
      </c>
      <c r="C1927" t="s">
        <v>20</v>
      </c>
      <c r="D1927" t="s">
        <v>13</v>
      </c>
      <c r="E1927">
        <v>500</v>
      </c>
      <c r="F1927" t="s">
        <v>14</v>
      </c>
      <c r="G1927" t="s">
        <v>15</v>
      </c>
      <c r="H1927" t="s">
        <v>16</v>
      </c>
      <c r="I1927" t="s">
        <v>17</v>
      </c>
      <c r="J1927" t="s">
        <v>37</v>
      </c>
      <c r="K1927">
        <v>0</v>
      </c>
      <c r="L192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927">
        <f>GhanaStream[[#This Row],[Subscription Fee]]-(GhanaStream[[#This Row],[Discount]]*GhanaStream[[#This Row],[Subscription Fee]])</f>
        <v>500</v>
      </c>
      <c r="N1927" t="str">
        <f>IF(GhanaStream[[#This Row],[Churn Flag]]="Yes","Churned","Retained")</f>
        <v>Churned</v>
      </c>
    </row>
    <row r="1928" spans="1:14" x14ac:dyDescent="0.25">
      <c r="A1928" t="s">
        <v>1966</v>
      </c>
      <c r="B1928" s="1">
        <v>45376</v>
      </c>
      <c r="C1928" t="s">
        <v>20</v>
      </c>
      <c r="D1928" t="s">
        <v>13</v>
      </c>
      <c r="E1928">
        <v>500</v>
      </c>
      <c r="F1928" t="s">
        <v>21</v>
      </c>
      <c r="G1928" t="s">
        <v>28</v>
      </c>
      <c r="H1928" t="s">
        <v>16</v>
      </c>
      <c r="I1928" t="s">
        <v>17</v>
      </c>
      <c r="J1928" t="s">
        <v>22</v>
      </c>
      <c r="K1928">
        <v>0</v>
      </c>
      <c r="L192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928">
        <f>GhanaStream[[#This Row],[Subscription Fee]]-(GhanaStream[[#This Row],[Discount]]*GhanaStream[[#This Row],[Subscription Fee]])</f>
        <v>500</v>
      </c>
      <c r="N1928" t="str">
        <f>IF(GhanaStream[[#This Row],[Churn Flag]]="Yes","Churned","Retained")</f>
        <v>Churned</v>
      </c>
    </row>
    <row r="1929" spans="1:14" x14ac:dyDescent="0.25">
      <c r="A1929" t="s">
        <v>1967</v>
      </c>
      <c r="B1929" s="1">
        <v>45353</v>
      </c>
      <c r="C1929" t="s">
        <v>12</v>
      </c>
      <c r="D1929" t="s">
        <v>27</v>
      </c>
      <c r="E1929">
        <v>16200</v>
      </c>
      <c r="F1929" t="s">
        <v>49</v>
      </c>
      <c r="G1929" t="s">
        <v>28</v>
      </c>
      <c r="H1929" t="s">
        <v>33</v>
      </c>
      <c r="I1929" t="s">
        <v>34</v>
      </c>
      <c r="J1929" t="s">
        <v>22</v>
      </c>
      <c r="K1929">
        <v>0.1</v>
      </c>
      <c r="L192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929">
        <f>GhanaStream[[#This Row],[Subscription Fee]]-(GhanaStream[[#This Row],[Discount]]*GhanaStream[[#This Row],[Subscription Fee]])</f>
        <v>14580</v>
      </c>
      <c r="N1929" t="str">
        <f>IF(GhanaStream[[#This Row],[Churn Flag]]="Yes","Churned","Retained")</f>
        <v>Retained</v>
      </c>
    </row>
    <row r="1930" spans="1:14" x14ac:dyDescent="0.25">
      <c r="A1930" t="s">
        <v>1968</v>
      </c>
      <c r="B1930" s="1">
        <v>45330</v>
      </c>
      <c r="C1930" t="s">
        <v>20</v>
      </c>
      <c r="D1930" t="s">
        <v>13</v>
      </c>
      <c r="E1930">
        <v>500</v>
      </c>
      <c r="F1930" t="s">
        <v>21</v>
      </c>
      <c r="G1930" t="s">
        <v>28</v>
      </c>
      <c r="H1930" t="s">
        <v>16</v>
      </c>
      <c r="I1930" t="s">
        <v>17</v>
      </c>
      <c r="J1930" t="s">
        <v>29</v>
      </c>
      <c r="K1930">
        <v>0</v>
      </c>
      <c r="L193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930">
        <f>GhanaStream[[#This Row],[Subscription Fee]]-(GhanaStream[[#This Row],[Discount]]*GhanaStream[[#This Row],[Subscription Fee]])</f>
        <v>500</v>
      </c>
      <c r="N1930" t="str">
        <f>IF(GhanaStream[[#This Row],[Churn Flag]]="Yes","Churned","Retained")</f>
        <v>Churned</v>
      </c>
    </row>
    <row r="1931" spans="1:14" x14ac:dyDescent="0.25">
      <c r="A1931" t="s">
        <v>1969</v>
      </c>
      <c r="B1931" s="1">
        <v>45095</v>
      </c>
      <c r="C1931" t="s">
        <v>20</v>
      </c>
      <c r="D1931" t="s">
        <v>27</v>
      </c>
      <c r="E1931">
        <v>5400</v>
      </c>
      <c r="F1931" t="s">
        <v>14</v>
      </c>
      <c r="G1931" t="s">
        <v>15</v>
      </c>
      <c r="H1931" t="s">
        <v>16</v>
      </c>
      <c r="I1931" t="s">
        <v>17</v>
      </c>
      <c r="J1931" t="s">
        <v>37</v>
      </c>
      <c r="K1931">
        <v>0.1</v>
      </c>
      <c r="L193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931">
        <f>GhanaStream[[#This Row],[Subscription Fee]]-(GhanaStream[[#This Row],[Discount]]*GhanaStream[[#This Row],[Subscription Fee]])</f>
        <v>4860</v>
      </c>
      <c r="N1931" t="str">
        <f>IF(GhanaStream[[#This Row],[Churn Flag]]="Yes","Churned","Retained")</f>
        <v>Churned</v>
      </c>
    </row>
    <row r="1932" spans="1:14" x14ac:dyDescent="0.25">
      <c r="A1932" t="s">
        <v>1970</v>
      </c>
      <c r="B1932" s="1">
        <v>45200</v>
      </c>
      <c r="C1932" t="s">
        <v>31</v>
      </c>
      <c r="D1932" t="s">
        <v>13</v>
      </c>
      <c r="E1932">
        <v>1000</v>
      </c>
      <c r="F1932" t="s">
        <v>14</v>
      </c>
      <c r="G1932" t="s">
        <v>15</v>
      </c>
      <c r="H1932" t="s">
        <v>16</v>
      </c>
      <c r="I1932" t="s">
        <v>17</v>
      </c>
      <c r="J1932" t="s">
        <v>37</v>
      </c>
      <c r="K1932">
        <v>0</v>
      </c>
      <c r="L193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932">
        <f>GhanaStream[[#This Row],[Subscription Fee]]-(GhanaStream[[#This Row],[Discount]]*GhanaStream[[#This Row],[Subscription Fee]])</f>
        <v>1000</v>
      </c>
      <c r="N1932" t="str">
        <f>IF(GhanaStream[[#This Row],[Churn Flag]]="Yes","Churned","Retained")</f>
        <v>Churned</v>
      </c>
    </row>
    <row r="1933" spans="1:14" x14ac:dyDescent="0.25">
      <c r="A1933" t="s">
        <v>1971</v>
      </c>
      <c r="B1933" s="1">
        <v>45507</v>
      </c>
      <c r="C1933" t="s">
        <v>12</v>
      </c>
      <c r="D1933" t="s">
        <v>27</v>
      </c>
      <c r="E1933">
        <v>16200</v>
      </c>
      <c r="F1933" t="s">
        <v>49</v>
      </c>
      <c r="G1933" t="s">
        <v>24</v>
      </c>
      <c r="H1933" t="s">
        <v>33</v>
      </c>
      <c r="I1933" t="s">
        <v>34</v>
      </c>
      <c r="J1933" t="s">
        <v>25</v>
      </c>
      <c r="K1933">
        <v>0.1</v>
      </c>
      <c r="L193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933">
        <f>GhanaStream[[#This Row],[Subscription Fee]]-(GhanaStream[[#This Row],[Discount]]*GhanaStream[[#This Row],[Subscription Fee]])</f>
        <v>14580</v>
      </c>
      <c r="N1933" t="str">
        <f>IF(GhanaStream[[#This Row],[Churn Flag]]="Yes","Churned","Retained")</f>
        <v>Retained</v>
      </c>
    </row>
    <row r="1934" spans="1:14" x14ac:dyDescent="0.25">
      <c r="A1934" t="s">
        <v>1972</v>
      </c>
      <c r="B1934" s="1">
        <v>45035</v>
      </c>
      <c r="C1934" t="s">
        <v>20</v>
      </c>
      <c r="D1934" t="s">
        <v>13</v>
      </c>
      <c r="E1934">
        <v>500</v>
      </c>
      <c r="F1934" t="s">
        <v>49</v>
      </c>
      <c r="G1934" t="s">
        <v>24</v>
      </c>
      <c r="H1934" t="s">
        <v>16</v>
      </c>
      <c r="I1934" t="s">
        <v>17</v>
      </c>
      <c r="J1934" t="s">
        <v>25</v>
      </c>
      <c r="K1934">
        <v>0</v>
      </c>
      <c r="L193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934">
        <f>GhanaStream[[#This Row],[Subscription Fee]]-(GhanaStream[[#This Row],[Discount]]*GhanaStream[[#This Row],[Subscription Fee]])</f>
        <v>500</v>
      </c>
      <c r="N1934" t="str">
        <f>IF(GhanaStream[[#This Row],[Churn Flag]]="Yes","Churned","Retained")</f>
        <v>Churned</v>
      </c>
    </row>
    <row r="1935" spans="1:14" x14ac:dyDescent="0.25">
      <c r="A1935" t="s">
        <v>1973</v>
      </c>
      <c r="B1935" s="1">
        <v>45020</v>
      </c>
      <c r="C1935" t="s">
        <v>12</v>
      </c>
      <c r="D1935" t="s">
        <v>13</v>
      </c>
      <c r="E1935">
        <v>1500</v>
      </c>
      <c r="F1935" t="s">
        <v>21</v>
      </c>
      <c r="G1935" t="s">
        <v>15</v>
      </c>
      <c r="H1935" t="s">
        <v>16</v>
      </c>
      <c r="I1935" t="s">
        <v>17</v>
      </c>
      <c r="J1935" t="s">
        <v>18</v>
      </c>
      <c r="K1935">
        <v>0</v>
      </c>
      <c r="L193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935">
        <f>GhanaStream[[#This Row],[Subscription Fee]]-(GhanaStream[[#This Row],[Discount]]*GhanaStream[[#This Row],[Subscription Fee]])</f>
        <v>1500</v>
      </c>
      <c r="N1935" t="str">
        <f>IF(GhanaStream[[#This Row],[Churn Flag]]="Yes","Churned","Retained")</f>
        <v>Churned</v>
      </c>
    </row>
    <row r="1936" spans="1:14" x14ac:dyDescent="0.25">
      <c r="A1936" t="s">
        <v>1974</v>
      </c>
      <c r="B1936" s="1">
        <v>45328</v>
      </c>
      <c r="C1936" t="s">
        <v>31</v>
      </c>
      <c r="D1936" t="s">
        <v>27</v>
      </c>
      <c r="E1936">
        <v>10800</v>
      </c>
      <c r="F1936" t="s">
        <v>49</v>
      </c>
      <c r="G1936" t="s">
        <v>28</v>
      </c>
      <c r="H1936" t="s">
        <v>33</v>
      </c>
      <c r="I1936" t="s">
        <v>34</v>
      </c>
      <c r="J1936" t="s">
        <v>50</v>
      </c>
      <c r="K1936">
        <v>0.1</v>
      </c>
      <c r="L193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936">
        <f>GhanaStream[[#This Row],[Subscription Fee]]-(GhanaStream[[#This Row],[Discount]]*GhanaStream[[#This Row],[Subscription Fee]])</f>
        <v>9720</v>
      </c>
      <c r="N1936" t="str">
        <f>IF(GhanaStream[[#This Row],[Churn Flag]]="Yes","Churned","Retained")</f>
        <v>Retained</v>
      </c>
    </row>
    <row r="1937" spans="1:14" x14ac:dyDescent="0.25">
      <c r="A1937" t="s">
        <v>1975</v>
      </c>
      <c r="B1937" s="1">
        <v>45586</v>
      </c>
      <c r="C1937" t="s">
        <v>31</v>
      </c>
      <c r="D1937" t="s">
        <v>13</v>
      </c>
      <c r="E1937">
        <v>1000</v>
      </c>
      <c r="F1937" t="s">
        <v>14</v>
      </c>
      <c r="G1937" t="s">
        <v>28</v>
      </c>
      <c r="H1937" t="s">
        <v>33</v>
      </c>
      <c r="I1937" t="s">
        <v>34</v>
      </c>
      <c r="J1937" t="s">
        <v>41</v>
      </c>
      <c r="K1937">
        <v>0</v>
      </c>
      <c r="L193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937">
        <f>GhanaStream[[#This Row],[Subscription Fee]]-(GhanaStream[[#This Row],[Discount]]*GhanaStream[[#This Row],[Subscription Fee]])</f>
        <v>1000</v>
      </c>
      <c r="N1937" t="str">
        <f>IF(GhanaStream[[#This Row],[Churn Flag]]="Yes","Churned","Retained")</f>
        <v>Retained</v>
      </c>
    </row>
    <row r="1938" spans="1:14" x14ac:dyDescent="0.25">
      <c r="A1938" t="s">
        <v>1976</v>
      </c>
      <c r="B1938" s="1">
        <v>45598</v>
      </c>
      <c r="C1938" t="s">
        <v>20</v>
      </c>
      <c r="D1938" t="s">
        <v>27</v>
      </c>
      <c r="E1938">
        <v>5400</v>
      </c>
      <c r="F1938" t="s">
        <v>49</v>
      </c>
      <c r="G1938" t="s">
        <v>24</v>
      </c>
      <c r="H1938" t="s">
        <v>16</v>
      </c>
      <c r="I1938" t="s">
        <v>17</v>
      </c>
      <c r="J1938" t="s">
        <v>58</v>
      </c>
      <c r="K1938">
        <v>0.1</v>
      </c>
      <c r="L193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938">
        <f>GhanaStream[[#This Row],[Subscription Fee]]-(GhanaStream[[#This Row],[Discount]]*GhanaStream[[#This Row],[Subscription Fee]])</f>
        <v>4860</v>
      </c>
      <c r="N1938" t="str">
        <f>IF(GhanaStream[[#This Row],[Churn Flag]]="Yes","Churned","Retained")</f>
        <v>Churned</v>
      </c>
    </row>
    <row r="1939" spans="1:14" x14ac:dyDescent="0.25">
      <c r="A1939" t="s">
        <v>1977</v>
      </c>
      <c r="B1939" s="1">
        <v>45284</v>
      </c>
      <c r="C1939" t="s">
        <v>31</v>
      </c>
      <c r="D1939" t="s">
        <v>13</v>
      </c>
      <c r="E1939">
        <v>1000</v>
      </c>
      <c r="F1939" t="s">
        <v>21</v>
      </c>
      <c r="G1939" t="s">
        <v>24</v>
      </c>
      <c r="H1939" t="s">
        <v>33</v>
      </c>
      <c r="I1939" t="s">
        <v>34</v>
      </c>
      <c r="J1939" t="s">
        <v>29</v>
      </c>
      <c r="K1939">
        <v>0</v>
      </c>
      <c r="L193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939">
        <f>GhanaStream[[#This Row],[Subscription Fee]]-(GhanaStream[[#This Row],[Discount]]*GhanaStream[[#This Row],[Subscription Fee]])</f>
        <v>1000</v>
      </c>
      <c r="N1939" t="str">
        <f>IF(GhanaStream[[#This Row],[Churn Flag]]="Yes","Churned","Retained")</f>
        <v>Retained</v>
      </c>
    </row>
    <row r="1940" spans="1:14" x14ac:dyDescent="0.25">
      <c r="A1940" t="s">
        <v>1978</v>
      </c>
      <c r="B1940" s="1">
        <v>45052</v>
      </c>
      <c r="C1940" t="s">
        <v>12</v>
      </c>
      <c r="D1940" t="s">
        <v>27</v>
      </c>
      <c r="E1940">
        <v>16200</v>
      </c>
      <c r="F1940" t="s">
        <v>49</v>
      </c>
      <c r="G1940" t="s">
        <v>28</v>
      </c>
      <c r="H1940" t="s">
        <v>16</v>
      </c>
      <c r="I1940" t="s">
        <v>17</v>
      </c>
      <c r="J1940" t="s">
        <v>25</v>
      </c>
      <c r="K1940">
        <v>0.1</v>
      </c>
      <c r="L194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940">
        <f>GhanaStream[[#This Row],[Subscription Fee]]-(GhanaStream[[#This Row],[Discount]]*GhanaStream[[#This Row],[Subscription Fee]])</f>
        <v>14580</v>
      </c>
      <c r="N1940" t="str">
        <f>IF(GhanaStream[[#This Row],[Churn Flag]]="Yes","Churned","Retained")</f>
        <v>Churned</v>
      </c>
    </row>
    <row r="1941" spans="1:14" x14ac:dyDescent="0.25">
      <c r="A1941" t="s">
        <v>1979</v>
      </c>
      <c r="B1941" s="1">
        <v>44946</v>
      </c>
      <c r="C1941" t="s">
        <v>20</v>
      </c>
      <c r="D1941" t="s">
        <v>13</v>
      </c>
      <c r="E1941">
        <v>500</v>
      </c>
      <c r="F1941" t="s">
        <v>32</v>
      </c>
      <c r="G1941" t="s">
        <v>24</v>
      </c>
      <c r="H1941" t="s">
        <v>33</v>
      </c>
      <c r="I1941" t="s">
        <v>34</v>
      </c>
      <c r="J1941" t="s">
        <v>66</v>
      </c>
      <c r="K1941">
        <v>0</v>
      </c>
      <c r="L194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941">
        <f>GhanaStream[[#This Row],[Subscription Fee]]-(GhanaStream[[#This Row],[Discount]]*GhanaStream[[#This Row],[Subscription Fee]])</f>
        <v>500</v>
      </c>
      <c r="N1941" t="str">
        <f>IF(GhanaStream[[#This Row],[Churn Flag]]="Yes","Churned","Retained")</f>
        <v>Retained</v>
      </c>
    </row>
    <row r="1942" spans="1:14" x14ac:dyDescent="0.25">
      <c r="A1942" t="s">
        <v>1980</v>
      </c>
      <c r="B1942" s="1">
        <v>45058</v>
      </c>
      <c r="C1942" t="s">
        <v>20</v>
      </c>
      <c r="D1942" t="s">
        <v>27</v>
      </c>
      <c r="E1942">
        <v>5400</v>
      </c>
      <c r="F1942" t="s">
        <v>21</v>
      </c>
      <c r="G1942" t="s">
        <v>24</v>
      </c>
      <c r="H1942" t="s">
        <v>16</v>
      </c>
      <c r="I1942" t="s">
        <v>17</v>
      </c>
      <c r="J1942" t="s">
        <v>29</v>
      </c>
      <c r="K1942">
        <v>0.1</v>
      </c>
      <c r="L194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942">
        <f>GhanaStream[[#This Row],[Subscription Fee]]-(GhanaStream[[#This Row],[Discount]]*GhanaStream[[#This Row],[Subscription Fee]])</f>
        <v>4860</v>
      </c>
      <c r="N1942" t="str">
        <f>IF(GhanaStream[[#This Row],[Churn Flag]]="Yes","Churned","Retained")</f>
        <v>Churned</v>
      </c>
    </row>
    <row r="1943" spans="1:14" x14ac:dyDescent="0.25">
      <c r="A1943" t="s">
        <v>1981</v>
      </c>
      <c r="B1943" s="1">
        <v>45040</v>
      </c>
      <c r="C1943" t="s">
        <v>20</v>
      </c>
      <c r="D1943" t="s">
        <v>13</v>
      </c>
      <c r="E1943">
        <v>500</v>
      </c>
      <c r="F1943" t="s">
        <v>21</v>
      </c>
      <c r="G1943" t="s">
        <v>28</v>
      </c>
      <c r="H1943" t="s">
        <v>33</v>
      </c>
      <c r="I1943" t="s">
        <v>34</v>
      </c>
      <c r="J1943" t="s">
        <v>29</v>
      </c>
      <c r="K1943">
        <v>0</v>
      </c>
      <c r="L194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943">
        <f>GhanaStream[[#This Row],[Subscription Fee]]-(GhanaStream[[#This Row],[Discount]]*GhanaStream[[#This Row],[Subscription Fee]])</f>
        <v>500</v>
      </c>
      <c r="N1943" t="str">
        <f>IF(GhanaStream[[#This Row],[Churn Flag]]="Yes","Churned","Retained")</f>
        <v>Retained</v>
      </c>
    </row>
    <row r="1944" spans="1:14" x14ac:dyDescent="0.25">
      <c r="A1944" t="s">
        <v>1982</v>
      </c>
      <c r="B1944" s="1">
        <v>45072</v>
      </c>
      <c r="C1944" t="s">
        <v>31</v>
      </c>
      <c r="D1944" t="s">
        <v>13</v>
      </c>
      <c r="E1944">
        <v>1000</v>
      </c>
      <c r="F1944" t="s">
        <v>49</v>
      </c>
      <c r="G1944" t="s">
        <v>24</v>
      </c>
      <c r="H1944" t="s">
        <v>16</v>
      </c>
      <c r="I1944" t="s">
        <v>17</v>
      </c>
      <c r="J1944" t="s">
        <v>25</v>
      </c>
      <c r="K1944">
        <v>0</v>
      </c>
      <c r="L194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944">
        <f>GhanaStream[[#This Row],[Subscription Fee]]-(GhanaStream[[#This Row],[Discount]]*GhanaStream[[#This Row],[Subscription Fee]])</f>
        <v>1000</v>
      </c>
      <c r="N1944" t="str">
        <f>IF(GhanaStream[[#This Row],[Churn Flag]]="Yes","Churned","Retained")</f>
        <v>Churned</v>
      </c>
    </row>
    <row r="1945" spans="1:14" x14ac:dyDescent="0.25">
      <c r="A1945" t="s">
        <v>1983</v>
      </c>
      <c r="B1945" s="1">
        <v>45094</v>
      </c>
      <c r="C1945" t="s">
        <v>12</v>
      </c>
      <c r="D1945" t="s">
        <v>27</v>
      </c>
      <c r="E1945">
        <v>16200</v>
      </c>
      <c r="F1945" t="s">
        <v>49</v>
      </c>
      <c r="G1945" t="s">
        <v>28</v>
      </c>
      <c r="H1945" t="s">
        <v>33</v>
      </c>
      <c r="I1945" t="s">
        <v>34</v>
      </c>
      <c r="J1945" t="s">
        <v>35</v>
      </c>
      <c r="K1945">
        <v>0.1</v>
      </c>
      <c r="L194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945">
        <f>GhanaStream[[#This Row],[Subscription Fee]]-(GhanaStream[[#This Row],[Discount]]*GhanaStream[[#This Row],[Subscription Fee]])</f>
        <v>14580</v>
      </c>
      <c r="N1945" t="str">
        <f>IF(GhanaStream[[#This Row],[Churn Flag]]="Yes","Churned","Retained")</f>
        <v>Retained</v>
      </c>
    </row>
    <row r="1946" spans="1:14" x14ac:dyDescent="0.25">
      <c r="A1946" t="s">
        <v>1984</v>
      </c>
      <c r="B1946" s="1">
        <v>45331</v>
      </c>
      <c r="C1946" t="s">
        <v>20</v>
      </c>
      <c r="D1946" t="s">
        <v>27</v>
      </c>
      <c r="E1946">
        <v>5400</v>
      </c>
      <c r="F1946" t="s">
        <v>14</v>
      </c>
      <c r="G1946" t="s">
        <v>28</v>
      </c>
      <c r="H1946" t="s">
        <v>33</v>
      </c>
      <c r="I1946" t="s">
        <v>34</v>
      </c>
      <c r="J1946" t="s">
        <v>41</v>
      </c>
      <c r="K1946">
        <v>0.1</v>
      </c>
      <c r="L194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946">
        <f>GhanaStream[[#This Row],[Subscription Fee]]-(GhanaStream[[#This Row],[Discount]]*GhanaStream[[#This Row],[Subscription Fee]])</f>
        <v>4860</v>
      </c>
      <c r="N1946" t="str">
        <f>IF(GhanaStream[[#This Row],[Churn Flag]]="Yes","Churned","Retained")</f>
        <v>Retained</v>
      </c>
    </row>
    <row r="1947" spans="1:14" x14ac:dyDescent="0.25">
      <c r="A1947" t="s">
        <v>1985</v>
      </c>
      <c r="B1947" s="1">
        <v>45524</v>
      </c>
      <c r="C1947" t="s">
        <v>31</v>
      </c>
      <c r="D1947" t="s">
        <v>27</v>
      </c>
      <c r="E1947">
        <v>10800</v>
      </c>
      <c r="F1947" t="s">
        <v>49</v>
      </c>
      <c r="G1947" t="s">
        <v>24</v>
      </c>
      <c r="H1947" t="s">
        <v>33</v>
      </c>
      <c r="I1947" t="s">
        <v>34</v>
      </c>
      <c r="J1947" t="s">
        <v>50</v>
      </c>
      <c r="K1947">
        <v>0.1</v>
      </c>
      <c r="L194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947">
        <f>GhanaStream[[#This Row],[Subscription Fee]]-(GhanaStream[[#This Row],[Discount]]*GhanaStream[[#This Row],[Subscription Fee]])</f>
        <v>9720</v>
      </c>
      <c r="N1947" t="str">
        <f>IF(GhanaStream[[#This Row],[Churn Flag]]="Yes","Churned","Retained")</f>
        <v>Retained</v>
      </c>
    </row>
    <row r="1948" spans="1:14" x14ac:dyDescent="0.25">
      <c r="A1948" t="s">
        <v>1986</v>
      </c>
      <c r="B1948" s="1">
        <v>44986</v>
      </c>
      <c r="C1948" t="s">
        <v>31</v>
      </c>
      <c r="D1948" t="s">
        <v>27</v>
      </c>
      <c r="E1948">
        <v>10800</v>
      </c>
      <c r="F1948" t="s">
        <v>14</v>
      </c>
      <c r="G1948" t="s">
        <v>28</v>
      </c>
      <c r="H1948" t="s">
        <v>16</v>
      </c>
      <c r="I1948" t="s">
        <v>17</v>
      </c>
      <c r="J1948" t="s">
        <v>37</v>
      </c>
      <c r="K1948">
        <v>0.1</v>
      </c>
      <c r="L194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948">
        <f>GhanaStream[[#This Row],[Subscription Fee]]-(GhanaStream[[#This Row],[Discount]]*GhanaStream[[#This Row],[Subscription Fee]])</f>
        <v>9720</v>
      </c>
      <c r="N1948" t="str">
        <f>IF(GhanaStream[[#This Row],[Churn Flag]]="Yes","Churned","Retained")</f>
        <v>Churned</v>
      </c>
    </row>
    <row r="1949" spans="1:14" x14ac:dyDescent="0.25">
      <c r="A1949" t="s">
        <v>1987</v>
      </c>
      <c r="B1949" s="1">
        <v>45275</v>
      </c>
      <c r="C1949" t="s">
        <v>31</v>
      </c>
      <c r="D1949" t="s">
        <v>27</v>
      </c>
      <c r="E1949">
        <v>10800</v>
      </c>
      <c r="F1949" t="s">
        <v>14</v>
      </c>
      <c r="G1949" t="s">
        <v>24</v>
      </c>
      <c r="H1949" t="s">
        <v>33</v>
      </c>
      <c r="I1949" t="s">
        <v>34</v>
      </c>
      <c r="J1949" t="s">
        <v>55</v>
      </c>
      <c r="K1949">
        <v>0.1</v>
      </c>
      <c r="L194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949">
        <f>GhanaStream[[#This Row],[Subscription Fee]]-(GhanaStream[[#This Row],[Discount]]*GhanaStream[[#This Row],[Subscription Fee]])</f>
        <v>9720</v>
      </c>
      <c r="N1949" t="str">
        <f>IF(GhanaStream[[#This Row],[Churn Flag]]="Yes","Churned","Retained")</f>
        <v>Retained</v>
      </c>
    </row>
    <row r="1950" spans="1:14" x14ac:dyDescent="0.25">
      <c r="A1950" t="s">
        <v>1988</v>
      </c>
      <c r="B1950" s="1">
        <v>45633</v>
      </c>
      <c r="C1950" t="s">
        <v>12</v>
      </c>
      <c r="D1950" t="s">
        <v>13</v>
      </c>
      <c r="E1950">
        <v>1500</v>
      </c>
      <c r="F1950" t="s">
        <v>14</v>
      </c>
      <c r="G1950" t="s">
        <v>24</v>
      </c>
      <c r="H1950" t="s">
        <v>33</v>
      </c>
      <c r="I1950" t="s">
        <v>34</v>
      </c>
      <c r="J1950" t="s">
        <v>37</v>
      </c>
      <c r="K1950">
        <v>0</v>
      </c>
      <c r="L195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950">
        <f>GhanaStream[[#This Row],[Subscription Fee]]-(GhanaStream[[#This Row],[Discount]]*GhanaStream[[#This Row],[Subscription Fee]])</f>
        <v>1500</v>
      </c>
      <c r="N1950" t="str">
        <f>IF(GhanaStream[[#This Row],[Churn Flag]]="Yes","Churned","Retained")</f>
        <v>Retained</v>
      </c>
    </row>
    <row r="1951" spans="1:14" x14ac:dyDescent="0.25">
      <c r="A1951" t="s">
        <v>1989</v>
      </c>
      <c r="B1951" s="1">
        <v>45188</v>
      </c>
      <c r="C1951" t="s">
        <v>20</v>
      </c>
      <c r="D1951" t="s">
        <v>13</v>
      </c>
      <c r="E1951">
        <v>500</v>
      </c>
      <c r="F1951" t="s">
        <v>49</v>
      </c>
      <c r="G1951" t="s">
        <v>28</v>
      </c>
      <c r="H1951" t="s">
        <v>16</v>
      </c>
      <c r="I1951" t="s">
        <v>17</v>
      </c>
      <c r="J1951" t="s">
        <v>58</v>
      </c>
      <c r="K1951">
        <v>0</v>
      </c>
      <c r="L195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951">
        <f>GhanaStream[[#This Row],[Subscription Fee]]-(GhanaStream[[#This Row],[Discount]]*GhanaStream[[#This Row],[Subscription Fee]])</f>
        <v>500</v>
      </c>
      <c r="N1951" t="str">
        <f>IF(GhanaStream[[#This Row],[Churn Flag]]="Yes","Churned","Retained")</f>
        <v>Churned</v>
      </c>
    </row>
    <row r="1952" spans="1:14" x14ac:dyDescent="0.25">
      <c r="A1952" t="s">
        <v>1990</v>
      </c>
      <c r="B1952" s="1">
        <v>45001</v>
      </c>
      <c r="C1952" t="s">
        <v>20</v>
      </c>
      <c r="D1952" t="s">
        <v>13</v>
      </c>
      <c r="E1952">
        <v>500</v>
      </c>
      <c r="F1952" t="s">
        <v>49</v>
      </c>
      <c r="G1952" t="s">
        <v>28</v>
      </c>
      <c r="H1952" t="s">
        <v>16</v>
      </c>
      <c r="I1952" t="s">
        <v>17</v>
      </c>
      <c r="J1952" t="s">
        <v>25</v>
      </c>
      <c r="K1952">
        <v>0</v>
      </c>
      <c r="L195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952">
        <f>GhanaStream[[#This Row],[Subscription Fee]]-(GhanaStream[[#This Row],[Discount]]*GhanaStream[[#This Row],[Subscription Fee]])</f>
        <v>500</v>
      </c>
      <c r="N1952" t="str">
        <f>IF(GhanaStream[[#This Row],[Churn Flag]]="Yes","Churned","Retained")</f>
        <v>Churned</v>
      </c>
    </row>
    <row r="1953" spans="1:14" x14ac:dyDescent="0.25">
      <c r="A1953" t="s">
        <v>1991</v>
      </c>
      <c r="B1953" s="1">
        <v>45160</v>
      </c>
      <c r="C1953" t="s">
        <v>12</v>
      </c>
      <c r="D1953" t="s">
        <v>27</v>
      </c>
      <c r="E1953">
        <v>16200</v>
      </c>
      <c r="F1953" t="s">
        <v>21</v>
      </c>
      <c r="G1953" t="s">
        <v>24</v>
      </c>
      <c r="H1953" t="s">
        <v>33</v>
      </c>
      <c r="I1953" t="s">
        <v>34</v>
      </c>
      <c r="J1953" t="s">
        <v>18</v>
      </c>
      <c r="K1953">
        <v>0.1</v>
      </c>
      <c r="L195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953">
        <f>GhanaStream[[#This Row],[Subscription Fee]]-(GhanaStream[[#This Row],[Discount]]*GhanaStream[[#This Row],[Subscription Fee]])</f>
        <v>14580</v>
      </c>
      <c r="N1953" t="str">
        <f>IF(GhanaStream[[#This Row],[Churn Flag]]="Yes","Churned","Retained")</f>
        <v>Retained</v>
      </c>
    </row>
    <row r="1954" spans="1:14" x14ac:dyDescent="0.25">
      <c r="A1954" t="s">
        <v>1992</v>
      </c>
      <c r="B1954" s="1">
        <v>45528</v>
      </c>
      <c r="C1954" t="s">
        <v>31</v>
      </c>
      <c r="D1954" t="s">
        <v>27</v>
      </c>
      <c r="E1954">
        <v>10800</v>
      </c>
      <c r="F1954" t="s">
        <v>14</v>
      </c>
      <c r="G1954" t="s">
        <v>15</v>
      </c>
      <c r="H1954" t="s">
        <v>16</v>
      </c>
      <c r="I1954" t="s">
        <v>17</v>
      </c>
      <c r="J1954" t="s">
        <v>37</v>
      </c>
      <c r="K1954">
        <v>0.1</v>
      </c>
      <c r="L195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954">
        <f>GhanaStream[[#This Row],[Subscription Fee]]-(GhanaStream[[#This Row],[Discount]]*GhanaStream[[#This Row],[Subscription Fee]])</f>
        <v>9720</v>
      </c>
      <c r="N1954" t="str">
        <f>IF(GhanaStream[[#This Row],[Churn Flag]]="Yes","Churned","Retained")</f>
        <v>Churned</v>
      </c>
    </row>
    <row r="1955" spans="1:14" x14ac:dyDescent="0.25">
      <c r="A1955" t="s">
        <v>1993</v>
      </c>
      <c r="B1955" s="1">
        <v>45104</v>
      </c>
      <c r="C1955" t="s">
        <v>31</v>
      </c>
      <c r="D1955" t="s">
        <v>27</v>
      </c>
      <c r="E1955">
        <v>10800</v>
      </c>
      <c r="F1955" t="s">
        <v>49</v>
      </c>
      <c r="G1955" t="s">
        <v>24</v>
      </c>
      <c r="H1955" t="s">
        <v>16</v>
      </c>
      <c r="I1955" t="s">
        <v>17</v>
      </c>
      <c r="J1955" t="s">
        <v>25</v>
      </c>
      <c r="K1955">
        <v>0.1</v>
      </c>
      <c r="L195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955">
        <f>GhanaStream[[#This Row],[Subscription Fee]]-(GhanaStream[[#This Row],[Discount]]*GhanaStream[[#This Row],[Subscription Fee]])</f>
        <v>9720</v>
      </c>
      <c r="N1955" t="str">
        <f>IF(GhanaStream[[#This Row],[Churn Flag]]="Yes","Churned","Retained")</f>
        <v>Churned</v>
      </c>
    </row>
    <row r="1956" spans="1:14" x14ac:dyDescent="0.25">
      <c r="A1956" t="s">
        <v>1994</v>
      </c>
      <c r="B1956" s="1">
        <v>44965</v>
      </c>
      <c r="C1956" t="s">
        <v>20</v>
      </c>
      <c r="D1956" t="s">
        <v>27</v>
      </c>
      <c r="E1956">
        <v>5400</v>
      </c>
      <c r="F1956" t="s">
        <v>49</v>
      </c>
      <c r="G1956" t="s">
        <v>24</v>
      </c>
      <c r="H1956" t="s">
        <v>33</v>
      </c>
      <c r="I1956" t="s">
        <v>34</v>
      </c>
      <c r="J1956" t="s">
        <v>58</v>
      </c>
      <c r="K1956">
        <v>0.1</v>
      </c>
      <c r="L195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956">
        <f>GhanaStream[[#This Row],[Subscription Fee]]-(GhanaStream[[#This Row],[Discount]]*GhanaStream[[#This Row],[Subscription Fee]])</f>
        <v>4860</v>
      </c>
      <c r="N1956" t="str">
        <f>IF(GhanaStream[[#This Row],[Churn Flag]]="Yes","Churned","Retained")</f>
        <v>Retained</v>
      </c>
    </row>
    <row r="1957" spans="1:14" x14ac:dyDescent="0.25">
      <c r="A1957" t="s">
        <v>1995</v>
      </c>
      <c r="B1957" s="1">
        <v>45158</v>
      </c>
      <c r="C1957" t="s">
        <v>12</v>
      </c>
      <c r="D1957" t="s">
        <v>27</v>
      </c>
      <c r="E1957">
        <v>16200</v>
      </c>
      <c r="F1957" t="s">
        <v>14</v>
      </c>
      <c r="G1957" t="s">
        <v>28</v>
      </c>
      <c r="H1957" t="s">
        <v>16</v>
      </c>
      <c r="I1957" t="s">
        <v>17</v>
      </c>
      <c r="J1957" t="s">
        <v>37</v>
      </c>
      <c r="K1957">
        <v>0.1</v>
      </c>
      <c r="L195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957">
        <f>GhanaStream[[#This Row],[Subscription Fee]]-(GhanaStream[[#This Row],[Discount]]*GhanaStream[[#This Row],[Subscription Fee]])</f>
        <v>14580</v>
      </c>
      <c r="N1957" t="str">
        <f>IF(GhanaStream[[#This Row],[Churn Flag]]="Yes","Churned","Retained")</f>
        <v>Churned</v>
      </c>
    </row>
    <row r="1958" spans="1:14" x14ac:dyDescent="0.25">
      <c r="A1958" t="s">
        <v>1996</v>
      </c>
      <c r="B1958" s="1">
        <v>44995</v>
      </c>
      <c r="C1958" t="s">
        <v>12</v>
      </c>
      <c r="D1958" t="s">
        <v>27</v>
      </c>
      <c r="E1958">
        <v>16200</v>
      </c>
      <c r="F1958" t="s">
        <v>14</v>
      </c>
      <c r="G1958" t="s">
        <v>15</v>
      </c>
      <c r="H1958" t="s">
        <v>16</v>
      </c>
      <c r="I1958" t="s">
        <v>17</v>
      </c>
      <c r="J1958" t="s">
        <v>41</v>
      </c>
      <c r="K1958">
        <v>0.1</v>
      </c>
      <c r="L195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958">
        <f>GhanaStream[[#This Row],[Subscription Fee]]-(GhanaStream[[#This Row],[Discount]]*GhanaStream[[#This Row],[Subscription Fee]])</f>
        <v>14580</v>
      </c>
      <c r="N1958" t="str">
        <f>IF(GhanaStream[[#This Row],[Churn Flag]]="Yes","Churned","Retained")</f>
        <v>Churned</v>
      </c>
    </row>
    <row r="1959" spans="1:14" x14ac:dyDescent="0.25">
      <c r="A1959" t="s">
        <v>1997</v>
      </c>
      <c r="B1959" s="1">
        <v>45637</v>
      </c>
      <c r="C1959" t="s">
        <v>31</v>
      </c>
      <c r="D1959" t="s">
        <v>13</v>
      </c>
      <c r="E1959">
        <v>1000</v>
      </c>
      <c r="F1959" t="s">
        <v>21</v>
      </c>
      <c r="G1959" t="s">
        <v>15</v>
      </c>
      <c r="H1959" t="s">
        <v>16</v>
      </c>
      <c r="I1959" t="s">
        <v>17</v>
      </c>
      <c r="J1959" t="s">
        <v>29</v>
      </c>
      <c r="K1959">
        <v>0</v>
      </c>
      <c r="L195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959">
        <f>GhanaStream[[#This Row],[Subscription Fee]]-(GhanaStream[[#This Row],[Discount]]*GhanaStream[[#This Row],[Subscription Fee]])</f>
        <v>1000</v>
      </c>
      <c r="N1959" t="str">
        <f>IF(GhanaStream[[#This Row],[Churn Flag]]="Yes","Churned","Retained")</f>
        <v>Churned</v>
      </c>
    </row>
    <row r="1960" spans="1:14" x14ac:dyDescent="0.25">
      <c r="A1960" t="s">
        <v>1998</v>
      </c>
      <c r="B1960" s="1">
        <v>45203</v>
      </c>
      <c r="C1960" t="s">
        <v>31</v>
      </c>
      <c r="D1960" t="s">
        <v>27</v>
      </c>
      <c r="E1960">
        <v>10800</v>
      </c>
      <c r="F1960" t="s">
        <v>32</v>
      </c>
      <c r="G1960" t="s">
        <v>28</v>
      </c>
      <c r="H1960" t="s">
        <v>16</v>
      </c>
      <c r="I1960" t="s">
        <v>17</v>
      </c>
      <c r="J1960" t="s">
        <v>39</v>
      </c>
      <c r="K1960">
        <v>0.1</v>
      </c>
      <c r="L196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960">
        <f>GhanaStream[[#This Row],[Subscription Fee]]-(GhanaStream[[#This Row],[Discount]]*GhanaStream[[#This Row],[Subscription Fee]])</f>
        <v>9720</v>
      </c>
      <c r="N1960" t="str">
        <f>IF(GhanaStream[[#This Row],[Churn Flag]]="Yes","Churned","Retained")</f>
        <v>Churned</v>
      </c>
    </row>
    <row r="1961" spans="1:14" x14ac:dyDescent="0.25">
      <c r="A1961" t="s">
        <v>1999</v>
      </c>
      <c r="B1961" s="1">
        <v>45409</v>
      </c>
      <c r="C1961" t="s">
        <v>12</v>
      </c>
      <c r="D1961" t="s">
        <v>13</v>
      </c>
      <c r="E1961">
        <v>1500</v>
      </c>
      <c r="F1961" t="s">
        <v>21</v>
      </c>
      <c r="G1961" t="s">
        <v>24</v>
      </c>
      <c r="H1961" t="s">
        <v>33</v>
      </c>
      <c r="I1961" t="s">
        <v>34</v>
      </c>
      <c r="J1961" t="s">
        <v>29</v>
      </c>
      <c r="K1961">
        <v>0</v>
      </c>
      <c r="L196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961">
        <f>GhanaStream[[#This Row],[Subscription Fee]]-(GhanaStream[[#This Row],[Discount]]*GhanaStream[[#This Row],[Subscription Fee]])</f>
        <v>1500</v>
      </c>
      <c r="N1961" t="str">
        <f>IF(GhanaStream[[#This Row],[Churn Flag]]="Yes","Churned","Retained")</f>
        <v>Retained</v>
      </c>
    </row>
    <row r="1962" spans="1:14" x14ac:dyDescent="0.25">
      <c r="A1962" t="s">
        <v>2000</v>
      </c>
      <c r="B1962" s="1">
        <v>45243</v>
      </c>
      <c r="C1962" t="s">
        <v>20</v>
      </c>
      <c r="D1962" t="s">
        <v>13</v>
      </c>
      <c r="E1962">
        <v>500</v>
      </c>
      <c r="F1962" t="s">
        <v>14</v>
      </c>
      <c r="G1962" t="s">
        <v>24</v>
      </c>
      <c r="H1962" t="s">
        <v>16</v>
      </c>
      <c r="I1962" t="s">
        <v>17</v>
      </c>
      <c r="J1962" t="s">
        <v>37</v>
      </c>
      <c r="K1962">
        <v>0</v>
      </c>
      <c r="L196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962">
        <f>GhanaStream[[#This Row],[Subscription Fee]]-(GhanaStream[[#This Row],[Discount]]*GhanaStream[[#This Row],[Subscription Fee]])</f>
        <v>500</v>
      </c>
      <c r="N1962" t="str">
        <f>IF(GhanaStream[[#This Row],[Churn Flag]]="Yes","Churned","Retained")</f>
        <v>Churned</v>
      </c>
    </row>
    <row r="1963" spans="1:14" x14ac:dyDescent="0.25">
      <c r="A1963" t="s">
        <v>2001</v>
      </c>
      <c r="B1963" s="1">
        <v>45144</v>
      </c>
      <c r="C1963" t="s">
        <v>20</v>
      </c>
      <c r="D1963" t="s">
        <v>27</v>
      </c>
      <c r="E1963">
        <v>5400</v>
      </c>
      <c r="F1963" t="s">
        <v>14</v>
      </c>
      <c r="G1963" t="s">
        <v>28</v>
      </c>
      <c r="H1963" t="s">
        <v>33</v>
      </c>
      <c r="I1963" t="s">
        <v>34</v>
      </c>
      <c r="J1963" t="s">
        <v>41</v>
      </c>
      <c r="K1963">
        <v>0.1</v>
      </c>
      <c r="L196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963">
        <f>GhanaStream[[#This Row],[Subscription Fee]]-(GhanaStream[[#This Row],[Discount]]*GhanaStream[[#This Row],[Subscription Fee]])</f>
        <v>4860</v>
      </c>
      <c r="N1963" t="str">
        <f>IF(GhanaStream[[#This Row],[Churn Flag]]="Yes","Churned","Retained")</f>
        <v>Retained</v>
      </c>
    </row>
    <row r="1964" spans="1:14" x14ac:dyDescent="0.25">
      <c r="A1964" t="s">
        <v>2002</v>
      </c>
      <c r="B1964" s="1">
        <v>45088</v>
      </c>
      <c r="C1964" t="s">
        <v>31</v>
      </c>
      <c r="D1964" t="s">
        <v>27</v>
      </c>
      <c r="E1964">
        <v>10800</v>
      </c>
      <c r="F1964" t="s">
        <v>32</v>
      </c>
      <c r="G1964" t="s">
        <v>15</v>
      </c>
      <c r="H1964" t="s">
        <v>16</v>
      </c>
      <c r="I1964" t="s">
        <v>17</v>
      </c>
      <c r="J1964" t="s">
        <v>39</v>
      </c>
      <c r="K1964">
        <v>0.1</v>
      </c>
      <c r="L196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964">
        <f>GhanaStream[[#This Row],[Subscription Fee]]-(GhanaStream[[#This Row],[Discount]]*GhanaStream[[#This Row],[Subscription Fee]])</f>
        <v>9720</v>
      </c>
      <c r="N1964" t="str">
        <f>IF(GhanaStream[[#This Row],[Churn Flag]]="Yes","Churned","Retained")</f>
        <v>Churned</v>
      </c>
    </row>
    <row r="1965" spans="1:14" x14ac:dyDescent="0.25">
      <c r="A1965" t="s">
        <v>2003</v>
      </c>
      <c r="B1965" s="1">
        <v>45079</v>
      </c>
      <c r="C1965" t="s">
        <v>31</v>
      </c>
      <c r="D1965" t="s">
        <v>27</v>
      </c>
      <c r="E1965">
        <v>10800</v>
      </c>
      <c r="F1965" t="s">
        <v>32</v>
      </c>
      <c r="G1965" t="s">
        <v>24</v>
      </c>
      <c r="H1965" t="s">
        <v>33</v>
      </c>
      <c r="I1965" t="s">
        <v>34</v>
      </c>
      <c r="J1965" t="s">
        <v>25</v>
      </c>
      <c r="K1965">
        <v>0.1</v>
      </c>
      <c r="L196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965">
        <f>GhanaStream[[#This Row],[Subscription Fee]]-(GhanaStream[[#This Row],[Discount]]*GhanaStream[[#This Row],[Subscription Fee]])</f>
        <v>9720</v>
      </c>
      <c r="N1965" t="str">
        <f>IF(GhanaStream[[#This Row],[Churn Flag]]="Yes","Churned","Retained")</f>
        <v>Retained</v>
      </c>
    </row>
    <row r="1966" spans="1:14" x14ac:dyDescent="0.25">
      <c r="A1966" t="s">
        <v>2004</v>
      </c>
      <c r="B1966" s="1">
        <v>45123</v>
      </c>
      <c r="C1966" t="s">
        <v>12</v>
      </c>
      <c r="D1966" t="s">
        <v>13</v>
      </c>
      <c r="E1966">
        <v>1500</v>
      </c>
      <c r="F1966" t="s">
        <v>49</v>
      </c>
      <c r="G1966" t="s">
        <v>15</v>
      </c>
      <c r="H1966" t="s">
        <v>16</v>
      </c>
      <c r="I1966" t="s">
        <v>17</v>
      </c>
      <c r="J1966" t="s">
        <v>58</v>
      </c>
      <c r="K1966">
        <v>0</v>
      </c>
      <c r="L196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966">
        <f>GhanaStream[[#This Row],[Subscription Fee]]-(GhanaStream[[#This Row],[Discount]]*GhanaStream[[#This Row],[Subscription Fee]])</f>
        <v>1500</v>
      </c>
      <c r="N1966" t="str">
        <f>IF(GhanaStream[[#This Row],[Churn Flag]]="Yes","Churned","Retained")</f>
        <v>Churned</v>
      </c>
    </row>
    <row r="1967" spans="1:14" x14ac:dyDescent="0.25">
      <c r="A1967" t="s">
        <v>2005</v>
      </c>
      <c r="B1967" s="1">
        <v>45047</v>
      </c>
      <c r="C1967" t="s">
        <v>31</v>
      </c>
      <c r="D1967" t="s">
        <v>13</v>
      </c>
      <c r="E1967">
        <v>1000</v>
      </c>
      <c r="F1967" t="s">
        <v>32</v>
      </c>
      <c r="G1967" t="s">
        <v>15</v>
      </c>
      <c r="H1967" t="s">
        <v>16</v>
      </c>
      <c r="I1967" t="s">
        <v>17</v>
      </c>
      <c r="J1967" t="s">
        <v>44</v>
      </c>
      <c r="K1967">
        <v>0</v>
      </c>
      <c r="L196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967">
        <f>GhanaStream[[#This Row],[Subscription Fee]]-(GhanaStream[[#This Row],[Discount]]*GhanaStream[[#This Row],[Subscription Fee]])</f>
        <v>1000</v>
      </c>
      <c r="N1967" t="str">
        <f>IF(GhanaStream[[#This Row],[Churn Flag]]="Yes","Churned","Retained")</f>
        <v>Churned</v>
      </c>
    </row>
    <row r="1968" spans="1:14" x14ac:dyDescent="0.25">
      <c r="A1968" t="s">
        <v>2006</v>
      </c>
      <c r="B1968" s="1">
        <v>45187</v>
      </c>
      <c r="C1968" t="s">
        <v>31</v>
      </c>
      <c r="D1968" t="s">
        <v>13</v>
      </c>
      <c r="E1968">
        <v>1000</v>
      </c>
      <c r="F1968" t="s">
        <v>14</v>
      </c>
      <c r="G1968" t="s">
        <v>24</v>
      </c>
      <c r="H1968" t="s">
        <v>16</v>
      </c>
      <c r="I1968" t="s">
        <v>17</v>
      </c>
      <c r="J1968" t="s">
        <v>22</v>
      </c>
      <c r="K1968">
        <v>0</v>
      </c>
      <c r="L196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968">
        <f>GhanaStream[[#This Row],[Subscription Fee]]-(GhanaStream[[#This Row],[Discount]]*GhanaStream[[#This Row],[Subscription Fee]])</f>
        <v>1000</v>
      </c>
      <c r="N1968" t="str">
        <f>IF(GhanaStream[[#This Row],[Churn Flag]]="Yes","Churned","Retained")</f>
        <v>Churned</v>
      </c>
    </row>
    <row r="1969" spans="1:14" x14ac:dyDescent="0.25">
      <c r="A1969" t="s">
        <v>2007</v>
      </c>
      <c r="B1969" s="1">
        <v>45268</v>
      </c>
      <c r="C1969" t="s">
        <v>20</v>
      </c>
      <c r="D1969" t="s">
        <v>13</v>
      </c>
      <c r="E1969">
        <v>500</v>
      </c>
      <c r="F1969" t="s">
        <v>32</v>
      </c>
      <c r="G1969" t="s">
        <v>28</v>
      </c>
      <c r="H1969" t="s">
        <v>33</v>
      </c>
      <c r="I1969" t="s">
        <v>34</v>
      </c>
      <c r="J1969" t="s">
        <v>25</v>
      </c>
      <c r="K1969">
        <v>0</v>
      </c>
      <c r="L196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969">
        <f>GhanaStream[[#This Row],[Subscription Fee]]-(GhanaStream[[#This Row],[Discount]]*GhanaStream[[#This Row],[Subscription Fee]])</f>
        <v>500</v>
      </c>
      <c r="N1969" t="str">
        <f>IF(GhanaStream[[#This Row],[Churn Flag]]="Yes","Churned","Retained")</f>
        <v>Retained</v>
      </c>
    </row>
    <row r="1970" spans="1:14" x14ac:dyDescent="0.25">
      <c r="A1970" t="s">
        <v>2008</v>
      </c>
      <c r="B1970" s="1">
        <v>45603</v>
      </c>
      <c r="C1970" t="s">
        <v>20</v>
      </c>
      <c r="D1970" t="s">
        <v>13</v>
      </c>
      <c r="E1970">
        <v>500</v>
      </c>
      <c r="F1970" t="s">
        <v>49</v>
      </c>
      <c r="G1970" t="s">
        <v>24</v>
      </c>
      <c r="H1970" t="s">
        <v>33</v>
      </c>
      <c r="I1970" t="s">
        <v>34</v>
      </c>
      <c r="J1970" t="s">
        <v>18</v>
      </c>
      <c r="K1970">
        <v>0</v>
      </c>
      <c r="L197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970">
        <f>GhanaStream[[#This Row],[Subscription Fee]]-(GhanaStream[[#This Row],[Discount]]*GhanaStream[[#This Row],[Subscription Fee]])</f>
        <v>500</v>
      </c>
      <c r="N1970" t="str">
        <f>IF(GhanaStream[[#This Row],[Churn Flag]]="Yes","Churned","Retained")</f>
        <v>Retained</v>
      </c>
    </row>
    <row r="1971" spans="1:14" x14ac:dyDescent="0.25">
      <c r="A1971" t="s">
        <v>2009</v>
      </c>
      <c r="B1971" s="1">
        <v>45116</v>
      </c>
      <c r="C1971" t="s">
        <v>12</v>
      </c>
      <c r="D1971" t="s">
        <v>27</v>
      </c>
      <c r="E1971">
        <v>16200</v>
      </c>
      <c r="F1971" t="s">
        <v>32</v>
      </c>
      <c r="G1971" t="s">
        <v>28</v>
      </c>
      <c r="H1971" t="s">
        <v>16</v>
      </c>
      <c r="I1971" t="s">
        <v>17</v>
      </c>
      <c r="J1971" t="s">
        <v>39</v>
      </c>
      <c r="K1971">
        <v>0.1</v>
      </c>
      <c r="L197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971">
        <f>GhanaStream[[#This Row],[Subscription Fee]]-(GhanaStream[[#This Row],[Discount]]*GhanaStream[[#This Row],[Subscription Fee]])</f>
        <v>14580</v>
      </c>
      <c r="N1971" t="str">
        <f>IF(GhanaStream[[#This Row],[Churn Flag]]="Yes","Churned","Retained")</f>
        <v>Churned</v>
      </c>
    </row>
    <row r="1972" spans="1:14" x14ac:dyDescent="0.25">
      <c r="A1972" t="s">
        <v>2010</v>
      </c>
      <c r="B1972" s="1">
        <v>45176</v>
      </c>
      <c r="C1972" t="s">
        <v>31</v>
      </c>
      <c r="D1972" t="s">
        <v>27</v>
      </c>
      <c r="E1972">
        <v>10800</v>
      </c>
      <c r="F1972" t="s">
        <v>14</v>
      </c>
      <c r="G1972" t="s">
        <v>24</v>
      </c>
      <c r="H1972" t="s">
        <v>33</v>
      </c>
      <c r="I1972" t="s">
        <v>34</v>
      </c>
      <c r="J1972" t="s">
        <v>41</v>
      </c>
      <c r="K1972">
        <v>0.1</v>
      </c>
      <c r="L197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972">
        <f>GhanaStream[[#This Row],[Subscription Fee]]-(GhanaStream[[#This Row],[Discount]]*GhanaStream[[#This Row],[Subscription Fee]])</f>
        <v>9720</v>
      </c>
      <c r="N1972" t="str">
        <f>IF(GhanaStream[[#This Row],[Churn Flag]]="Yes","Churned","Retained")</f>
        <v>Retained</v>
      </c>
    </row>
    <row r="1973" spans="1:14" x14ac:dyDescent="0.25">
      <c r="A1973" t="s">
        <v>2011</v>
      </c>
      <c r="B1973" s="1">
        <v>45461</v>
      </c>
      <c r="C1973" t="s">
        <v>20</v>
      </c>
      <c r="D1973" t="s">
        <v>27</v>
      </c>
      <c r="E1973">
        <v>5400</v>
      </c>
      <c r="F1973" t="s">
        <v>14</v>
      </c>
      <c r="G1973" t="s">
        <v>24</v>
      </c>
      <c r="H1973" t="s">
        <v>16</v>
      </c>
      <c r="I1973" t="s">
        <v>17</v>
      </c>
      <c r="J1973" t="s">
        <v>18</v>
      </c>
      <c r="K1973">
        <v>0.1</v>
      </c>
      <c r="L197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973">
        <f>GhanaStream[[#This Row],[Subscription Fee]]-(GhanaStream[[#This Row],[Discount]]*GhanaStream[[#This Row],[Subscription Fee]])</f>
        <v>4860</v>
      </c>
      <c r="N1973" t="str">
        <f>IF(GhanaStream[[#This Row],[Churn Flag]]="Yes","Churned","Retained")</f>
        <v>Churned</v>
      </c>
    </row>
    <row r="1974" spans="1:14" x14ac:dyDescent="0.25">
      <c r="A1974" t="s">
        <v>2012</v>
      </c>
      <c r="B1974" s="1">
        <v>45402</v>
      </c>
      <c r="C1974" t="s">
        <v>31</v>
      </c>
      <c r="D1974" t="s">
        <v>13</v>
      </c>
      <c r="E1974">
        <v>1000</v>
      </c>
      <c r="F1974" t="s">
        <v>49</v>
      </c>
      <c r="G1974" t="s">
        <v>24</v>
      </c>
      <c r="H1974" t="s">
        <v>33</v>
      </c>
      <c r="I1974" t="s">
        <v>34</v>
      </c>
      <c r="J1974" t="s">
        <v>22</v>
      </c>
      <c r="K1974">
        <v>0</v>
      </c>
      <c r="L197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974">
        <f>GhanaStream[[#This Row],[Subscription Fee]]-(GhanaStream[[#This Row],[Discount]]*GhanaStream[[#This Row],[Subscription Fee]])</f>
        <v>1000</v>
      </c>
      <c r="N1974" t="str">
        <f>IF(GhanaStream[[#This Row],[Churn Flag]]="Yes","Churned","Retained")</f>
        <v>Retained</v>
      </c>
    </row>
    <row r="1975" spans="1:14" x14ac:dyDescent="0.25">
      <c r="A1975" t="s">
        <v>2013</v>
      </c>
      <c r="B1975" s="1">
        <v>45528</v>
      </c>
      <c r="C1975" t="s">
        <v>12</v>
      </c>
      <c r="D1975" t="s">
        <v>27</v>
      </c>
      <c r="E1975">
        <v>16200</v>
      </c>
      <c r="F1975" t="s">
        <v>32</v>
      </c>
      <c r="G1975" t="s">
        <v>24</v>
      </c>
      <c r="H1975" t="s">
        <v>33</v>
      </c>
      <c r="I1975" t="s">
        <v>34</v>
      </c>
      <c r="J1975" t="s">
        <v>25</v>
      </c>
      <c r="K1975">
        <v>0.1</v>
      </c>
      <c r="L197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975">
        <f>GhanaStream[[#This Row],[Subscription Fee]]-(GhanaStream[[#This Row],[Discount]]*GhanaStream[[#This Row],[Subscription Fee]])</f>
        <v>14580</v>
      </c>
      <c r="N1975" t="str">
        <f>IF(GhanaStream[[#This Row],[Churn Flag]]="Yes","Churned","Retained")</f>
        <v>Retained</v>
      </c>
    </row>
    <row r="1976" spans="1:14" x14ac:dyDescent="0.25">
      <c r="A1976" t="s">
        <v>2014</v>
      </c>
      <c r="B1976" s="1">
        <v>45634</v>
      </c>
      <c r="C1976" t="s">
        <v>20</v>
      </c>
      <c r="D1976" t="s">
        <v>13</v>
      </c>
      <c r="E1976">
        <v>500</v>
      </c>
      <c r="F1976" t="s">
        <v>49</v>
      </c>
      <c r="G1976" t="s">
        <v>24</v>
      </c>
      <c r="H1976" t="s">
        <v>33</v>
      </c>
      <c r="I1976" t="s">
        <v>34</v>
      </c>
      <c r="J1976" t="s">
        <v>35</v>
      </c>
      <c r="K1976">
        <v>0</v>
      </c>
      <c r="L197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976">
        <f>GhanaStream[[#This Row],[Subscription Fee]]-(GhanaStream[[#This Row],[Discount]]*GhanaStream[[#This Row],[Subscription Fee]])</f>
        <v>500</v>
      </c>
      <c r="N1976" t="str">
        <f>IF(GhanaStream[[#This Row],[Churn Flag]]="Yes","Churned","Retained")</f>
        <v>Retained</v>
      </c>
    </row>
    <row r="1977" spans="1:14" x14ac:dyDescent="0.25">
      <c r="A1977" t="s">
        <v>2015</v>
      </c>
      <c r="B1977" s="1">
        <v>45207</v>
      </c>
      <c r="C1977" t="s">
        <v>31</v>
      </c>
      <c r="D1977" t="s">
        <v>27</v>
      </c>
      <c r="E1977">
        <v>10800</v>
      </c>
      <c r="F1977" t="s">
        <v>21</v>
      </c>
      <c r="G1977" t="s">
        <v>15</v>
      </c>
      <c r="H1977" t="s">
        <v>16</v>
      </c>
      <c r="I1977" t="s">
        <v>17</v>
      </c>
      <c r="J1977" t="s">
        <v>25</v>
      </c>
      <c r="K1977">
        <v>0.1</v>
      </c>
      <c r="L197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977">
        <f>GhanaStream[[#This Row],[Subscription Fee]]-(GhanaStream[[#This Row],[Discount]]*GhanaStream[[#This Row],[Subscription Fee]])</f>
        <v>9720</v>
      </c>
      <c r="N1977" t="str">
        <f>IF(GhanaStream[[#This Row],[Churn Flag]]="Yes","Churned","Retained")</f>
        <v>Churned</v>
      </c>
    </row>
    <row r="1978" spans="1:14" x14ac:dyDescent="0.25">
      <c r="A1978" t="s">
        <v>2016</v>
      </c>
      <c r="B1978" s="1">
        <v>45010</v>
      </c>
      <c r="C1978" t="s">
        <v>20</v>
      </c>
      <c r="D1978" t="s">
        <v>13</v>
      </c>
      <c r="E1978">
        <v>500</v>
      </c>
      <c r="F1978" t="s">
        <v>49</v>
      </c>
      <c r="G1978" t="s">
        <v>24</v>
      </c>
      <c r="H1978" t="s">
        <v>33</v>
      </c>
      <c r="I1978" t="s">
        <v>34</v>
      </c>
      <c r="J1978" t="s">
        <v>35</v>
      </c>
      <c r="K1978">
        <v>0</v>
      </c>
      <c r="L197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978">
        <f>GhanaStream[[#This Row],[Subscription Fee]]-(GhanaStream[[#This Row],[Discount]]*GhanaStream[[#This Row],[Subscription Fee]])</f>
        <v>500</v>
      </c>
      <c r="N1978" t="str">
        <f>IF(GhanaStream[[#This Row],[Churn Flag]]="Yes","Churned","Retained")</f>
        <v>Retained</v>
      </c>
    </row>
    <row r="1979" spans="1:14" x14ac:dyDescent="0.25">
      <c r="A1979" t="s">
        <v>2017</v>
      </c>
      <c r="B1979" s="1">
        <v>45343</v>
      </c>
      <c r="C1979" t="s">
        <v>12</v>
      </c>
      <c r="D1979" t="s">
        <v>27</v>
      </c>
      <c r="E1979">
        <v>16200</v>
      </c>
      <c r="F1979" t="s">
        <v>49</v>
      </c>
      <c r="G1979" t="s">
        <v>28</v>
      </c>
      <c r="H1979" t="s">
        <v>16</v>
      </c>
      <c r="I1979" t="s">
        <v>17</v>
      </c>
      <c r="J1979" t="s">
        <v>58</v>
      </c>
      <c r="K1979">
        <v>0.1</v>
      </c>
      <c r="L197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979">
        <f>GhanaStream[[#This Row],[Subscription Fee]]-(GhanaStream[[#This Row],[Discount]]*GhanaStream[[#This Row],[Subscription Fee]])</f>
        <v>14580</v>
      </c>
      <c r="N1979" t="str">
        <f>IF(GhanaStream[[#This Row],[Churn Flag]]="Yes","Churned","Retained")</f>
        <v>Churned</v>
      </c>
    </row>
    <row r="1980" spans="1:14" x14ac:dyDescent="0.25">
      <c r="A1980" t="s">
        <v>2018</v>
      </c>
      <c r="B1980" s="1">
        <v>45205</v>
      </c>
      <c r="C1980" t="s">
        <v>20</v>
      </c>
      <c r="D1980" t="s">
        <v>13</v>
      </c>
      <c r="E1980">
        <v>500</v>
      </c>
      <c r="F1980" t="s">
        <v>49</v>
      </c>
      <c r="G1980" t="s">
        <v>24</v>
      </c>
      <c r="H1980" t="s">
        <v>16</v>
      </c>
      <c r="I1980" t="s">
        <v>17</v>
      </c>
      <c r="J1980" t="s">
        <v>50</v>
      </c>
      <c r="K1980">
        <v>0</v>
      </c>
      <c r="L198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980">
        <f>GhanaStream[[#This Row],[Subscription Fee]]-(GhanaStream[[#This Row],[Discount]]*GhanaStream[[#This Row],[Subscription Fee]])</f>
        <v>500</v>
      </c>
      <c r="N1980" t="str">
        <f>IF(GhanaStream[[#This Row],[Churn Flag]]="Yes","Churned","Retained")</f>
        <v>Churned</v>
      </c>
    </row>
    <row r="1981" spans="1:14" x14ac:dyDescent="0.25">
      <c r="A1981" t="s">
        <v>2019</v>
      </c>
      <c r="B1981" s="1">
        <v>45001</v>
      </c>
      <c r="C1981" t="s">
        <v>31</v>
      </c>
      <c r="D1981" t="s">
        <v>13</v>
      </c>
      <c r="E1981">
        <v>1000</v>
      </c>
      <c r="F1981" t="s">
        <v>14</v>
      </c>
      <c r="G1981" t="s">
        <v>24</v>
      </c>
      <c r="H1981" t="s">
        <v>16</v>
      </c>
      <c r="I1981" t="s">
        <v>17</v>
      </c>
      <c r="J1981" t="s">
        <v>37</v>
      </c>
      <c r="K1981">
        <v>0</v>
      </c>
      <c r="L198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981">
        <f>GhanaStream[[#This Row],[Subscription Fee]]-(GhanaStream[[#This Row],[Discount]]*GhanaStream[[#This Row],[Subscription Fee]])</f>
        <v>1000</v>
      </c>
      <c r="N1981" t="str">
        <f>IF(GhanaStream[[#This Row],[Churn Flag]]="Yes","Churned","Retained")</f>
        <v>Churned</v>
      </c>
    </row>
    <row r="1982" spans="1:14" x14ac:dyDescent="0.25">
      <c r="A1982" t="s">
        <v>2020</v>
      </c>
      <c r="B1982" s="1">
        <v>45628</v>
      </c>
      <c r="C1982" t="s">
        <v>12</v>
      </c>
      <c r="D1982" t="s">
        <v>13</v>
      </c>
      <c r="E1982">
        <v>1500</v>
      </c>
      <c r="F1982" t="s">
        <v>14</v>
      </c>
      <c r="G1982" t="s">
        <v>24</v>
      </c>
      <c r="H1982" t="s">
        <v>33</v>
      </c>
      <c r="I1982" t="s">
        <v>34</v>
      </c>
      <c r="J1982" t="s">
        <v>41</v>
      </c>
      <c r="K1982">
        <v>0</v>
      </c>
      <c r="L198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982">
        <f>GhanaStream[[#This Row],[Subscription Fee]]-(GhanaStream[[#This Row],[Discount]]*GhanaStream[[#This Row],[Subscription Fee]])</f>
        <v>1500</v>
      </c>
      <c r="N1982" t="str">
        <f>IF(GhanaStream[[#This Row],[Churn Flag]]="Yes","Churned","Retained")</f>
        <v>Retained</v>
      </c>
    </row>
    <row r="1983" spans="1:14" x14ac:dyDescent="0.25">
      <c r="A1983" t="s">
        <v>2021</v>
      </c>
      <c r="B1983" s="1">
        <v>44961</v>
      </c>
      <c r="C1983" t="s">
        <v>31</v>
      </c>
      <c r="D1983" t="s">
        <v>13</v>
      </c>
      <c r="E1983">
        <v>1000</v>
      </c>
      <c r="F1983" t="s">
        <v>14</v>
      </c>
      <c r="G1983" t="s">
        <v>24</v>
      </c>
      <c r="H1983" t="s">
        <v>33</v>
      </c>
      <c r="I1983" t="s">
        <v>34</v>
      </c>
      <c r="J1983" t="s">
        <v>18</v>
      </c>
      <c r="K1983">
        <v>0</v>
      </c>
      <c r="L198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983">
        <f>GhanaStream[[#This Row],[Subscription Fee]]-(GhanaStream[[#This Row],[Discount]]*GhanaStream[[#This Row],[Subscription Fee]])</f>
        <v>1000</v>
      </c>
      <c r="N1983" t="str">
        <f>IF(GhanaStream[[#This Row],[Churn Flag]]="Yes","Churned","Retained")</f>
        <v>Retained</v>
      </c>
    </row>
    <row r="1984" spans="1:14" x14ac:dyDescent="0.25">
      <c r="A1984" t="s">
        <v>2022</v>
      </c>
      <c r="B1984" s="1">
        <v>45445</v>
      </c>
      <c r="C1984" t="s">
        <v>12</v>
      </c>
      <c r="D1984" t="s">
        <v>27</v>
      </c>
      <c r="E1984">
        <v>16200</v>
      </c>
      <c r="F1984" t="s">
        <v>32</v>
      </c>
      <c r="G1984" t="s">
        <v>15</v>
      </c>
      <c r="H1984" t="s">
        <v>16</v>
      </c>
      <c r="I1984" t="s">
        <v>17</v>
      </c>
      <c r="J1984" t="s">
        <v>35</v>
      </c>
      <c r="K1984">
        <v>0.1</v>
      </c>
      <c r="L198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984">
        <f>GhanaStream[[#This Row],[Subscription Fee]]-(GhanaStream[[#This Row],[Discount]]*GhanaStream[[#This Row],[Subscription Fee]])</f>
        <v>14580</v>
      </c>
      <c r="N1984" t="str">
        <f>IF(GhanaStream[[#This Row],[Churn Flag]]="Yes","Churned","Retained")</f>
        <v>Churned</v>
      </c>
    </row>
    <row r="1985" spans="1:14" x14ac:dyDescent="0.25">
      <c r="A1985" t="s">
        <v>2023</v>
      </c>
      <c r="B1985" s="1">
        <v>44968</v>
      </c>
      <c r="C1985" t="s">
        <v>31</v>
      </c>
      <c r="D1985" t="s">
        <v>27</v>
      </c>
      <c r="E1985">
        <v>10800</v>
      </c>
      <c r="F1985" t="s">
        <v>14</v>
      </c>
      <c r="G1985" t="s">
        <v>24</v>
      </c>
      <c r="H1985" t="s">
        <v>33</v>
      </c>
      <c r="I1985" t="s">
        <v>34</v>
      </c>
      <c r="J1985" t="s">
        <v>37</v>
      </c>
      <c r="K1985">
        <v>0.1</v>
      </c>
      <c r="L198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985">
        <f>GhanaStream[[#This Row],[Subscription Fee]]-(GhanaStream[[#This Row],[Discount]]*GhanaStream[[#This Row],[Subscription Fee]])</f>
        <v>9720</v>
      </c>
      <c r="N1985" t="str">
        <f>IF(GhanaStream[[#This Row],[Churn Flag]]="Yes","Churned","Retained")</f>
        <v>Retained</v>
      </c>
    </row>
    <row r="1986" spans="1:14" x14ac:dyDescent="0.25">
      <c r="A1986" t="s">
        <v>2024</v>
      </c>
      <c r="B1986" s="1">
        <v>45159</v>
      </c>
      <c r="C1986" t="s">
        <v>12</v>
      </c>
      <c r="D1986" t="s">
        <v>13</v>
      </c>
      <c r="E1986">
        <v>1500</v>
      </c>
      <c r="F1986" t="s">
        <v>49</v>
      </c>
      <c r="G1986" t="s">
        <v>24</v>
      </c>
      <c r="H1986" t="s">
        <v>33</v>
      </c>
      <c r="I1986" t="s">
        <v>34</v>
      </c>
      <c r="J1986" t="s">
        <v>58</v>
      </c>
      <c r="K1986">
        <v>0</v>
      </c>
      <c r="L198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986">
        <f>GhanaStream[[#This Row],[Subscription Fee]]-(GhanaStream[[#This Row],[Discount]]*GhanaStream[[#This Row],[Subscription Fee]])</f>
        <v>1500</v>
      </c>
      <c r="N1986" t="str">
        <f>IF(GhanaStream[[#This Row],[Churn Flag]]="Yes","Churned","Retained")</f>
        <v>Retained</v>
      </c>
    </row>
    <row r="1987" spans="1:14" x14ac:dyDescent="0.25">
      <c r="A1987" t="s">
        <v>2025</v>
      </c>
      <c r="B1987" s="1">
        <v>45115</v>
      </c>
      <c r="C1987" t="s">
        <v>20</v>
      </c>
      <c r="D1987" t="s">
        <v>27</v>
      </c>
      <c r="E1987">
        <v>5400</v>
      </c>
      <c r="F1987" t="s">
        <v>21</v>
      </c>
      <c r="G1987" t="s">
        <v>28</v>
      </c>
      <c r="H1987" t="s">
        <v>33</v>
      </c>
      <c r="I1987" t="s">
        <v>34</v>
      </c>
      <c r="J1987" t="s">
        <v>29</v>
      </c>
      <c r="K1987">
        <v>0.1</v>
      </c>
      <c r="L198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987">
        <f>GhanaStream[[#This Row],[Subscription Fee]]-(GhanaStream[[#This Row],[Discount]]*GhanaStream[[#This Row],[Subscription Fee]])</f>
        <v>4860</v>
      </c>
      <c r="N1987" t="str">
        <f>IF(GhanaStream[[#This Row],[Churn Flag]]="Yes","Churned","Retained")</f>
        <v>Retained</v>
      </c>
    </row>
    <row r="1988" spans="1:14" x14ac:dyDescent="0.25">
      <c r="A1988" t="s">
        <v>2026</v>
      </c>
      <c r="B1988" s="1">
        <v>45449</v>
      </c>
      <c r="C1988" t="s">
        <v>12</v>
      </c>
      <c r="D1988" t="s">
        <v>27</v>
      </c>
      <c r="E1988">
        <v>16200</v>
      </c>
      <c r="F1988" t="s">
        <v>49</v>
      </c>
      <c r="G1988" t="s">
        <v>28</v>
      </c>
      <c r="H1988" t="s">
        <v>33</v>
      </c>
      <c r="I1988" t="s">
        <v>34</v>
      </c>
      <c r="J1988" t="s">
        <v>18</v>
      </c>
      <c r="K1988">
        <v>0.1</v>
      </c>
      <c r="L198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988">
        <f>GhanaStream[[#This Row],[Subscription Fee]]-(GhanaStream[[#This Row],[Discount]]*GhanaStream[[#This Row],[Subscription Fee]])</f>
        <v>14580</v>
      </c>
      <c r="N1988" t="str">
        <f>IF(GhanaStream[[#This Row],[Churn Flag]]="Yes","Churned","Retained")</f>
        <v>Retained</v>
      </c>
    </row>
    <row r="1989" spans="1:14" x14ac:dyDescent="0.25">
      <c r="A1989" t="s">
        <v>2027</v>
      </c>
      <c r="B1989" s="1">
        <v>45191</v>
      </c>
      <c r="C1989" t="s">
        <v>31</v>
      </c>
      <c r="D1989" t="s">
        <v>27</v>
      </c>
      <c r="E1989">
        <v>10800</v>
      </c>
      <c r="F1989" t="s">
        <v>32</v>
      </c>
      <c r="G1989" t="s">
        <v>28</v>
      </c>
      <c r="H1989" t="s">
        <v>33</v>
      </c>
      <c r="I1989" t="s">
        <v>34</v>
      </c>
      <c r="J1989" t="s">
        <v>39</v>
      </c>
      <c r="K1989">
        <v>0.1</v>
      </c>
      <c r="L198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989">
        <f>GhanaStream[[#This Row],[Subscription Fee]]-(GhanaStream[[#This Row],[Discount]]*GhanaStream[[#This Row],[Subscription Fee]])</f>
        <v>9720</v>
      </c>
      <c r="N1989" t="str">
        <f>IF(GhanaStream[[#This Row],[Churn Flag]]="Yes","Churned","Retained")</f>
        <v>Retained</v>
      </c>
    </row>
    <row r="1990" spans="1:14" x14ac:dyDescent="0.25">
      <c r="A1990" t="s">
        <v>2028</v>
      </c>
      <c r="B1990" s="1">
        <v>45102</v>
      </c>
      <c r="C1990" t="s">
        <v>31</v>
      </c>
      <c r="D1990" t="s">
        <v>27</v>
      </c>
      <c r="E1990">
        <v>10800</v>
      </c>
      <c r="F1990" t="s">
        <v>49</v>
      </c>
      <c r="G1990" t="s">
        <v>24</v>
      </c>
      <c r="H1990" t="s">
        <v>33</v>
      </c>
      <c r="I1990" t="s">
        <v>34</v>
      </c>
      <c r="J1990" t="s">
        <v>35</v>
      </c>
      <c r="K1990">
        <v>0.1</v>
      </c>
      <c r="L199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990">
        <f>GhanaStream[[#This Row],[Subscription Fee]]-(GhanaStream[[#This Row],[Discount]]*GhanaStream[[#This Row],[Subscription Fee]])</f>
        <v>9720</v>
      </c>
      <c r="N1990" t="str">
        <f>IF(GhanaStream[[#This Row],[Churn Flag]]="Yes","Churned","Retained")</f>
        <v>Retained</v>
      </c>
    </row>
    <row r="1991" spans="1:14" x14ac:dyDescent="0.25">
      <c r="A1991" t="s">
        <v>2029</v>
      </c>
      <c r="B1991" s="1">
        <v>45598</v>
      </c>
      <c r="C1991" t="s">
        <v>31</v>
      </c>
      <c r="D1991" t="s">
        <v>13</v>
      </c>
      <c r="E1991">
        <v>1000</v>
      </c>
      <c r="F1991" t="s">
        <v>32</v>
      </c>
      <c r="G1991" t="s">
        <v>24</v>
      </c>
      <c r="H1991" t="s">
        <v>33</v>
      </c>
      <c r="I1991" t="s">
        <v>34</v>
      </c>
      <c r="J1991" t="s">
        <v>25</v>
      </c>
      <c r="K1991">
        <v>0</v>
      </c>
      <c r="L199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991">
        <f>GhanaStream[[#This Row],[Subscription Fee]]-(GhanaStream[[#This Row],[Discount]]*GhanaStream[[#This Row],[Subscription Fee]])</f>
        <v>1000</v>
      </c>
      <c r="N1991" t="str">
        <f>IF(GhanaStream[[#This Row],[Churn Flag]]="Yes","Churned","Retained")</f>
        <v>Retained</v>
      </c>
    </row>
    <row r="1992" spans="1:14" x14ac:dyDescent="0.25">
      <c r="A1992" t="s">
        <v>2030</v>
      </c>
      <c r="B1992" s="1">
        <v>45623</v>
      </c>
      <c r="C1992" t="s">
        <v>20</v>
      </c>
      <c r="D1992" t="s">
        <v>27</v>
      </c>
      <c r="E1992">
        <v>5400</v>
      </c>
      <c r="F1992" t="s">
        <v>14</v>
      </c>
      <c r="G1992" t="s">
        <v>28</v>
      </c>
      <c r="H1992" t="s">
        <v>33</v>
      </c>
      <c r="I1992" t="s">
        <v>34</v>
      </c>
      <c r="J1992" t="s">
        <v>37</v>
      </c>
      <c r="K1992">
        <v>0.1</v>
      </c>
      <c r="L1992"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1992">
        <f>GhanaStream[[#This Row],[Subscription Fee]]-(GhanaStream[[#This Row],[Discount]]*GhanaStream[[#This Row],[Subscription Fee]])</f>
        <v>4860</v>
      </c>
      <c r="N1992" t="str">
        <f>IF(GhanaStream[[#This Row],[Churn Flag]]="Yes","Churned","Retained")</f>
        <v>Retained</v>
      </c>
    </row>
    <row r="1993" spans="1:14" x14ac:dyDescent="0.25">
      <c r="A1993" t="s">
        <v>2031</v>
      </c>
      <c r="B1993" s="1">
        <v>45382</v>
      </c>
      <c r="C1993" t="s">
        <v>31</v>
      </c>
      <c r="D1993" t="s">
        <v>27</v>
      </c>
      <c r="E1993">
        <v>10800</v>
      </c>
      <c r="F1993" t="s">
        <v>14</v>
      </c>
      <c r="G1993" t="s">
        <v>24</v>
      </c>
      <c r="H1993" t="s">
        <v>33</v>
      </c>
      <c r="I1993" t="s">
        <v>34</v>
      </c>
      <c r="J1993" t="s">
        <v>41</v>
      </c>
      <c r="K1993">
        <v>0.1</v>
      </c>
      <c r="L1993"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993">
        <f>GhanaStream[[#This Row],[Subscription Fee]]-(GhanaStream[[#This Row],[Discount]]*GhanaStream[[#This Row],[Subscription Fee]])</f>
        <v>9720</v>
      </c>
      <c r="N1993" t="str">
        <f>IF(GhanaStream[[#This Row],[Churn Flag]]="Yes","Churned","Retained")</f>
        <v>Retained</v>
      </c>
    </row>
    <row r="1994" spans="1:14" x14ac:dyDescent="0.25">
      <c r="A1994" t="s">
        <v>2032</v>
      </c>
      <c r="B1994" s="1">
        <v>45548</v>
      </c>
      <c r="C1994" t="s">
        <v>12</v>
      </c>
      <c r="D1994" t="s">
        <v>27</v>
      </c>
      <c r="E1994">
        <v>16200</v>
      </c>
      <c r="F1994" t="s">
        <v>32</v>
      </c>
      <c r="G1994" t="s">
        <v>24</v>
      </c>
      <c r="H1994" t="s">
        <v>33</v>
      </c>
      <c r="I1994" t="s">
        <v>34</v>
      </c>
      <c r="J1994" t="s">
        <v>39</v>
      </c>
      <c r="K1994">
        <v>0.1</v>
      </c>
      <c r="L1994"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Northern Ghana</v>
      </c>
      <c r="M1994">
        <f>GhanaStream[[#This Row],[Subscription Fee]]-(GhanaStream[[#This Row],[Discount]]*GhanaStream[[#This Row],[Subscription Fee]])</f>
        <v>14580</v>
      </c>
      <c r="N1994" t="str">
        <f>IF(GhanaStream[[#This Row],[Churn Flag]]="Yes","Churned","Retained")</f>
        <v>Retained</v>
      </c>
    </row>
    <row r="1995" spans="1:14" x14ac:dyDescent="0.25">
      <c r="A1995" t="s">
        <v>2033</v>
      </c>
      <c r="B1995" s="1">
        <v>45544</v>
      </c>
      <c r="C1995" t="s">
        <v>20</v>
      </c>
      <c r="D1995" t="s">
        <v>13</v>
      </c>
      <c r="E1995">
        <v>500</v>
      </c>
      <c r="F1995" t="s">
        <v>21</v>
      </c>
      <c r="G1995" t="s">
        <v>24</v>
      </c>
      <c r="H1995" t="s">
        <v>33</v>
      </c>
      <c r="I1995" t="s">
        <v>34</v>
      </c>
      <c r="J1995" t="s">
        <v>25</v>
      </c>
      <c r="K1995">
        <v>0</v>
      </c>
      <c r="L1995"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995">
        <f>GhanaStream[[#This Row],[Subscription Fee]]-(GhanaStream[[#This Row],[Discount]]*GhanaStream[[#This Row],[Subscription Fee]])</f>
        <v>500</v>
      </c>
      <c r="N1995" t="str">
        <f>IF(GhanaStream[[#This Row],[Churn Flag]]="Yes","Churned","Retained")</f>
        <v>Retained</v>
      </c>
    </row>
    <row r="1996" spans="1:14" x14ac:dyDescent="0.25">
      <c r="A1996" t="s">
        <v>2034</v>
      </c>
      <c r="B1996" s="1">
        <v>45469</v>
      </c>
      <c r="C1996" t="s">
        <v>20</v>
      </c>
      <c r="D1996" t="s">
        <v>27</v>
      </c>
      <c r="E1996">
        <v>5400</v>
      </c>
      <c r="F1996" t="s">
        <v>49</v>
      </c>
      <c r="G1996" t="s">
        <v>15</v>
      </c>
      <c r="H1996" t="s">
        <v>16</v>
      </c>
      <c r="I1996" t="s">
        <v>17</v>
      </c>
      <c r="J1996" t="s">
        <v>50</v>
      </c>
      <c r="K1996">
        <v>0.1</v>
      </c>
      <c r="L1996"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996">
        <f>GhanaStream[[#This Row],[Subscription Fee]]-(GhanaStream[[#This Row],[Discount]]*GhanaStream[[#This Row],[Subscription Fee]])</f>
        <v>4860</v>
      </c>
      <c r="N1996" t="str">
        <f>IF(GhanaStream[[#This Row],[Churn Flag]]="Yes","Churned","Retained")</f>
        <v>Churned</v>
      </c>
    </row>
    <row r="1997" spans="1:14" x14ac:dyDescent="0.25">
      <c r="A1997" t="s">
        <v>2035</v>
      </c>
      <c r="B1997" s="1">
        <v>45621</v>
      </c>
      <c r="C1997" t="s">
        <v>12</v>
      </c>
      <c r="D1997" t="s">
        <v>13</v>
      </c>
      <c r="E1997">
        <v>1500</v>
      </c>
      <c r="F1997" t="s">
        <v>32</v>
      </c>
      <c r="G1997" t="s">
        <v>24</v>
      </c>
      <c r="H1997" t="s">
        <v>33</v>
      </c>
      <c r="I1997" t="s">
        <v>34</v>
      </c>
      <c r="J1997" t="s">
        <v>66</v>
      </c>
      <c r="K1997">
        <v>0</v>
      </c>
      <c r="L1997"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997">
        <f>GhanaStream[[#This Row],[Subscription Fee]]-(GhanaStream[[#This Row],[Discount]]*GhanaStream[[#This Row],[Subscription Fee]])</f>
        <v>1500</v>
      </c>
      <c r="N1997" t="str">
        <f>IF(GhanaStream[[#This Row],[Churn Flag]]="Yes","Churned","Retained")</f>
        <v>Retained</v>
      </c>
    </row>
    <row r="1998" spans="1:14" x14ac:dyDescent="0.25">
      <c r="A1998" t="s">
        <v>2036</v>
      </c>
      <c r="B1998" s="1">
        <v>45138</v>
      </c>
      <c r="C1998" t="s">
        <v>20</v>
      </c>
      <c r="D1998" t="s">
        <v>27</v>
      </c>
      <c r="E1998">
        <v>5400</v>
      </c>
      <c r="F1998" t="s">
        <v>14</v>
      </c>
      <c r="G1998" t="s">
        <v>24</v>
      </c>
      <c r="H1998" t="s">
        <v>33</v>
      </c>
      <c r="I1998" t="s">
        <v>34</v>
      </c>
      <c r="J1998" t="s">
        <v>22</v>
      </c>
      <c r="K1998">
        <v>0.1</v>
      </c>
      <c r="L1998"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1998">
        <f>GhanaStream[[#This Row],[Subscription Fee]]-(GhanaStream[[#This Row],[Discount]]*GhanaStream[[#This Row],[Subscription Fee]])</f>
        <v>4860</v>
      </c>
      <c r="N1998" t="str">
        <f>IF(GhanaStream[[#This Row],[Churn Flag]]="Yes","Churned","Retained")</f>
        <v>Retained</v>
      </c>
    </row>
    <row r="1999" spans="1:14" x14ac:dyDescent="0.25">
      <c r="A1999" t="s">
        <v>2037</v>
      </c>
      <c r="B1999" s="1">
        <v>45307</v>
      </c>
      <c r="C1999" t="s">
        <v>31</v>
      </c>
      <c r="D1999" t="s">
        <v>27</v>
      </c>
      <c r="E1999">
        <v>10800</v>
      </c>
      <c r="F1999" t="s">
        <v>21</v>
      </c>
      <c r="G1999" t="s">
        <v>24</v>
      </c>
      <c r="H1999" t="s">
        <v>16</v>
      </c>
      <c r="I1999" t="s">
        <v>17</v>
      </c>
      <c r="J1999" t="s">
        <v>29</v>
      </c>
      <c r="K1999">
        <v>0.1</v>
      </c>
      <c r="L1999"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Southern Ghana</v>
      </c>
      <c r="M1999">
        <f>GhanaStream[[#This Row],[Subscription Fee]]-(GhanaStream[[#This Row],[Discount]]*GhanaStream[[#This Row],[Subscription Fee]])</f>
        <v>9720</v>
      </c>
      <c r="N1999" t="str">
        <f>IF(GhanaStream[[#This Row],[Churn Flag]]="Yes","Churned","Retained")</f>
        <v>Churned</v>
      </c>
    </row>
    <row r="2000" spans="1:14" x14ac:dyDescent="0.25">
      <c r="A2000" t="s">
        <v>2038</v>
      </c>
      <c r="B2000" s="1">
        <v>45035</v>
      </c>
      <c r="C2000" t="s">
        <v>12</v>
      </c>
      <c r="D2000" t="s">
        <v>27</v>
      </c>
      <c r="E2000">
        <v>16200</v>
      </c>
      <c r="F2000" t="s">
        <v>32</v>
      </c>
      <c r="G2000" t="s">
        <v>24</v>
      </c>
      <c r="H2000" t="s">
        <v>33</v>
      </c>
      <c r="I2000" t="s">
        <v>34</v>
      </c>
      <c r="J2000" t="s">
        <v>35</v>
      </c>
      <c r="K2000">
        <v>0.1</v>
      </c>
      <c r="L2000"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Eastern Ghana</v>
      </c>
      <c r="M2000">
        <f>GhanaStream[[#This Row],[Subscription Fee]]-(GhanaStream[[#This Row],[Discount]]*GhanaStream[[#This Row],[Subscription Fee]])</f>
        <v>14580</v>
      </c>
      <c r="N2000" t="str">
        <f>IF(GhanaStream[[#This Row],[Churn Flag]]="Yes","Churned","Retained")</f>
        <v>Retained</v>
      </c>
    </row>
    <row r="2001" spans="1:14" x14ac:dyDescent="0.25">
      <c r="A2001" t="s">
        <v>2039</v>
      </c>
      <c r="B2001" s="1">
        <v>45592</v>
      </c>
      <c r="C2001" t="s">
        <v>31</v>
      </c>
      <c r="D2001" t="s">
        <v>27</v>
      </c>
      <c r="E2001">
        <v>10800</v>
      </c>
      <c r="F2001" t="s">
        <v>14</v>
      </c>
      <c r="G2001" t="s">
        <v>28</v>
      </c>
      <c r="H2001" t="s">
        <v>33</v>
      </c>
      <c r="I2001" t="s">
        <v>34</v>
      </c>
      <c r="J2001" t="s">
        <v>22</v>
      </c>
      <c r="K2001">
        <v>0.1</v>
      </c>
      <c r="L2001" t="str">
        <f>IF(OR(GhanaStream[[#This Row],[State]]="Greater Accra",GhanaStream[[#This Row],[State]]="Central"),"Southern Ghana",
IF(OR(GhanaStream[[#This Row],[State]]="Northern",GhanaStream[[#This Row],[State]]="North East",GhanaStream[[#This Row],[State]]="Upper East",GhanaStream[[#This Row],[State]]="Upper West",GhanaStream[[#This Row],[State]]="Savannah"),"Northern Ghana",
IF(OR(GhanaStream[[#This Row],[State]]="Eastern",GhanaStream[[#This Row],[State]]="Volta",GhanaStream[[#This Row],[State]]="Oti"),"Eastern Ghana",
IF(OR(GhanaStream[[#This Row],[State]]="Western",GhanaStream[[#This Row],[State]]="Western North",GhanaStream[[#This Row],[State]]="Ashanti",GhanaStream[[#This Row],[State]]="Bono",GhanaStream[[#This Row],[State]]="Ahafo"),"Western Ghana"))))</f>
        <v>Western Ghana</v>
      </c>
      <c r="M2001">
        <f>GhanaStream[[#This Row],[Subscription Fee]]-(GhanaStream[[#This Row],[Discount]]*GhanaStream[[#This Row],[Subscription Fee]])</f>
        <v>9720</v>
      </c>
      <c r="N2001" t="str">
        <f>IF(GhanaStream[[#This Row],[Churn Flag]]="Yes","Churned","Retained")</f>
        <v>Retained</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C5AC5-21D8-438E-81EB-5B2D0B4A07D8}">
  <dimension ref="A2:C30"/>
  <sheetViews>
    <sheetView workbookViewId="0">
      <selection activeCell="H8" sqref="H8"/>
    </sheetView>
  </sheetViews>
  <sheetFormatPr defaultRowHeight="15" x14ac:dyDescent="0.25"/>
  <cols>
    <col min="1" max="1" width="43.7109375" bestFit="1" customWidth="1"/>
    <col min="2" max="2" width="17" bestFit="1" customWidth="1"/>
    <col min="3" max="3" width="16" bestFit="1" customWidth="1"/>
  </cols>
  <sheetData>
    <row r="2" spans="1:3" x14ac:dyDescent="0.25">
      <c r="A2" t="s">
        <v>2041</v>
      </c>
      <c r="B2" s="2">
        <f>SUM(GhanaStream[Revenue])</f>
        <v>10986320</v>
      </c>
    </row>
    <row r="3" spans="1:3" x14ac:dyDescent="0.25">
      <c r="A3" t="s">
        <v>2042</v>
      </c>
      <c r="B3">
        <f>COUNTA(GhanaStream[Order ID])</f>
        <v>2000</v>
      </c>
    </row>
    <row r="4" spans="1:3" x14ac:dyDescent="0.25">
      <c r="A4" t="s">
        <v>2043</v>
      </c>
      <c r="B4" s="3">
        <f>SUMIFS(GhanaStream[Revenue],GhanaStream[Plan Type],"Monthly")+(SUMIFS(GhanaStream[Revenue],GhanaStream[Plan Type],"Annual")/12)</f>
        <v>1800110</v>
      </c>
    </row>
    <row r="5" spans="1:3" x14ac:dyDescent="0.25">
      <c r="A5" t="s">
        <v>2044</v>
      </c>
      <c r="B5" s="2">
        <f>B4*12</f>
        <v>21601320</v>
      </c>
    </row>
    <row r="6" spans="1:3" x14ac:dyDescent="0.25">
      <c r="A6" t="s">
        <v>2045</v>
      </c>
      <c r="B6" s="2">
        <f>B4/B3</f>
        <v>900.05499999999995</v>
      </c>
    </row>
    <row r="7" spans="1:3" x14ac:dyDescent="0.25">
      <c r="A7" t="s">
        <v>2046</v>
      </c>
      <c r="B7" s="4">
        <f>COUNTIF(GhanaStream[Churn Flag],"Yes")/COUNTA(GhanaStream[Order ID])</f>
        <v>0.49349999999999999</v>
      </c>
    </row>
    <row r="8" spans="1:3" x14ac:dyDescent="0.25">
      <c r="A8" t="s">
        <v>2047</v>
      </c>
      <c r="B8" s="4">
        <f>COUNTIF(GhanaStream[Device],"Mobile")/COUNTA(GhanaStream[Order ID])</f>
        <v>0.39600000000000002</v>
      </c>
    </row>
    <row r="9" spans="1:3" x14ac:dyDescent="0.25">
      <c r="A9" t="s">
        <v>2048</v>
      </c>
      <c r="B9" s="4">
        <f>COUNTIF(GhanaStream[Device],"Desktop")/COUNTA(GhanaStream[Order ID])</f>
        <v>0.34449999999999997</v>
      </c>
    </row>
    <row r="10" spans="1:3" x14ac:dyDescent="0.25">
      <c r="A10" t="s">
        <v>2049</v>
      </c>
      <c r="B10" s="4">
        <f>COUNTIF(GhanaStream[Device],"Smart TV")/COUNTA(GhanaStream[Order ID])</f>
        <v>0.25950000000000001</v>
      </c>
    </row>
    <row r="11" spans="1:3" x14ac:dyDescent="0.25">
      <c r="A11" t="s">
        <v>2056</v>
      </c>
      <c r="B11" t="s">
        <v>9</v>
      </c>
      <c r="C11" t="s">
        <v>2058</v>
      </c>
    </row>
    <row r="12" spans="1:3" x14ac:dyDescent="0.25">
      <c r="B12" t="str" cm="1">
        <f t="array" ref="B12:B24">_xlfn.UNIQUE(GhanaStream[State])</f>
        <v>Greater Accra</v>
      </c>
      <c r="C12" s="7">
        <f>SUMIF(GhanaStream[State],B12,GhanaStream[Revenue])</f>
        <v>1634020</v>
      </c>
    </row>
    <row r="13" spans="1:3" x14ac:dyDescent="0.25">
      <c r="B13" t="str">
        <v>Ashanti</v>
      </c>
      <c r="C13" s="7">
        <f>SUMIF(GhanaStream[State],B13,GhanaStream[Revenue])</f>
        <v>1415340</v>
      </c>
    </row>
    <row r="14" spans="1:3" x14ac:dyDescent="0.25">
      <c r="B14" t="str">
        <v>Western</v>
      </c>
      <c r="C14" s="7">
        <f>SUMIF(GhanaStream[State],B14,GhanaStream[Revenue])</f>
        <v>1872860</v>
      </c>
    </row>
    <row r="15" spans="1:3" x14ac:dyDescent="0.25">
      <c r="B15" t="str">
        <v>Central</v>
      </c>
      <c r="C15" s="7">
        <f>SUMIF(GhanaStream[State],B15,GhanaStream[Revenue])</f>
        <v>961160</v>
      </c>
    </row>
    <row r="16" spans="1:3" x14ac:dyDescent="0.25">
      <c r="B16" t="str">
        <v>Eastern</v>
      </c>
      <c r="C16" s="7">
        <f>SUMIF(GhanaStream[State],B16,GhanaStream[Revenue])</f>
        <v>939500</v>
      </c>
    </row>
    <row r="17" spans="1:3" x14ac:dyDescent="0.25">
      <c r="B17" t="str">
        <v>Volta</v>
      </c>
      <c r="C17" s="7">
        <f>SUMIF(GhanaStream[State],B17,GhanaStream[Revenue])</f>
        <v>804920</v>
      </c>
    </row>
    <row r="18" spans="1:3" x14ac:dyDescent="0.25">
      <c r="B18" t="str">
        <v>Northern</v>
      </c>
      <c r="C18" s="7">
        <f>SUMIF(GhanaStream[State],B18,GhanaStream[Revenue])</f>
        <v>454100</v>
      </c>
    </row>
    <row r="19" spans="1:3" x14ac:dyDescent="0.25">
      <c r="B19" t="str">
        <v>Upper East</v>
      </c>
      <c r="C19" s="7">
        <f>SUMIF(GhanaStream[State],B19,GhanaStream[Revenue])</f>
        <v>505420</v>
      </c>
    </row>
    <row r="20" spans="1:3" x14ac:dyDescent="0.25">
      <c r="B20" t="str">
        <v>Bono</v>
      </c>
      <c r="C20" s="7">
        <f>SUMIF(GhanaStream[State],B20,GhanaStream[Revenue])</f>
        <v>382560</v>
      </c>
    </row>
    <row r="21" spans="1:3" x14ac:dyDescent="0.25">
      <c r="B21" t="str">
        <v>Ahafo</v>
      </c>
      <c r="C21" s="7">
        <f>SUMIF(GhanaStream[State],B21,GhanaStream[Revenue])</f>
        <v>501340</v>
      </c>
    </row>
    <row r="22" spans="1:3" x14ac:dyDescent="0.25">
      <c r="B22" t="str">
        <v>Savannah</v>
      </c>
      <c r="C22" s="7">
        <f>SUMIF(GhanaStream[State],B22,GhanaStream[Revenue])</f>
        <v>514060</v>
      </c>
    </row>
    <row r="23" spans="1:3" x14ac:dyDescent="0.25">
      <c r="B23" t="str">
        <v>Oti</v>
      </c>
      <c r="C23" s="7">
        <f>SUMIF(GhanaStream[State],B23,GhanaStream[Revenue])</f>
        <v>526140</v>
      </c>
    </row>
    <row r="24" spans="1:3" x14ac:dyDescent="0.25">
      <c r="B24" t="str">
        <v>Western North</v>
      </c>
      <c r="C24" s="7">
        <f>SUMIF(GhanaStream[State],B24,GhanaStream[Revenue])</f>
        <v>474900</v>
      </c>
    </row>
    <row r="26" spans="1:3" x14ac:dyDescent="0.25">
      <c r="A26" t="s">
        <v>2057</v>
      </c>
      <c r="B26" t="s">
        <v>5</v>
      </c>
      <c r="C26" t="s">
        <v>2058</v>
      </c>
    </row>
    <row r="27" spans="1:3" x14ac:dyDescent="0.25">
      <c r="B27" t="str" cm="1">
        <f t="array" ref="B27:B30">_xlfn.UNIQUE(GhanaStream[Regions])</f>
        <v>Southern Ghana</v>
      </c>
      <c r="C27" s="7">
        <f>SUMIF(GhanaStream[Regions],B27,GhanaStream[Revenue])</f>
        <v>2595180</v>
      </c>
    </row>
    <row r="28" spans="1:3" x14ac:dyDescent="0.25">
      <c r="B28" t="str">
        <v>Western Ghana</v>
      </c>
      <c r="C28" s="7">
        <f>SUMIF(GhanaStream[Regions],B28,GhanaStream[Revenue])</f>
        <v>4647000</v>
      </c>
    </row>
    <row r="29" spans="1:3" x14ac:dyDescent="0.25">
      <c r="B29" t="str">
        <v>Eastern Ghana</v>
      </c>
      <c r="C29" s="7">
        <f>SUMIF(GhanaStream[Regions],B29,GhanaStream[Revenue])</f>
        <v>2270560</v>
      </c>
    </row>
    <row r="30" spans="1:3" x14ac:dyDescent="0.25">
      <c r="B30" t="str">
        <v>Northern Ghana</v>
      </c>
      <c r="C30" s="7">
        <f>SUMIF(GhanaStream[Regions],B30,GhanaStream[Revenue])</f>
        <v>1473580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D27BA-2817-4A43-950E-4149881B563D}">
  <dimension ref="A1"/>
  <sheetViews>
    <sheetView showGridLines="0" tabSelected="1" zoomScale="50" zoomScaleNormal="50" workbookViewId="0">
      <selection activeCell="AE13" sqref="AE13"/>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35604-2BE1-4EEB-B1CE-6B0D710D51FC}">
  <dimension ref="B2:E71"/>
  <sheetViews>
    <sheetView topLeftCell="A57" workbookViewId="0">
      <selection activeCell="W5" sqref="W5"/>
    </sheetView>
  </sheetViews>
  <sheetFormatPr defaultRowHeight="15" x14ac:dyDescent="0.25"/>
  <cols>
    <col min="2" max="2" width="15.5703125" bestFit="1" customWidth="1"/>
    <col min="3" max="3" width="18.5703125" bestFit="1" customWidth="1"/>
    <col min="4" max="4" width="9" bestFit="1" customWidth="1"/>
    <col min="5" max="5" width="11.28515625" bestFit="1" customWidth="1"/>
    <col min="6" max="6" width="14" bestFit="1" customWidth="1"/>
    <col min="7" max="7" width="11.28515625" bestFit="1" customWidth="1"/>
  </cols>
  <sheetData>
    <row r="2" spans="2:5" x14ac:dyDescent="0.25">
      <c r="B2" s="5" t="s">
        <v>2051</v>
      </c>
      <c r="C2" t="s">
        <v>2053</v>
      </c>
    </row>
    <row r="3" spans="2:5" x14ac:dyDescent="0.25">
      <c r="B3" s="6" t="s">
        <v>20</v>
      </c>
      <c r="C3" s="12">
        <v>2557.9727685325265</v>
      </c>
    </row>
    <row r="4" spans="2:5" x14ac:dyDescent="0.25">
      <c r="B4" s="6" t="s">
        <v>31</v>
      </c>
      <c r="C4" s="12">
        <v>5639.6501457725944</v>
      </c>
    </row>
    <row r="5" spans="2:5" x14ac:dyDescent="0.25">
      <c r="B5" s="6" t="s">
        <v>12</v>
      </c>
      <c r="C5" s="12">
        <v>8310.4134762634003</v>
      </c>
    </row>
    <row r="6" spans="2:5" x14ac:dyDescent="0.25">
      <c r="B6" s="6" t="s">
        <v>2052</v>
      </c>
      <c r="C6" s="12">
        <v>5493.16</v>
      </c>
    </row>
    <row r="8" spans="2:5" x14ac:dyDescent="0.25">
      <c r="B8" s="5" t="s">
        <v>2054</v>
      </c>
      <c r="C8" s="5" t="s">
        <v>2055</v>
      </c>
    </row>
    <row r="9" spans="2:5" x14ac:dyDescent="0.25">
      <c r="B9" s="5" t="s">
        <v>2051</v>
      </c>
      <c r="C9" t="s">
        <v>2075</v>
      </c>
      <c r="D9" t="s">
        <v>2076</v>
      </c>
      <c r="E9" t="s">
        <v>2052</v>
      </c>
    </row>
    <row r="10" spans="2:5" x14ac:dyDescent="0.25">
      <c r="B10" s="6" t="s">
        <v>20</v>
      </c>
      <c r="C10" s="12">
        <v>310</v>
      </c>
      <c r="D10" s="12">
        <v>351</v>
      </c>
      <c r="E10" s="12">
        <v>661</v>
      </c>
    </row>
    <row r="11" spans="2:5" x14ac:dyDescent="0.25">
      <c r="B11" s="6" t="s">
        <v>12</v>
      </c>
      <c r="C11" s="12">
        <v>336</v>
      </c>
      <c r="D11" s="12">
        <v>317</v>
      </c>
      <c r="E11" s="12">
        <v>653</v>
      </c>
    </row>
    <row r="12" spans="2:5" x14ac:dyDescent="0.25">
      <c r="B12" s="6" t="s">
        <v>31</v>
      </c>
      <c r="C12" s="12">
        <v>341</v>
      </c>
      <c r="D12" s="12">
        <v>345</v>
      </c>
      <c r="E12" s="12">
        <v>686</v>
      </c>
    </row>
    <row r="13" spans="2:5" x14ac:dyDescent="0.25">
      <c r="B13" s="6" t="s">
        <v>2052</v>
      </c>
      <c r="C13" s="12">
        <v>987</v>
      </c>
      <c r="D13" s="12">
        <v>1013</v>
      </c>
      <c r="E13" s="12">
        <v>2000</v>
      </c>
    </row>
    <row r="15" spans="2:5" x14ac:dyDescent="0.25">
      <c r="B15" s="5" t="s">
        <v>2051</v>
      </c>
      <c r="C15" t="s">
        <v>2059</v>
      </c>
    </row>
    <row r="16" spans="2:5" x14ac:dyDescent="0.25">
      <c r="B16" s="6" t="s">
        <v>21</v>
      </c>
      <c r="C16" s="12">
        <v>2595960</v>
      </c>
    </row>
    <row r="17" spans="2:3" x14ac:dyDescent="0.25">
      <c r="B17" s="6" t="s">
        <v>32</v>
      </c>
      <c r="C17" s="12">
        <v>2686860</v>
      </c>
    </row>
    <row r="18" spans="2:3" x14ac:dyDescent="0.25">
      <c r="B18" s="6" t="s">
        <v>14</v>
      </c>
      <c r="C18" s="12">
        <v>2780640</v>
      </c>
    </row>
    <row r="19" spans="2:3" x14ac:dyDescent="0.25">
      <c r="B19" s="6" t="s">
        <v>49</v>
      </c>
      <c r="C19" s="12">
        <v>2922860</v>
      </c>
    </row>
    <row r="20" spans="2:3" x14ac:dyDescent="0.25">
      <c r="B20" s="6" t="s">
        <v>2052</v>
      </c>
      <c r="C20" s="12">
        <v>10986320</v>
      </c>
    </row>
    <row r="22" spans="2:3" x14ac:dyDescent="0.25">
      <c r="B22" s="5" t="s">
        <v>2051</v>
      </c>
      <c r="C22" t="s">
        <v>2054</v>
      </c>
    </row>
    <row r="23" spans="2:3" x14ac:dyDescent="0.25">
      <c r="B23" s="6" t="s">
        <v>28</v>
      </c>
      <c r="C23" s="9">
        <v>0.34449999999999997</v>
      </c>
    </row>
    <row r="24" spans="2:3" x14ac:dyDescent="0.25">
      <c r="B24" s="6" t="s">
        <v>24</v>
      </c>
      <c r="C24" s="9">
        <v>0.39600000000000002</v>
      </c>
    </row>
    <row r="25" spans="2:3" x14ac:dyDescent="0.25">
      <c r="B25" s="6" t="s">
        <v>15</v>
      </c>
      <c r="C25" s="9">
        <v>0.25950000000000001</v>
      </c>
    </row>
    <row r="26" spans="2:3" x14ac:dyDescent="0.25">
      <c r="B26" s="6" t="s">
        <v>2052</v>
      </c>
      <c r="C26" s="8">
        <v>1</v>
      </c>
    </row>
    <row r="28" spans="2:3" x14ac:dyDescent="0.25">
      <c r="B28" s="5" t="s">
        <v>2051</v>
      </c>
      <c r="C28" t="s">
        <v>2059</v>
      </c>
    </row>
    <row r="29" spans="2:3" x14ac:dyDescent="0.25">
      <c r="B29" s="6" t="s">
        <v>2060</v>
      </c>
      <c r="C29" s="12">
        <v>5579700</v>
      </c>
    </row>
    <row r="30" spans="2:3" x14ac:dyDescent="0.25">
      <c r="B30" s="10" t="s">
        <v>2062</v>
      </c>
      <c r="C30" s="12">
        <v>413860</v>
      </c>
    </row>
    <row r="31" spans="2:3" x14ac:dyDescent="0.25">
      <c r="B31" s="10" t="s">
        <v>2063</v>
      </c>
      <c r="C31" s="12">
        <v>417080</v>
      </c>
    </row>
    <row r="32" spans="2:3" x14ac:dyDescent="0.25">
      <c r="B32" s="10" t="s">
        <v>2064</v>
      </c>
      <c r="C32" s="12">
        <v>469320</v>
      </c>
    </row>
    <row r="33" spans="2:3" x14ac:dyDescent="0.25">
      <c r="B33" s="10" t="s">
        <v>2065</v>
      </c>
      <c r="C33" s="12">
        <v>440240</v>
      </c>
    </row>
    <row r="34" spans="2:3" x14ac:dyDescent="0.25">
      <c r="B34" s="10" t="s">
        <v>2066</v>
      </c>
      <c r="C34" s="12">
        <v>382840</v>
      </c>
    </row>
    <row r="35" spans="2:3" x14ac:dyDescent="0.25">
      <c r="B35" s="10" t="s">
        <v>2067</v>
      </c>
      <c r="C35" s="12">
        <v>523140</v>
      </c>
    </row>
    <row r="36" spans="2:3" x14ac:dyDescent="0.25">
      <c r="B36" s="10" t="s">
        <v>2068</v>
      </c>
      <c r="C36" s="12">
        <v>501980</v>
      </c>
    </row>
    <row r="37" spans="2:3" x14ac:dyDescent="0.25">
      <c r="B37" s="10" t="s">
        <v>2069</v>
      </c>
      <c r="C37" s="12">
        <v>624700</v>
      </c>
    </row>
    <row r="38" spans="2:3" x14ac:dyDescent="0.25">
      <c r="B38" s="10" t="s">
        <v>2070</v>
      </c>
      <c r="C38" s="12">
        <v>461820</v>
      </c>
    </row>
    <row r="39" spans="2:3" x14ac:dyDescent="0.25">
      <c r="B39" s="10" t="s">
        <v>2071</v>
      </c>
      <c r="C39" s="12">
        <v>527860</v>
      </c>
    </row>
    <row r="40" spans="2:3" x14ac:dyDescent="0.25">
      <c r="B40" s="10" t="s">
        <v>2072</v>
      </c>
      <c r="C40" s="12">
        <v>401640</v>
      </c>
    </row>
    <row r="41" spans="2:3" x14ac:dyDescent="0.25">
      <c r="B41" s="10" t="s">
        <v>2073</v>
      </c>
      <c r="C41" s="12">
        <v>415220</v>
      </c>
    </row>
    <row r="42" spans="2:3" x14ac:dyDescent="0.25">
      <c r="B42" s="6" t="s">
        <v>2061</v>
      </c>
      <c r="C42" s="12">
        <v>5406620</v>
      </c>
    </row>
    <row r="43" spans="2:3" x14ac:dyDescent="0.25">
      <c r="B43" s="10" t="s">
        <v>2062</v>
      </c>
      <c r="C43" s="12">
        <v>418300</v>
      </c>
    </row>
    <row r="44" spans="2:3" x14ac:dyDescent="0.25">
      <c r="B44" s="10" t="s">
        <v>2063</v>
      </c>
      <c r="C44" s="12">
        <v>392140</v>
      </c>
    </row>
    <row r="45" spans="2:3" x14ac:dyDescent="0.25">
      <c r="B45" s="10" t="s">
        <v>2064</v>
      </c>
      <c r="C45" s="12">
        <v>568020</v>
      </c>
    </row>
    <row r="46" spans="2:3" x14ac:dyDescent="0.25">
      <c r="B46" s="10" t="s">
        <v>2065</v>
      </c>
      <c r="C46" s="12">
        <v>432580</v>
      </c>
    </row>
    <row r="47" spans="2:3" x14ac:dyDescent="0.25">
      <c r="B47" s="10" t="s">
        <v>2066</v>
      </c>
      <c r="C47" s="12">
        <v>424720</v>
      </c>
    </row>
    <row r="48" spans="2:3" x14ac:dyDescent="0.25">
      <c r="B48" s="10" t="s">
        <v>2067</v>
      </c>
      <c r="C48" s="12">
        <v>570100</v>
      </c>
    </row>
    <row r="49" spans="2:3" x14ac:dyDescent="0.25">
      <c r="B49" s="10" t="s">
        <v>2068</v>
      </c>
      <c r="C49" s="12">
        <v>341820</v>
      </c>
    </row>
    <row r="50" spans="2:3" x14ac:dyDescent="0.25">
      <c r="B50" s="10" t="s">
        <v>2069</v>
      </c>
      <c r="C50" s="12">
        <v>510000</v>
      </c>
    </row>
    <row r="51" spans="2:3" x14ac:dyDescent="0.25">
      <c r="B51" s="10" t="s">
        <v>2070</v>
      </c>
      <c r="C51" s="12">
        <v>458960</v>
      </c>
    </row>
    <row r="52" spans="2:3" x14ac:dyDescent="0.25">
      <c r="B52" s="10" t="s">
        <v>2071</v>
      </c>
      <c r="C52" s="12">
        <v>326960</v>
      </c>
    </row>
    <row r="53" spans="2:3" x14ac:dyDescent="0.25">
      <c r="B53" s="10" t="s">
        <v>2072</v>
      </c>
      <c r="C53" s="12">
        <v>466040</v>
      </c>
    </row>
    <row r="54" spans="2:3" x14ac:dyDescent="0.25">
      <c r="B54" s="10" t="s">
        <v>2073</v>
      </c>
      <c r="C54" s="12">
        <v>496980</v>
      </c>
    </row>
    <row r="55" spans="2:3" x14ac:dyDescent="0.25">
      <c r="B55" s="6" t="s">
        <v>2052</v>
      </c>
      <c r="C55" s="12">
        <v>10986320</v>
      </c>
    </row>
    <row r="57" spans="2:3" x14ac:dyDescent="0.25">
      <c r="B57" s="5" t="s">
        <v>2051</v>
      </c>
      <c r="C57" t="s">
        <v>2059</v>
      </c>
    </row>
    <row r="58" spans="2:3" x14ac:dyDescent="0.25">
      <c r="B58" s="6" t="s">
        <v>2061</v>
      </c>
      <c r="C58" s="12">
        <v>5406620</v>
      </c>
    </row>
    <row r="59" spans="2:3" x14ac:dyDescent="0.25">
      <c r="B59" s="6" t="s">
        <v>2060</v>
      </c>
      <c r="C59" s="12">
        <v>5579700</v>
      </c>
    </row>
    <row r="60" spans="2:3" x14ac:dyDescent="0.25">
      <c r="B60" s="6" t="s">
        <v>2052</v>
      </c>
      <c r="C60" s="12">
        <v>10986320</v>
      </c>
    </row>
    <row r="62" spans="2:3" x14ac:dyDescent="0.25">
      <c r="B62" t="s">
        <v>2054</v>
      </c>
    </row>
    <row r="63" spans="2:3" x14ac:dyDescent="0.25">
      <c r="B63" s="12">
        <v>2000</v>
      </c>
    </row>
    <row r="65" spans="2:3" x14ac:dyDescent="0.25">
      <c r="B65" t="s">
        <v>2059</v>
      </c>
    </row>
    <row r="66" spans="2:3" x14ac:dyDescent="0.25">
      <c r="B66" s="11">
        <v>10986320</v>
      </c>
    </row>
    <row r="68" spans="2:3" x14ac:dyDescent="0.25">
      <c r="B68" s="5" t="s">
        <v>2051</v>
      </c>
      <c r="C68" t="s">
        <v>2077</v>
      </c>
    </row>
    <row r="69" spans="2:3" x14ac:dyDescent="0.25">
      <c r="B69" s="6" t="s">
        <v>2075</v>
      </c>
      <c r="C69" s="9">
        <v>0.49349999999999999</v>
      </c>
    </row>
    <row r="70" spans="2:3" x14ac:dyDescent="0.25">
      <c r="B70" s="6" t="s">
        <v>2076</v>
      </c>
      <c r="C70" s="9">
        <v>0.50649999999999995</v>
      </c>
    </row>
    <row r="71" spans="2:3" x14ac:dyDescent="0.25">
      <c r="B71" s="6" t="s">
        <v>2052</v>
      </c>
      <c r="C71" s="8">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GhanaStream_Dataset</vt:lpstr>
      <vt:lpstr>GhanaStream_Dataset - Clean</vt:lpstr>
      <vt:lpstr>Q&amp;A</vt:lpstr>
      <vt:lpstr>Dashboard</vt:lpstr>
      <vt:lpstr>Calcs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Edmund Tetteh</dc:creator>
  <cp:lastModifiedBy>Edmund Tetteh</cp:lastModifiedBy>
  <dcterms:created xsi:type="dcterms:W3CDTF">2026-05-27T15:54:28Z</dcterms:created>
  <dcterms:modified xsi:type="dcterms:W3CDTF">2026-06-05T12:10:51Z</dcterms:modified>
</cp:coreProperties>
</file>